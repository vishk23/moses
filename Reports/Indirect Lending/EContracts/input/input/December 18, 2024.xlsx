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J:\Alex\Funding Worksheets\"/>
    </mc:Choice>
  </mc:AlternateContent>
  <xr:revisionPtr revIDLastSave="0" documentId="13_ncr:1_{0440D574-5340-4E96-BC29-22BAFB98ECD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unding Worksheet - ACH Version" sheetId="1" r:id="rId1"/>
    <sheet name="Funding Worksheet - Folder Vers" sheetId="2" r:id="rId2"/>
    <sheet name="Funding Worksheet - Signoff Ver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5" i="2" l="1"/>
  <c r="H25" i="1"/>
  <c r="E25" i="1"/>
  <c r="D25" i="1"/>
  <c r="C25" i="1"/>
</calcChain>
</file>

<file path=xl/sharedStrings.xml><?xml version="1.0" encoding="utf-8"?>
<sst xmlns="http://schemas.openxmlformats.org/spreadsheetml/2006/main" count="172" uniqueCount="94">
  <si>
    <t>Bristol County Savings Bank</t>
  </si>
  <si>
    <t>Funding Worksheet - ACH Version</t>
  </si>
  <si>
    <t>To</t>
  </si>
  <si>
    <t>From</t>
  </si>
  <si>
    <t>Dealer Name</t>
  </si>
  <si>
    <t>Funded by</t>
  </si>
  <si>
    <t>Dealer Flat</t>
  </si>
  <si>
    <t>Dealer Split</t>
  </si>
  <si>
    <t>Net to Dealer</t>
  </si>
  <si>
    <t>Contracted Amount Financed</t>
  </si>
  <si>
    <t>First Hyundai</t>
  </si>
  <si>
    <t>Neli Oliveira</t>
  </si>
  <si>
    <t>Herb Chambers Lincoln</t>
  </si>
  <si>
    <t>Rachel Gorham</t>
  </si>
  <si>
    <t>Infiniti of Norwood</t>
  </si>
  <si>
    <t>Mastria Kia</t>
  </si>
  <si>
    <t>Metro Honda</t>
  </si>
  <si>
    <t>Planet Automotive Sales LLC</t>
  </si>
  <si>
    <t>Marlene Braganca</t>
  </si>
  <si>
    <t>Robertson's GMC Truck, Inc</t>
  </si>
  <si>
    <t>S&amp;E Auto Services and Sales Inc</t>
  </si>
  <si>
    <t>T F Murphy Enterprises Inc</t>
  </si>
  <si>
    <t>Tasca Buick GMC</t>
  </si>
  <si>
    <t>Wareham Ford</t>
  </si>
  <si>
    <t>Column1</t>
  </si>
  <si>
    <t>Column2</t>
  </si>
  <si>
    <t>2330     8209</t>
  </si>
  <si>
    <t>5099     5689</t>
  </si>
  <si>
    <t># 11</t>
  </si>
  <si>
    <t>O'Neil</t>
  </si>
  <si>
    <t>BODYGUY82@HOTMAIL.COM</t>
  </si>
  <si>
    <t>MANCHESTER, GARY</t>
  </si>
  <si>
    <t>Paper</t>
  </si>
  <si>
    <t>DealerTrack</t>
  </si>
  <si>
    <t>151129478</t>
  </si>
  <si>
    <t>LEWIS</t>
  </si>
  <si>
    <t>GREG@SCREDCO.COM</t>
  </si>
  <si>
    <t>BASS, GREGORY</t>
  </si>
  <si>
    <t>E Contract</t>
  </si>
  <si>
    <t>151129395e</t>
  </si>
  <si>
    <t>YARDSTICK TREE &amp; SITE PRESERVATION, INC.</t>
  </si>
  <si>
    <t>DELFINO</t>
  </si>
  <si>
    <t>BOBYARDSTICK@GMAIL.COM</t>
  </si>
  <si>
    <t>MONTGOMERY, ANNMARIE</t>
  </si>
  <si>
    <t>Route One</t>
  </si>
  <si>
    <t>151129379</t>
  </si>
  <si>
    <t>RAMOS</t>
  </si>
  <si>
    <t>rayballard@rocketmail.com</t>
  </si>
  <si>
    <t>BALLARD, RAYMOND</t>
  </si>
  <si>
    <t>151129337e</t>
  </si>
  <si>
    <t>MARINO</t>
  </si>
  <si>
    <t>kellyfrancescoyne@gmail.com</t>
  </si>
  <si>
    <t>COYNE, KELLY</t>
  </si>
  <si>
    <t>151129303</t>
  </si>
  <si>
    <t>DUMAS</t>
  </si>
  <si>
    <t>JULIEAUTUMN@GMAIL.COM</t>
  </si>
  <si>
    <t>GARLEY, JULIE</t>
  </si>
  <si>
    <t>151129288e</t>
  </si>
  <si>
    <t>MILLER</t>
  </si>
  <si>
    <t>keddy824@comcast.net</t>
  </si>
  <si>
    <t>EDDY, KRISTINE</t>
  </si>
  <si>
    <t>151129197</t>
  </si>
  <si>
    <t>SCIOLETTI</t>
  </si>
  <si>
    <t>MARYANNE_B@LIVE.COM</t>
  </si>
  <si>
    <t>BRADLEY, MARYANNE</t>
  </si>
  <si>
    <t>151129155e</t>
  </si>
  <si>
    <t>CHRISTPHER</t>
  </si>
  <si>
    <t>WERNIG, EDWIN</t>
  </si>
  <si>
    <t>151129139e</t>
  </si>
  <si>
    <t>SWIFT</t>
  </si>
  <si>
    <t>LANCE@YOURCLEARSPACE.COM</t>
  </si>
  <si>
    <t>LAMBORGHINI, LANCE</t>
  </si>
  <si>
    <t>151129121e</t>
  </si>
  <si>
    <t>SKINNER</t>
  </si>
  <si>
    <t>Randyskinner68@gmail.com</t>
  </si>
  <si>
    <t>SKINNER, RANDALL</t>
  </si>
  <si>
    <t>151129105e</t>
  </si>
  <si>
    <t>Business Name</t>
  </si>
  <si>
    <t>Co-App MMN</t>
  </si>
  <si>
    <t>App MMN</t>
  </si>
  <si>
    <t>Co-Applicant Email</t>
  </si>
  <si>
    <t>Applicant Email</t>
  </si>
  <si>
    <t>Amount Financed</t>
  </si>
  <si>
    <t>Co-Applicant Name</t>
  </si>
  <si>
    <t>Applicant Name</t>
  </si>
  <si>
    <t>Contract Type</t>
  </si>
  <si>
    <t>Portal</t>
  </si>
  <si>
    <t>Account Number</t>
  </si>
  <si>
    <t>Funding Worksheet - Folder Version</t>
  </si>
  <si>
    <t>Date Signed________________________________________________________________________________</t>
  </si>
  <si>
    <t>Received By__________________________________________________________________________________</t>
  </si>
  <si>
    <t>Delivered By__________________________________________________________________________________</t>
  </si>
  <si>
    <t># 4</t>
  </si>
  <si>
    <t>Funding Worksheet - Signoff Version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</si>
</sst>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7" formatCode="&quot;$&quot;#,##0.00_);\(&quot;$&quot;#,##0.00\)"/>
    <numFmt numFmtId="164" formatCode="[$-409]mmmm\ d\,\ yyyy;@"/>
  </numFmts>
  <fonts count="4" x14ac:knownFonts="1">
    <font>
      <sz val="11"/>
      <color indexed="8"/>
      <name val="Aptos Narrow"/>
      <family val="2"/>
      <scheme val="minor"/>
    </font>
    <font>
      <b/>
      <sz val="11"/>
      <name val="Calibri"/>
    </font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none">
        <fgColor indexed="2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2" borderId="0"/>
  </cellStyleXfs>
  <cellXfs count="17">
    <xf numFmtId="0" fontId="0" fillId="0" borderId="0" xfId="0"/>
    <xf numFmtId="0" fontId="1" fillId="0" borderId="0" xfId="0" applyFont="1"/>
    <xf numFmtId="7" fontId="0" fillId="0" borderId="0" xfId="0" applyNumberFormat="1"/>
    <xf numFmtId="7" fontId="1" fillId="0" borderId="0" xfId="0" applyNumberFormat="1" applyFont="1"/>
    <xf numFmtId="164" fontId="0" fillId="0" borderId="0" xfId="0" applyNumberForma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/>
    <xf numFmtId="0" fontId="1" fillId="0" borderId="0" xfId="0" applyFont="1" applyAlignment="1">
      <alignment horizontal="right"/>
    </xf>
    <xf numFmtId="0" fontId="2" fillId="2" borderId="0" xfId="1"/>
    <xf numFmtId="0" fontId="2" fillId="0" borderId="0" xfId="1" applyFill="1"/>
    <xf numFmtId="164" fontId="2" fillId="0" borderId="0" xfId="1" applyNumberFormat="1" applyFill="1" applyAlignment="1">
      <alignment horizontal="right"/>
    </xf>
    <xf numFmtId="0" fontId="1" fillId="0" borderId="0" xfId="1" applyFont="1" applyFill="1" applyAlignment="1">
      <alignment horizontal="left"/>
    </xf>
    <xf numFmtId="0" fontId="2" fillId="0" borderId="0" xfId="1" applyFill="1"/>
    <xf numFmtId="0" fontId="1" fillId="0" borderId="0" xfId="1" applyFont="1" applyFill="1" applyAlignment="1">
      <alignment horizontal="right"/>
    </xf>
    <xf numFmtId="7" fontId="2" fillId="0" borderId="0" xfId="1" applyNumberFormat="1" applyFill="1"/>
    <xf numFmtId="0" fontId="1" fillId="0" borderId="0" xfId="1" applyFont="1" applyFill="1"/>
    <xf numFmtId="7" fontId="1" fillId="0" borderId="0" xfId="1" applyNumberFormat="1" applyFont="1" applyFill="1"/>
  </cellXfs>
  <cellStyles count="2">
    <cellStyle name="Normal" xfId="0" builtinId="0"/>
    <cellStyle name="Normal 2" xfId="1" xr:uid="{9CDB6707-65C4-4C5A-8F79-E3F49EA0384B}"/>
  </cellStyles>
  <dxfs count="26"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fill>
        <patternFill patternType="none">
          <fgColor indexed="64"/>
          <bgColor auto="1"/>
        </patternFill>
      </fill>
    </dxf>
    <dxf>
      <numFmt numFmtId="11" formatCode="&quot;$&quot;#,##0.00_);\(&quot;$&quot;#,##0.00\)"/>
    </dxf>
    <dxf>
      <numFmt numFmtId="11" formatCode="&quot;$&quot;#,##0.00_);\(&quot;$&quot;#,##0.00\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_1" ref="A3:H25">
  <tableColumns count="8">
    <tableColumn id="1" xr3:uid="{00000000-0010-0000-0000-000001000000}" name="Dealer Name"/>
    <tableColumn id="2" xr3:uid="{00000000-0010-0000-0000-000002000000}" name="Funded by"/>
    <tableColumn id="3" xr3:uid="{00000000-0010-0000-0000-000003000000}" name="Dealer Flat"/>
    <tableColumn id="4" xr3:uid="{00000000-0010-0000-0000-000004000000}" name="Dealer Split"/>
    <tableColumn id="5" xr3:uid="{00000000-0010-0000-0000-000005000000}" name="Net to Dealer"/>
    <tableColumn id="7" xr3:uid="{9074B36E-DFC7-4805-AECF-78E4ED4F216B}" name="Column1" dataDxfId="25"/>
    <tableColumn id="8" xr3:uid="{AFDCBDFF-F7AD-4CD9-991C-15DB5264104B}" name="Column2" dataDxfId="24"/>
    <tableColumn id="6" xr3:uid="{00000000-0010-0000-0000-000006000000}" name="Contracted Amount Financed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3274487-9286-4F59-AF65-E50179207B66}" name="Table_13" displayName="Table_13" ref="A3:M15" headerRowDxfId="10" dataDxfId="8" totalsRowDxfId="9">
  <tableColumns count="13">
    <tableColumn id="1" xr3:uid="{00000000-0010-0000-0000-000001000000}" name="Account Number" dataDxfId="23"/>
    <tableColumn id="2" xr3:uid="{00000000-0010-0000-0000-000002000000}" name="Portal" dataDxfId="22"/>
    <tableColumn id="3" xr3:uid="{00000000-0010-0000-0000-000003000000}" name="Contract Type" dataDxfId="21"/>
    <tableColumn id="4" xr3:uid="{00000000-0010-0000-0000-000004000000}" name="Applicant Name" dataDxfId="20"/>
    <tableColumn id="5" xr3:uid="{00000000-0010-0000-0000-000005000000}" name="Co-Applicant Name" dataDxfId="19"/>
    <tableColumn id="6" xr3:uid="{00000000-0010-0000-0000-000006000000}" name="Dealer Name" dataDxfId="18"/>
    <tableColumn id="7" xr3:uid="{00000000-0010-0000-0000-000007000000}" name="Funded by" dataDxfId="17"/>
    <tableColumn id="8" xr3:uid="{00000000-0010-0000-0000-000008000000}" name="Amount Financed" dataDxfId="16"/>
    <tableColumn id="9" xr3:uid="{00000000-0010-0000-0000-000009000000}" name="Applicant Email" dataDxfId="15"/>
    <tableColumn id="10" xr3:uid="{00000000-0010-0000-0000-00000A000000}" name="Co-Applicant Email" dataDxfId="14"/>
    <tableColumn id="11" xr3:uid="{00000000-0010-0000-0000-00000B000000}" name="App MMN" dataDxfId="13"/>
    <tableColumn id="12" xr3:uid="{00000000-0010-0000-0000-00000C000000}" name="Co-App MMN" dataDxfId="12"/>
    <tableColumn id="13" xr3:uid="{00000000-0010-0000-0000-00000D000000}" name="Business Name" dataDxfId="11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F5C72B3-721A-40A1-BE07-8E29220CC359}" name="Table_14" displayName="Table_14" ref="A3:E8" headerRowDxfId="2" dataDxfId="0" totalsRowDxfId="1">
  <tableColumns count="5">
    <tableColumn id="1" xr3:uid="{00000000-0010-0000-0000-000001000000}" name="Account Number" dataDxfId="7"/>
    <tableColumn id="2" xr3:uid="{00000000-0010-0000-0000-000002000000}" name="Contract Type" dataDxfId="6"/>
    <tableColumn id="3" xr3:uid="{00000000-0010-0000-0000-000003000000}" name="Applicant Name" dataDxfId="5"/>
    <tableColumn id="4" xr3:uid="{00000000-0010-0000-0000-000004000000}" name="Co-Applicant Name" dataDxfId="4"/>
    <tableColumn id="5" xr3:uid="{00000000-0010-0000-0000-000005000000}" name="Dealer Name" dataDxfId="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25"/>
  <sheetViews>
    <sheetView tabSelected="1" workbookViewId="0">
      <pane ySplit="3" topLeftCell="A4" activePane="bottomLeft" state="frozen"/>
      <selection pane="bottomLeft" activeCell="M22" sqref="M22"/>
    </sheetView>
  </sheetViews>
  <sheetFormatPr defaultRowHeight="15" x14ac:dyDescent="0.25"/>
  <cols>
    <col min="1" max="1" width="30.7109375" bestFit="1" customWidth="1"/>
    <col min="2" max="2" width="17.7109375" bestFit="1" customWidth="1"/>
    <col min="3" max="3" width="11.140625" bestFit="1" customWidth="1"/>
    <col min="4" max="4" width="19.28515625" bestFit="1" customWidth="1"/>
    <col min="5" max="5" width="13.28515625" bestFit="1" customWidth="1"/>
    <col min="6" max="7" width="13.28515625" customWidth="1"/>
    <col min="8" max="8" width="27.85546875" bestFit="1" customWidth="1"/>
  </cols>
  <sheetData>
    <row r="1" spans="1:8" x14ac:dyDescent="0.25">
      <c r="C1" t="s">
        <v>3</v>
      </c>
      <c r="D1" s="4">
        <v>45644</v>
      </c>
      <c r="E1" t="s">
        <v>2</v>
      </c>
      <c r="H1" s="4">
        <v>45644.999988425923</v>
      </c>
    </row>
    <row r="2" spans="1:8" x14ac:dyDescent="0.25">
      <c r="A2" s="5" t="s">
        <v>0</v>
      </c>
      <c r="B2" s="6"/>
      <c r="C2" s="6"/>
      <c r="D2" s="7" t="s">
        <v>1</v>
      </c>
      <c r="E2" s="6"/>
      <c r="F2" s="6"/>
      <c r="G2" s="6"/>
      <c r="H2" s="6"/>
    </row>
    <row r="3" spans="1:8" x14ac:dyDescent="0.25">
      <c r="A3" t="s">
        <v>4</v>
      </c>
      <c r="B3" t="s">
        <v>5</v>
      </c>
      <c r="C3" t="s">
        <v>6</v>
      </c>
      <c r="D3" t="s">
        <v>7</v>
      </c>
      <c r="E3" t="s">
        <v>8</v>
      </c>
      <c r="F3" t="s">
        <v>24</v>
      </c>
      <c r="G3" t="s">
        <v>25</v>
      </c>
      <c r="H3" t="s">
        <v>9</v>
      </c>
    </row>
    <row r="4" spans="1:8" x14ac:dyDescent="0.25">
      <c r="A4" t="s">
        <v>10</v>
      </c>
      <c r="B4" t="s">
        <v>11</v>
      </c>
      <c r="C4" s="2">
        <v>650</v>
      </c>
      <c r="D4" s="2">
        <v>0</v>
      </c>
      <c r="E4" s="2">
        <v>35551.49</v>
      </c>
      <c r="F4" s="2"/>
      <c r="G4" s="2" t="s">
        <v>26</v>
      </c>
      <c r="H4" s="2">
        <v>35626.49</v>
      </c>
    </row>
    <row r="5" spans="1:8" x14ac:dyDescent="0.25">
      <c r="C5" s="2"/>
      <c r="D5" s="2"/>
      <c r="E5" s="2"/>
      <c r="F5" s="2"/>
      <c r="G5" s="2"/>
      <c r="H5" s="2"/>
    </row>
    <row r="6" spans="1:8" x14ac:dyDescent="0.25">
      <c r="A6" t="s">
        <v>12</v>
      </c>
      <c r="B6" t="s">
        <v>13</v>
      </c>
      <c r="C6" s="2">
        <v>500</v>
      </c>
      <c r="D6" s="2">
        <v>0</v>
      </c>
      <c r="E6" s="2">
        <v>26192.13</v>
      </c>
      <c r="F6" s="2"/>
      <c r="G6" s="2"/>
      <c r="H6" s="2">
        <v>26267.13</v>
      </c>
    </row>
    <row r="7" spans="1:8" x14ac:dyDescent="0.25">
      <c r="C7" s="2"/>
      <c r="D7" s="2"/>
      <c r="E7" s="2"/>
      <c r="F7" s="2"/>
      <c r="G7" s="2"/>
      <c r="H7" s="2"/>
    </row>
    <row r="8" spans="1:8" x14ac:dyDescent="0.25">
      <c r="A8" t="s">
        <v>14</v>
      </c>
      <c r="B8" t="s">
        <v>13</v>
      </c>
      <c r="C8" s="2">
        <v>1000</v>
      </c>
      <c r="D8" s="2">
        <v>0</v>
      </c>
      <c r="E8" s="2">
        <v>50373</v>
      </c>
      <c r="F8" s="2"/>
      <c r="G8" s="2"/>
      <c r="H8" s="2">
        <v>50448</v>
      </c>
    </row>
    <row r="9" spans="1:8" x14ac:dyDescent="0.25">
      <c r="C9" s="2"/>
      <c r="D9" s="2"/>
      <c r="E9" s="2"/>
      <c r="F9" s="2"/>
      <c r="G9" s="2"/>
      <c r="H9" s="2"/>
    </row>
    <row r="10" spans="1:8" x14ac:dyDescent="0.25">
      <c r="A10" t="s">
        <v>15</v>
      </c>
      <c r="B10" t="s">
        <v>11</v>
      </c>
      <c r="C10" s="2">
        <v>650</v>
      </c>
      <c r="D10" s="2">
        <v>0</v>
      </c>
      <c r="E10" s="2">
        <v>38297.599999999999</v>
      </c>
      <c r="F10" s="2"/>
      <c r="G10" s="2" t="s">
        <v>27</v>
      </c>
      <c r="H10" s="2">
        <v>38372.6</v>
      </c>
    </row>
    <row r="11" spans="1:8" x14ac:dyDescent="0.25">
      <c r="C11" s="2"/>
      <c r="D11" s="2"/>
      <c r="E11" s="2"/>
      <c r="F11" s="2"/>
      <c r="G11" s="2"/>
      <c r="H11" s="2"/>
    </row>
    <row r="12" spans="1:8" x14ac:dyDescent="0.25">
      <c r="A12" t="s">
        <v>16</v>
      </c>
      <c r="B12" t="s">
        <v>11</v>
      </c>
      <c r="C12" s="2">
        <v>450</v>
      </c>
      <c r="D12" s="2">
        <v>0</v>
      </c>
      <c r="E12" s="2">
        <v>21739.5</v>
      </c>
      <c r="F12" s="2"/>
      <c r="G12" s="2"/>
      <c r="H12" s="2">
        <v>21814.5</v>
      </c>
    </row>
    <row r="13" spans="1:8" x14ac:dyDescent="0.25">
      <c r="C13" s="2"/>
      <c r="D13" s="2"/>
      <c r="E13" s="2"/>
      <c r="F13" s="2"/>
      <c r="G13" s="2"/>
      <c r="H13" s="2"/>
    </row>
    <row r="14" spans="1:8" x14ac:dyDescent="0.25">
      <c r="A14" t="s">
        <v>17</v>
      </c>
      <c r="B14" t="s">
        <v>18</v>
      </c>
      <c r="C14" s="2">
        <v>800</v>
      </c>
      <c r="D14" s="2">
        <v>0</v>
      </c>
      <c r="E14" s="2">
        <v>49118.59</v>
      </c>
      <c r="F14" s="2"/>
      <c r="G14" s="2"/>
      <c r="H14" s="2">
        <v>49193.59</v>
      </c>
    </row>
    <row r="15" spans="1:8" x14ac:dyDescent="0.25">
      <c r="C15" s="2"/>
      <c r="D15" s="2"/>
      <c r="E15" s="2"/>
      <c r="F15" s="2"/>
      <c r="G15" s="2"/>
      <c r="H15" s="2"/>
    </row>
    <row r="16" spans="1:8" x14ac:dyDescent="0.25">
      <c r="A16" t="s">
        <v>19</v>
      </c>
      <c r="B16" t="s">
        <v>13</v>
      </c>
      <c r="C16" s="2">
        <v>650</v>
      </c>
      <c r="D16" s="2">
        <v>0</v>
      </c>
      <c r="E16" s="2">
        <v>37969.800000000003</v>
      </c>
      <c r="F16" s="2"/>
      <c r="G16" s="2"/>
      <c r="H16" s="2">
        <v>38044.800000000003</v>
      </c>
    </row>
    <row r="17" spans="1:8" x14ac:dyDescent="0.25">
      <c r="C17" s="2"/>
      <c r="D17" s="2"/>
      <c r="E17" s="2"/>
      <c r="F17" s="2"/>
      <c r="G17" s="2"/>
      <c r="H17" s="2"/>
    </row>
    <row r="18" spans="1:8" x14ac:dyDescent="0.25">
      <c r="A18" t="s">
        <v>20</v>
      </c>
      <c r="B18" t="s">
        <v>11</v>
      </c>
      <c r="C18" s="2">
        <v>500</v>
      </c>
      <c r="D18" s="2">
        <v>0</v>
      </c>
      <c r="E18" s="2">
        <v>27817.439999999999</v>
      </c>
      <c r="F18" s="2"/>
      <c r="G18" s="2"/>
      <c r="H18" s="2">
        <v>27892.44</v>
      </c>
    </row>
    <row r="19" spans="1:8" x14ac:dyDescent="0.25">
      <c r="C19" s="2"/>
      <c r="D19" s="2"/>
      <c r="E19" s="2"/>
      <c r="F19" s="2"/>
      <c r="G19" s="2"/>
      <c r="H19" s="2"/>
    </row>
    <row r="20" spans="1:8" x14ac:dyDescent="0.25">
      <c r="A20" t="s">
        <v>21</v>
      </c>
      <c r="B20" t="s">
        <v>11</v>
      </c>
      <c r="C20" s="2">
        <v>600</v>
      </c>
      <c r="D20" s="2">
        <v>0</v>
      </c>
      <c r="E20" s="2">
        <v>32027.94</v>
      </c>
      <c r="F20" s="2"/>
      <c r="G20" s="2"/>
      <c r="H20" s="2">
        <v>32102.94</v>
      </c>
    </row>
    <row r="21" spans="1:8" x14ac:dyDescent="0.25">
      <c r="C21" s="2"/>
      <c r="D21" s="2"/>
      <c r="E21" s="2"/>
      <c r="F21" s="2"/>
      <c r="G21" s="2"/>
      <c r="H21" s="2"/>
    </row>
    <row r="22" spans="1:8" x14ac:dyDescent="0.25">
      <c r="A22" t="s">
        <v>22</v>
      </c>
      <c r="B22" t="s">
        <v>13</v>
      </c>
      <c r="C22" s="2">
        <v>1200</v>
      </c>
      <c r="D22" s="2">
        <v>0</v>
      </c>
      <c r="E22" s="2">
        <v>70084.31</v>
      </c>
      <c r="F22" s="2"/>
      <c r="G22" s="2"/>
      <c r="H22" s="2">
        <v>70159.31</v>
      </c>
    </row>
    <row r="23" spans="1:8" x14ac:dyDescent="0.25">
      <c r="C23" s="2"/>
      <c r="D23" s="2"/>
      <c r="E23" s="2"/>
      <c r="F23" s="2"/>
      <c r="G23" s="2"/>
      <c r="H23" s="2"/>
    </row>
    <row r="24" spans="1:8" x14ac:dyDescent="0.25">
      <c r="A24" t="s">
        <v>23</v>
      </c>
      <c r="B24" t="s">
        <v>13</v>
      </c>
      <c r="C24" s="2">
        <v>650</v>
      </c>
      <c r="D24" s="2">
        <v>0</v>
      </c>
      <c r="E24" s="2">
        <v>35233.08</v>
      </c>
      <c r="F24" s="2"/>
      <c r="G24" s="2"/>
      <c r="H24" s="2">
        <v>35308.080000000002</v>
      </c>
    </row>
    <row r="25" spans="1:8" x14ac:dyDescent="0.25">
      <c r="A25" s="1"/>
      <c r="B25" s="1"/>
      <c r="C25" s="3">
        <f>SUM(C4:C24)</f>
        <v>7650</v>
      </c>
      <c r="D25" s="3">
        <f>SUM(D4:D24)</f>
        <v>0</v>
      </c>
      <c r="E25" s="3">
        <f>SUM(E4:E24)</f>
        <v>424404.88</v>
      </c>
      <c r="F25" s="3"/>
      <c r="G25" s="3"/>
      <c r="H25" s="3">
        <f>SUM(H4:H24)</f>
        <v>425229.88</v>
      </c>
    </row>
  </sheetData>
  <mergeCells count="2">
    <mergeCell ref="A2:C2"/>
    <mergeCell ref="D2:H2"/>
  </mergeCells>
  <phoneticPr fontId="3" type="noConversion"/>
  <pageMargins left="0.7" right="0.7" top="0.75" bottom="0.75" header="0.3" footer="0.3"/>
  <pageSetup paperSize="5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4FED49-805D-483F-9879-E7D6A3E4C0CF}">
  <sheetPr>
    <pageSetUpPr fitToPage="1"/>
  </sheetPr>
  <dimension ref="A1:N20"/>
  <sheetViews>
    <sheetView workbookViewId="0">
      <pane ySplit="3" topLeftCell="A4" activePane="bottomLeft" state="frozen"/>
      <selection pane="bottomLeft" activeCell="A4" sqref="A4:A14"/>
    </sheetView>
  </sheetViews>
  <sheetFormatPr defaultRowHeight="15" x14ac:dyDescent="0.25"/>
  <cols>
    <col min="1" max="1" width="16.42578125" style="8" bestFit="1" customWidth="1"/>
    <col min="2" max="2" width="12.140625" style="8" bestFit="1" customWidth="1"/>
    <col min="3" max="3" width="14" style="8" bestFit="1" customWidth="1"/>
    <col min="4" max="4" width="25.5703125" style="8" bestFit="1" customWidth="1"/>
    <col min="5" max="5" width="18.7109375" style="8" bestFit="1" customWidth="1"/>
    <col min="6" max="6" width="30.7109375" style="8" bestFit="1" customWidth="1"/>
    <col min="7" max="7" width="17.7109375" style="8" bestFit="1" customWidth="1"/>
    <col min="8" max="8" width="17.140625" style="8" bestFit="1" customWidth="1"/>
    <col min="9" max="9" width="31" style="8" bestFit="1" customWidth="1"/>
    <col min="10" max="10" width="18.42578125" style="8" bestFit="1" customWidth="1"/>
    <col min="11" max="11" width="19.28515625" style="8" bestFit="1" customWidth="1"/>
    <col min="12" max="12" width="12.85546875" style="8" bestFit="1" customWidth="1"/>
    <col min="13" max="13" width="42.85546875" style="8" bestFit="1" customWidth="1"/>
    <col min="14" max="16384" width="9.140625" style="8"/>
  </cols>
  <sheetData>
    <row r="1" spans="1:14" ht="35.1" customHeight="1" x14ac:dyDescent="0.25">
      <c r="A1" s="9"/>
      <c r="B1" s="9"/>
      <c r="C1" s="9"/>
      <c r="D1" s="9"/>
      <c r="E1" s="9"/>
      <c r="F1" s="9"/>
      <c r="G1" s="9"/>
      <c r="H1" s="9"/>
      <c r="I1" s="9"/>
      <c r="J1" s="9" t="s">
        <v>3</v>
      </c>
      <c r="K1" s="10">
        <v>45644</v>
      </c>
      <c r="L1" s="9" t="s">
        <v>2</v>
      </c>
      <c r="M1" s="10">
        <v>45644.999988425923</v>
      </c>
      <c r="N1" s="9"/>
    </row>
    <row r="2" spans="1:14" ht="35.1" customHeight="1" x14ac:dyDescent="0.25">
      <c r="A2" s="11" t="s">
        <v>0</v>
      </c>
      <c r="B2" s="12"/>
      <c r="C2" s="12"/>
      <c r="D2" s="12"/>
      <c r="E2" s="12"/>
      <c r="F2" s="12"/>
      <c r="G2" s="13" t="s">
        <v>88</v>
      </c>
      <c r="H2" s="12"/>
      <c r="I2" s="12"/>
      <c r="J2" s="12"/>
      <c r="K2" s="12"/>
      <c r="L2" s="12"/>
      <c r="M2" s="12"/>
      <c r="N2" s="9"/>
    </row>
    <row r="3" spans="1:14" ht="35.1" customHeight="1" x14ac:dyDescent="0.25">
      <c r="A3" s="9" t="s">
        <v>87</v>
      </c>
      <c r="B3" s="9" t="s">
        <v>86</v>
      </c>
      <c r="C3" s="9" t="s">
        <v>85</v>
      </c>
      <c r="D3" s="9" t="s">
        <v>84</v>
      </c>
      <c r="E3" s="9" t="s">
        <v>83</v>
      </c>
      <c r="F3" s="9" t="s">
        <v>4</v>
      </c>
      <c r="G3" s="9" t="s">
        <v>5</v>
      </c>
      <c r="H3" s="9" t="s">
        <v>82</v>
      </c>
      <c r="I3" s="9" t="s">
        <v>81</v>
      </c>
      <c r="J3" s="9" t="s">
        <v>80</v>
      </c>
      <c r="K3" s="9" t="s">
        <v>79</v>
      </c>
      <c r="L3" s="9" t="s">
        <v>78</v>
      </c>
      <c r="M3" s="9" t="s">
        <v>77</v>
      </c>
      <c r="N3" s="9"/>
    </row>
    <row r="4" spans="1:14" ht="35.1" customHeight="1" x14ac:dyDescent="0.25">
      <c r="A4" s="9" t="s">
        <v>76</v>
      </c>
      <c r="B4" s="9" t="s">
        <v>44</v>
      </c>
      <c r="C4" s="9" t="s">
        <v>38</v>
      </c>
      <c r="D4" s="9" t="s">
        <v>75</v>
      </c>
      <c r="E4" s="9"/>
      <c r="F4" s="9" t="s">
        <v>12</v>
      </c>
      <c r="G4" s="9" t="s">
        <v>13</v>
      </c>
      <c r="H4" s="14">
        <v>26267.13</v>
      </c>
      <c r="I4" s="9" t="s">
        <v>74</v>
      </c>
      <c r="J4" s="9"/>
      <c r="K4" s="9" t="s">
        <v>73</v>
      </c>
      <c r="L4" s="9"/>
      <c r="M4" s="9"/>
      <c r="N4" s="9"/>
    </row>
    <row r="5" spans="1:14" ht="35.1" customHeight="1" x14ac:dyDescent="0.25">
      <c r="A5" s="9" t="s">
        <v>72</v>
      </c>
      <c r="B5" s="9" t="s">
        <v>33</v>
      </c>
      <c r="C5" s="9" t="s">
        <v>38</v>
      </c>
      <c r="D5" s="9" t="s">
        <v>71</v>
      </c>
      <c r="E5" s="9"/>
      <c r="F5" s="9" t="s">
        <v>19</v>
      </c>
      <c r="G5" s="9" t="s">
        <v>13</v>
      </c>
      <c r="H5" s="14">
        <v>38044.800000000003</v>
      </c>
      <c r="I5" s="9" t="s">
        <v>70</v>
      </c>
      <c r="J5" s="9"/>
      <c r="K5" s="9" t="s">
        <v>69</v>
      </c>
      <c r="L5" s="9"/>
      <c r="M5" s="9"/>
      <c r="N5" s="9"/>
    </row>
    <row r="6" spans="1:14" ht="35.1" customHeight="1" x14ac:dyDescent="0.25">
      <c r="A6" s="9" t="s">
        <v>68</v>
      </c>
      <c r="B6" s="9" t="s">
        <v>33</v>
      </c>
      <c r="C6" s="9" t="s">
        <v>38</v>
      </c>
      <c r="D6" s="9" t="s">
        <v>67</v>
      </c>
      <c r="E6" s="9"/>
      <c r="F6" s="9" t="s">
        <v>16</v>
      </c>
      <c r="G6" s="9" t="s">
        <v>11</v>
      </c>
      <c r="H6" s="14">
        <v>21814.5</v>
      </c>
      <c r="I6" s="9"/>
      <c r="J6" s="9"/>
      <c r="K6" s="9" t="s">
        <v>66</v>
      </c>
      <c r="L6" s="9"/>
      <c r="M6" s="9"/>
      <c r="N6" s="9"/>
    </row>
    <row r="7" spans="1:14" ht="35.1" customHeight="1" x14ac:dyDescent="0.25">
      <c r="A7" s="9" t="s">
        <v>65</v>
      </c>
      <c r="B7" s="9" t="s">
        <v>33</v>
      </c>
      <c r="C7" s="9" t="s">
        <v>38</v>
      </c>
      <c r="D7" s="9" t="s">
        <v>64</v>
      </c>
      <c r="E7" s="9"/>
      <c r="F7" s="9" t="s">
        <v>10</v>
      </c>
      <c r="G7" s="9" t="s">
        <v>11</v>
      </c>
      <c r="H7" s="14">
        <v>35626.49</v>
      </c>
      <c r="I7" s="9" t="s">
        <v>63</v>
      </c>
      <c r="J7" s="9"/>
      <c r="K7" s="9" t="s">
        <v>62</v>
      </c>
      <c r="L7" s="9"/>
      <c r="M7" s="9"/>
      <c r="N7" s="9"/>
    </row>
    <row r="8" spans="1:14" ht="35.1" customHeight="1" x14ac:dyDescent="0.25">
      <c r="A8" s="9" t="s">
        <v>61</v>
      </c>
      <c r="B8" s="9" t="s">
        <v>44</v>
      </c>
      <c r="C8" s="9" t="s">
        <v>32</v>
      </c>
      <c r="D8" s="9" t="s">
        <v>60</v>
      </c>
      <c r="E8" s="9"/>
      <c r="F8" s="9" t="s">
        <v>21</v>
      </c>
      <c r="G8" s="9" t="s">
        <v>11</v>
      </c>
      <c r="H8" s="14">
        <v>32102.94</v>
      </c>
      <c r="I8" s="9" t="s">
        <v>59</v>
      </c>
      <c r="J8" s="9"/>
      <c r="K8" s="9" t="s">
        <v>58</v>
      </c>
      <c r="L8" s="9"/>
      <c r="M8" s="9"/>
      <c r="N8" s="9"/>
    </row>
    <row r="9" spans="1:14" ht="35.1" customHeight="1" x14ac:dyDescent="0.25">
      <c r="A9" s="9" t="s">
        <v>57</v>
      </c>
      <c r="B9" s="9" t="s">
        <v>33</v>
      </c>
      <c r="C9" s="9" t="s">
        <v>38</v>
      </c>
      <c r="D9" s="9" t="s">
        <v>56</v>
      </c>
      <c r="E9" s="9"/>
      <c r="F9" s="9" t="s">
        <v>14</v>
      </c>
      <c r="G9" s="9" t="s">
        <v>13</v>
      </c>
      <c r="H9" s="14">
        <v>50448</v>
      </c>
      <c r="I9" s="9" t="s">
        <v>55</v>
      </c>
      <c r="J9" s="9"/>
      <c r="K9" s="9" t="s">
        <v>54</v>
      </c>
      <c r="L9" s="9"/>
      <c r="M9" s="9"/>
      <c r="N9" s="9"/>
    </row>
    <row r="10" spans="1:14" ht="35.1" customHeight="1" x14ac:dyDescent="0.25">
      <c r="A10" s="9" t="s">
        <v>53</v>
      </c>
      <c r="B10" s="9" t="s">
        <v>33</v>
      </c>
      <c r="C10" s="9" t="s">
        <v>32</v>
      </c>
      <c r="D10" s="9" t="s">
        <v>52</v>
      </c>
      <c r="E10" s="9"/>
      <c r="F10" s="9" t="s">
        <v>20</v>
      </c>
      <c r="G10" s="9" t="s">
        <v>11</v>
      </c>
      <c r="H10" s="14">
        <v>27892.44</v>
      </c>
      <c r="I10" s="9" t="s">
        <v>51</v>
      </c>
      <c r="J10" s="9"/>
      <c r="K10" s="9" t="s">
        <v>50</v>
      </c>
      <c r="L10" s="9"/>
      <c r="M10" s="9"/>
      <c r="N10" s="9"/>
    </row>
    <row r="11" spans="1:14" ht="35.1" customHeight="1" x14ac:dyDescent="0.25">
      <c r="A11" s="9" t="s">
        <v>49</v>
      </c>
      <c r="B11" s="9" t="s">
        <v>44</v>
      </c>
      <c r="C11" s="9" t="s">
        <v>38</v>
      </c>
      <c r="D11" s="9" t="s">
        <v>48</v>
      </c>
      <c r="E11" s="9"/>
      <c r="F11" s="9" t="s">
        <v>23</v>
      </c>
      <c r="G11" s="9" t="s">
        <v>13</v>
      </c>
      <c r="H11" s="14">
        <v>35308.080000000002</v>
      </c>
      <c r="I11" s="9" t="s">
        <v>47</v>
      </c>
      <c r="J11" s="9"/>
      <c r="K11" s="9" t="s">
        <v>46</v>
      </c>
      <c r="L11" s="9"/>
      <c r="M11" s="9"/>
      <c r="N11" s="9"/>
    </row>
    <row r="12" spans="1:14" ht="35.1" customHeight="1" x14ac:dyDescent="0.25">
      <c r="A12" s="9" t="s">
        <v>45</v>
      </c>
      <c r="B12" s="9" t="s">
        <v>44</v>
      </c>
      <c r="C12" s="9" t="s">
        <v>32</v>
      </c>
      <c r="D12" s="9" t="s">
        <v>43</v>
      </c>
      <c r="E12" s="9"/>
      <c r="F12" s="9" t="s">
        <v>22</v>
      </c>
      <c r="G12" s="9" t="s">
        <v>13</v>
      </c>
      <c r="H12" s="14">
        <v>70159.31</v>
      </c>
      <c r="I12" s="9" t="s">
        <v>42</v>
      </c>
      <c r="J12" s="9"/>
      <c r="K12" s="9" t="s">
        <v>41</v>
      </c>
      <c r="L12" s="9"/>
      <c r="M12" s="9" t="s">
        <v>40</v>
      </c>
      <c r="N12" s="9"/>
    </row>
    <row r="13" spans="1:14" ht="35.1" customHeight="1" x14ac:dyDescent="0.25">
      <c r="A13" s="9" t="s">
        <v>39</v>
      </c>
      <c r="B13" s="9" t="s">
        <v>33</v>
      </c>
      <c r="C13" s="9" t="s">
        <v>38</v>
      </c>
      <c r="D13" s="9" t="s">
        <v>37</v>
      </c>
      <c r="E13" s="9"/>
      <c r="F13" s="9" t="s">
        <v>15</v>
      </c>
      <c r="G13" s="9" t="s">
        <v>11</v>
      </c>
      <c r="H13" s="14">
        <v>38372.6</v>
      </c>
      <c r="I13" s="9" t="s">
        <v>36</v>
      </c>
      <c r="J13" s="9"/>
      <c r="K13" s="9" t="s">
        <v>35</v>
      </c>
      <c r="L13" s="9"/>
      <c r="M13" s="9"/>
      <c r="N13" s="9"/>
    </row>
    <row r="14" spans="1:14" ht="35.1" customHeight="1" x14ac:dyDescent="0.25">
      <c r="A14" s="9" t="s">
        <v>34</v>
      </c>
      <c r="B14" s="9" t="s">
        <v>33</v>
      </c>
      <c r="C14" s="9" t="s">
        <v>32</v>
      </c>
      <c r="D14" s="9" t="s">
        <v>31</v>
      </c>
      <c r="E14" s="9"/>
      <c r="F14" s="9" t="s">
        <v>17</v>
      </c>
      <c r="G14" s="9" t="s">
        <v>18</v>
      </c>
      <c r="H14" s="14">
        <v>49193.59</v>
      </c>
      <c r="I14" s="9" t="s">
        <v>30</v>
      </c>
      <c r="J14" s="9"/>
      <c r="K14" s="9" t="s">
        <v>29</v>
      </c>
      <c r="L14" s="9"/>
      <c r="M14" s="9"/>
      <c r="N14" s="9"/>
    </row>
    <row r="15" spans="1:14" ht="35.1" customHeight="1" x14ac:dyDescent="0.25">
      <c r="A15" s="15"/>
      <c r="B15" s="15"/>
      <c r="C15" s="15"/>
      <c r="D15" s="15" t="s">
        <v>28</v>
      </c>
      <c r="E15" s="15"/>
      <c r="F15" s="15"/>
      <c r="G15" s="15"/>
      <c r="H15" s="16">
        <f>SUM(H4:H14)</f>
        <v>425229.88</v>
      </c>
      <c r="I15" s="15"/>
      <c r="J15" s="15"/>
      <c r="K15" s="15"/>
      <c r="L15" s="15"/>
      <c r="M15" s="15"/>
      <c r="N15" s="9"/>
    </row>
    <row r="16" spans="1:14" ht="35.1" customHeight="1" x14ac:dyDescent="0.2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</row>
    <row r="17" spans="1:14" ht="35.1" customHeight="1" x14ac:dyDescent="0.2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</row>
    <row r="18" spans="1:14" ht="35.1" customHeight="1" x14ac:dyDescent="0.25"/>
    <row r="19" spans="1:14" ht="35.1" customHeight="1" x14ac:dyDescent="0.25"/>
    <row r="20" spans="1:14" ht="35.1" customHeight="1" x14ac:dyDescent="0.25"/>
  </sheetData>
  <mergeCells count="2">
    <mergeCell ref="A2:F2"/>
    <mergeCell ref="G2:M2"/>
  </mergeCells>
  <pageMargins left="0.7" right="0.7" top="0.75" bottom="0.75" header="0.3" footer="0.3"/>
  <pageSetup paperSize="5" scale="56" fitToHeight="0" orientation="landscape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3F017-8D6F-4B92-919B-C0145B62080E}">
  <sheetPr>
    <pageSetUpPr fitToPage="1"/>
  </sheetPr>
  <dimension ref="A1:E26"/>
  <sheetViews>
    <sheetView workbookViewId="0">
      <pane ySplit="3" topLeftCell="A4" activePane="bottomLeft" state="frozen"/>
      <selection pane="bottomLeft" activeCell="E14" sqref="E14"/>
    </sheetView>
  </sheetViews>
  <sheetFormatPr defaultRowHeight="15" x14ac:dyDescent="0.25"/>
  <cols>
    <col min="1" max="1" width="16.42578125" style="8" bestFit="1" customWidth="1"/>
    <col min="2" max="2" width="14" style="8" bestFit="1" customWidth="1"/>
    <col min="3" max="3" width="25.5703125" style="8" bestFit="1" customWidth="1"/>
    <col min="4" max="4" width="19.28515625" style="8" bestFit="1" customWidth="1"/>
    <col min="5" max="5" width="30.7109375" style="8" bestFit="1" customWidth="1"/>
    <col min="6" max="16384" width="9.140625" style="8"/>
  </cols>
  <sheetData>
    <row r="1" spans="1:5" x14ac:dyDescent="0.25">
      <c r="A1" s="9"/>
      <c r="B1" s="9"/>
      <c r="C1" s="9" t="s">
        <v>3</v>
      </c>
      <c r="D1" s="10">
        <v>45644</v>
      </c>
      <c r="E1" s="9" t="s">
        <v>2</v>
      </c>
    </row>
    <row r="2" spans="1:5" x14ac:dyDescent="0.25">
      <c r="A2" s="11" t="s">
        <v>0</v>
      </c>
      <c r="B2" s="12"/>
      <c r="C2" s="12"/>
      <c r="D2" s="13" t="s">
        <v>93</v>
      </c>
      <c r="E2" s="12"/>
    </row>
    <row r="3" spans="1:5" x14ac:dyDescent="0.25">
      <c r="A3" s="9" t="s">
        <v>87</v>
      </c>
      <c r="B3" s="9" t="s">
        <v>85</v>
      </c>
      <c r="C3" s="9" t="s">
        <v>84</v>
      </c>
      <c r="D3" s="9" t="s">
        <v>83</v>
      </c>
      <c r="E3" s="9" t="s">
        <v>4</v>
      </c>
    </row>
    <row r="4" spans="1:5" x14ac:dyDescent="0.25">
      <c r="A4" s="9" t="s">
        <v>61</v>
      </c>
      <c r="B4" s="9" t="s">
        <v>32</v>
      </c>
      <c r="C4" s="9" t="s">
        <v>60</v>
      </c>
      <c r="D4" s="9"/>
      <c r="E4" s="9" t="s">
        <v>21</v>
      </c>
    </row>
    <row r="5" spans="1:5" x14ac:dyDescent="0.25">
      <c r="A5" s="9" t="s">
        <v>53</v>
      </c>
      <c r="B5" s="9" t="s">
        <v>32</v>
      </c>
      <c r="C5" s="9" t="s">
        <v>52</v>
      </c>
      <c r="D5" s="9"/>
      <c r="E5" s="9" t="s">
        <v>20</v>
      </c>
    </row>
    <row r="6" spans="1:5" x14ac:dyDescent="0.25">
      <c r="A6" s="9" t="s">
        <v>45</v>
      </c>
      <c r="B6" s="9" t="s">
        <v>32</v>
      </c>
      <c r="C6" s="9" t="s">
        <v>40</v>
      </c>
      <c r="D6" s="9" t="s">
        <v>43</v>
      </c>
      <c r="E6" s="9" t="s">
        <v>22</v>
      </c>
    </row>
    <row r="7" spans="1:5" x14ac:dyDescent="0.25">
      <c r="A7" s="9" t="s">
        <v>34</v>
      </c>
      <c r="B7" s="9" t="s">
        <v>32</v>
      </c>
      <c r="C7" s="9" t="s">
        <v>31</v>
      </c>
      <c r="D7" s="9"/>
      <c r="E7" s="9" t="s">
        <v>17</v>
      </c>
    </row>
    <row r="8" spans="1:5" x14ac:dyDescent="0.25">
      <c r="A8" s="15"/>
      <c r="B8" s="15"/>
      <c r="C8" s="15" t="s">
        <v>92</v>
      </c>
      <c r="D8" s="15"/>
      <c r="E8" s="15"/>
    </row>
    <row r="9" spans="1:5" x14ac:dyDescent="0.25">
      <c r="A9" s="9"/>
      <c r="B9" s="9"/>
      <c r="C9" s="9"/>
      <c r="D9" s="9"/>
      <c r="E9" s="9"/>
    </row>
    <row r="10" spans="1:5" x14ac:dyDescent="0.25">
      <c r="A10" s="9"/>
      <c r="B10" s="9"/>
      <c r="C10" s="9"/>
      <c r="D10" s="9"/>
      <c r="E10" s="9"/>
    </row>
    <row r="11" spans="1:5" x14ac:dyDescent="0.25">
      <c r="A11" s="9" t="s">
        <v>91</v>
      </c>
      <c r="B11" s="9"/>
      <c r="C11" s="9"/>
      <c r="D11" s="9"/>
      <c r="E11" s="9"/>
    </row>
    <row r="12" spans="1:5" x14ac:dyDescent="0.25">
      <c r="A12" s="9"/>
      <c r="B12" s="9"/>
      <c r="C12" s="9"/>
      <c r="D12" s="9"/>
      <c r="E12" s="9"/>
    </row>
    <row r="13" spans="1:5" x14ac:dyDescent="0.25">
      <c r="A13" s="9"/>
      <c r="B13" s="9"/>
      <c r="C13" s="9"/>
      <c r="D13" s="9"/>
      <c r="E13" s="9"/>
    </row>
    <row r="14" spans="1:5" x14ac:dyDescent="0.25">
      <c r="A14" s="9" t="s">
        <v>90</v>
      </c>
      <c r="B14" s="9"/>
      <c r="C14" s="9"/>
      <c r="D14" s="9"/>
      <c r="E14" s="9"/>
    </row>
    <row r="15" spans="1:5" x14ac:dyDescent="0.25">
      <c r="A15" s="9"/>
      <c r="B15" s="9"/>
      <c r="C15" s="9"/>
      <c r="D15" s="9"/>
      <c r="E15" s="9"/>
    </row>
    <row r="16" spans="1:5" x14ac:dyDescent="0.25">
      <c r="A16" s="9"/>
      <c r="B16" s="9"/>
      <c r="C16" s="9"/>
      <c r="D16" s="9"/>
      <c r="E16" s="9"/>
    </row>
    <row r="17" spans="1:5" x14ac:dyDescent="0.25">
      <c r="A17" s="9" t="s">
        <v>89</v>
      </c>
      <c r="B17" s="9"/>
      <c r="C17" s="9"/>
      <c r="D17" s="9"/>
      <c r="E17" s="9"/>
    </row>
    <row r="18" spans="1:5" x14ac:dyDescent="0.25">
      <c r="A18" s="9"/>
      <c r="B18" s="9"/>
      <c r="C18" s="9"/>
      <c r="D18" s="9"/>
      <c r="E18" s="9"/>
    </row>
    <row r="19" spans="1:5" x14ac:dyDescent="0.25">
      <c r="A19" s="9"/>
      <c r="B19" s="9"/>
      <c r="C19" s="9"/>
      <c r="D19" s="9"/>
      <c r="E19" s="9"/>
    </row>
    <row r="20" spans="1:5" x14ac:dyDescent="0.25">
      <c r="A20" s="9"/>
      <c r="B20" s="9"/>
      <c r="C20" s="9"/>
      <c r="D20" s="9"/>
      <c r="E20" s="9"/>
    </row>
    <row r="21" spans="1:5" x14ac:dyDescent="0.25">
      <c r="A21" s="9"/>
      <c r="B21" s="9"/>
      <c r="C21" s="9"/>
      <c r="D21" s="9"/>
      <c r="E21" s="9"/>
    </row>
    <row r="22" spans="1:5" x14ac:dyDescent="0.25">
      <c r="A22" s="9"/>
      <c r="B22" s="9"/>
      <c r="C22" s="9"/>
      <c r="D22" s="9"/>
      <c r="E22" s="9"/>
    </row>
    <row r="23" spans="1:5" x14ac:dyDescent="0.25">
      <c r="A23" s="9"/>
      <c r="B23" s="9"/>
      <c r="C23" s="9"/>
      <c r="D23" s="9"/>
      <c r="E23" s="9"/>
    </row>
    <row r="24" spans="1:5" x14ac:dyDescent="0.25">
      <c r="A24" s="9"/>
      <c r="B24" s="9"/>
      <c r="C24" s="9"/>
      <c r="D24" s="9"/>
      <c r="E24" s="9"/>
    </row>
    <row r="25" spans="1:5" x14ac:dyDescent="0.25">
      <c r="A25" s="9"/>
      <c r="B25" s="9"/>
      <c r="C25" s="9"/>
      <c r="D25" s="9"/>
      <c r="E25" s="9"/>
    </row>
    <row r="26" spans="1:5" x14ac:dyDescent="0.25">
      <c r="A26" s="9"/>
      <c r="B26" s="9"/>
      <c r="C26" s="9"/>
      <c r="D26" s="9"/>
      <c r="E26" s="9"/>
    </row>
  </sheetData>
  <mergeCells count="2">
    <mergeCell ref="A2:C2"/>
    <mergeCell ref="D2:E2"/>
  </mergeCells>
  <pageMargins left="0.7" right="0.7" top="0.75" bottom="0.75" header="0.3" footer="0.3"/>
  <pageSetup scale="85" fitToHeight="0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Funding Worksheet - ACH Version</vt:lpstr>
      <vt:lpstr>Funding Worksheet - Folder Vers</vt:lpstr>
      <vt:lpstr>Funding Worksheet - Signoff 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Neli Oliveira</cp:lastModifiedBy>
  <cp:lastPrinted>2024-12-18T19:53:47Z</cp:lastPrinted>
  <dcterms:created xsi:type="dcterms:W3CDTF">2024-12-18T19:40:44Z</dcterms:created>
  <dcterms:modified xsi:type="dcterms:W3CDTF">2024-12-18T19:53:50Z</dcterms:modified>
</cp:coreProperties>
</file>