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CCEEA4A-3C3B-45CA-BEA1-05D9E90E5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F9" i="1"/>
  <c r="H14" i="1"/>
  <c r="E14" i="1"/>
  <c r="D14" i="1"/>
  <c r="C14" i="1"/>
</calcChain>
</file>

<file path=xl/sharedStrings.xml><?xml version="1.0" encoding="utf-8"?>
<sst xmlns="http://schemas.openxmlformats.org/spreadsheetml/2006/main" count="107" uniqueCount="61">
  <si>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</si>
  <si>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</si>
  <si>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</si>
  <si>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</si>
  <si>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</si>
  <si>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</si>
  <si>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</si>
  <si>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</si>
  <si>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</si>
  <si>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</si>
  <si>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Grieco Toyota</t>
  </si>
  <si>
    <t>Rachel Gorham</t>
  </si>
  <si>
    <t>Mathieu Ford Sales, Inc</t>
  </si>
  <si>
    <t>Neli Oliveira</t>
  </si>
  <si>
    <t>NARSA AMC LLC d/b/a</t>
  </si>
  <si>
    <t>New England Automax Inc (marlborough)</t>
  </si>
  <si>
    <t>T F Murphy Enterprises Inc</t>
  </si>
  <si>
    <t>Column1</t>
  </si>
  <si>
    <t>Column2</t>
  </si>
  <si>
    <t># 6</t>
  </si>
  <si>
    <t>CARROZZA</t>
  </si>
  <si>
    <t>k.kenn22@gmail.com</t>
  </si>
  <si>
    <t>KENNEDY, KRISTIN</t>
  </si>
  <si>
    <t>Paper</t>
  </si>
  <si>
    <t>DealerTrack</t>
  </si>
  <si>
    <t>151211580</t>
  </si>
  <si>
    <t>CANAJ</t>
  </si>
  <si>
    <t>ALEXANDERAOMERAJ16@GMAIL.COM</t>
  </si>
  <si>
    <t>OMERAJ, MARGARITA</t>
  </si>
  <si>
    <t>151211572</t>
  </si>
  <si>
    <t>FRONTIERO</t>
  </si>
  <si>
    <t>PHILBROOK, STEPHEN</t>
  </si>
  <si>
    <t>E Contract</t>
  </si>
  <si>
    <t>151211506e</t>
  </si>
  <si>
    <t>DECARMA</t>
  </si>
  <si>
    <t>GIAMMASI, LUCY</t>
  </si>
  <si>
    <t>Route One</t>
  </si>
  <si>
    <t>151211431e</t>
  </si>
  <si>
    <t>GOODNOW</t>
  </si>
  <si>
    <t>RICARD, ERIC</t>
  </si>
  <si>
    <t>151211316e</t>
  </si>
  <si>
    <t>QUIGLEY</t>
  </si>
  <si>
    <t>alyson.mclaughlin.1@gmail.com</t>
  </si>
  <si>
    <t>MCLAUGHLIN, ALYSON</t>
  </si>
  <si>
    <t>151211291e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</si>
  <si>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</si>
  <si>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</si>
  <si>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</si>
  <si>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</si>
  <si>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</si>
  <si>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</si>
  <si>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</si>
  <si>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</si>
  <si>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</si>
  <si>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</si>
  <si>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</si>
  <si>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</t>
  </si>
  <si>
    <t>Received By___________________________________________________________</t>
  </si>
  <si>
    <t>Delivered By___________________________________________________________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</si>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</sst>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6AB5BA05-C812-484A-B8A6-CBEB729F732F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6A0D109-84EA-4A69-8942-7C871BBF94C2}" name="Column1" dataDxfId="23"/>
    <tableColumn id="8" xr3:uid="{71DBF81C-7249-4970-A379-4A2415494525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32F247-94ED-4894-BA13-4F8CE395E244}" name="Table_13" displayName="Table_13" ref="A3:L10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795484-A125-411D-80A2-210D545EDD18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workbookViewId="0">
      <pane ySplit="3" topLeftCell="A4" activePane="bottomLeft" state="frozen"/>
      <selection pane="bottomLeft" activeCell="H22" sqref="H22"/>
    </sheetView>
  </sheetViews>
  <sheetFormatPr defaultRowHeight="15" x14ac:dyDescent="0.25"/>
  <cols>
    <col min="1" max="1" width="39" bestFit="1" customWidth="1"/>
    <col min="2" max="2" width="15.140625" bestFit="1" customWidth="1"/>
    <col min="3" max="3" width="11.140625" bestFit="1" customWidth="1"/>
    <col min="4" max="4" width="1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45877</v>
      </c>
      <c r="E1" t="s">
        <v>2</v>
      </c>
      <c r="H1" s="4">
        <v>45877.999988425923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17</v>
      </c>
      <c r="G3" t="s">
        <v>18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23911.56</v>
      </c>
      <c r="F4" s="2"/>
      <c r="G4" s="2"/>
      <c r="H4" s="2">
        <v>23986.560000000001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850</v>
      </c>
      <c r="D6" s="2">
        <v>0</v>
      </c>
      <c r="E6" s="2">
        <v>30342</v>
      </c>
      <c r="F6" s="2"/>
      <c r="G6" s="2"/>
      <c r="H6" s="2">
        <v>30417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850</v>
      </c>
      <c r="D8" s="2">
        <v>0</v>
      </c>
      <c r="E8" s="2">
        <v>30797.19</v>
      </c>
      <c r="F8" s="2"/>
      <c r="G8" s="2"/>
      <c r="H8" s="2">
        <v>30872.19</v>
      </c>
    </row>
    <row r="9" spans="1:8" x14ac:dyDescent="0.25">
      <c r="A9" t="s">
        <v>14</v>
      </c>
      <c r="B9" t="s">
        <v>13</v>
      </c>
      <c r="C9" s="2">
        <v>650</v>
      </c>
      <c r="D9" s="2">
        <v>0</v>
      </c>
      <c r="E9" s="2">
        <v>21922.19</v>
      </c>
      <c r="F9" s="2">
        <f>SUM(E8:E9)</f>
        <v>52719.38</v>
      </c>
      <c r="G9" s="2"/>
      <c r="H9" s="2">
        <v>21997.19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850</v>
      </c>
      <c r="D11" s="2">
        <v>0</v>
      </c>
      <c r="E11" s="2">
        <v>31553.06</v>
      </c>
      <c r="F11" s="2"/>
      <c r="G11" s="2"/>
      <c r="H11" s="2">
        <v>31628.06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850</v>
      </c>
      <c r="D13" s="2">
        <v>0</v>
      </c>
      <c r="E13" s="2">
        <v>34504.129999999997</v>
      </c>
      <c r="F13" s="2"/>
      <c r="G13" s="2"/>
      <c r="H13" s="2">
        <v>34579.129999999997</v>
      </c>
    </row>
    <row r="14" spans="1:8" x14ac:dyDescent="0.25">
      <c r="A14" s="1"/>
      <c r="B14" s="1"/>
      <c r="C14" s="3">
        <f>SUM(C4:C13)</f>
        <v>4700</v>
      </c>
      <c r="D14" s="3">
        <f>SUM(D4:D13)</f>
        <v>0</v>
      </c>
      <c r="E14" s="3">
        <f>SUM(E4:E13)</f>
        <v>173030.13</v>
      </c>
      <c r="F14" s="3"/>
      <c r="G14" s="3"/>
      <c r="H14" s="3">
        <f>SUM(H4:H13)</f>
        <v>173480.13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76AB-6690-4D53-BB1E-0EF59745EE0C}">
  <sheetPr>
    <pageSetUpPr fitToPage="1"/>
  </sheetPr>
  <dimension ref="A1:L16"/>
  <sheetViews>
    <sheetView workbookViewId="0">
      <pane ySplit="3" topLeftCell="A4" activePane="bottomLeft" state="frozen"/>
      <selection pane="bottomLeft" activeCell="A9" sqref="A4:A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85546875" style="8" bestFit="1" customWidth="1"/>
    <col min="5" max="5" width="18.7109375" style="8" bestFit="1" customWidth="1"/>
    <col min="6" max="6" width="39" style="8" bestFit="1" customWidth="1"/>
    <col min="7" max="7" width="15.140625" style="8" bestFit="1" customWidth="1"/>
    <col min="8" max="8" width="17.140625" style="8" bestFit="1" customWidth="1"/>
    <col min="9" max="9" width="35.5703125" style="8" bestFit="1" customWidth="1"/>
    <col min="10" max="10" width="18.42578125" style="8" bestFit="1" customWidth="1"/>
    <col min="11" max="11" width="15" style="8" bestFit="1" customWidth="1"/>
    <col min="12" max="12" width="12.85546875" style="8" bestFit="1" customWidth="1"/>
    <col min="13" max="16384" width="9.140625" style="8"/>
  </cols>
  <sheetData>
    <row r="1" spans="1:12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45877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55</v>
      </c>
      <c r="H2" s="12"/>
      <c r="I2" s="12"/>
      <c r="J2" s="12"/>
      <c r="K2" s="12"/>
      <c r="L2" s="12"/>
    </row>
    <row r="3" spans="1:12" ht="35.1" customHeight="1" x14ac:dyDescent="0.25">
      <c r="A3" s="9" t="s">
        <v>54</v>
      </c>
      <c r="B3" s="9" t="s">
        <v>53</v>
      </c>
      <c r="C3" s="9" t="s">
        <v>52</v>
      </c>
      <c r="D3" s="9" t="s">
        <v>51</v>
      </c>
      <c r="E3" s="9" t="s">
        <v>50</v>
      </c>
      <c r="F3" s="9" t="s">
        <v>4</v>
      </c>
      <c r="G3" s="9" t="s">
        <v>5</v>
      </c>
      <c r="H3" s="9" t="s">
        <v>49</v>
      </c>
      <c r="I3" s="9" t="s">
        <v>48</v>
      </c>
      <c r="J3" s="9" t="s">
        <v>47</v>
      </c>
      <c r="K3" s="9" t="s">
        <v>46</v>
      </c>
      <c r="L3" s="9" t="s">
        <v>45</v>
      </c>
    </row>
    <row r="4" spans="1:12" ht="35.1" customHeight="1" x14ac:dyDescent="0.25">
      <c r="A4" s="9" t="s">
        <v>44</v>
      </c>
      <c r="B4" s="9" t="s">
        <v>36</v>
      </c>
      <c r="C4" s="9" t="s">
        <v>32</v>
      </c>
      <c r="D4" s="9" t="s">
        <v>43</v>
      </c>
      <c r="E4" s="9"/>
      <c r="F4" s="9" t="s">
        <v>16</v>
      </c>
      <c r="G4" s="9" t="s">
        <v>11</v>
      </c>
      <c r="H4" s="14">
        <v>34579.129999999997</v>
      </c>
      <c r="I4" s="9" t="s">
        <v>42</v>
      </c>
      <c r="J4" s="9"/>
      <c r="K4" s="9" t="s">
        <v>41</v>
      </c>
      <c r="L4" s="9"/>
    </row>
    <row r="5" spans="1:12" ht="35.1" customHeight="1" x14ac:dyDescent="0.25">
      <c r="A5" s="9" t="s">
        <v>40</v>
      </c>
      <c r="B5" s="9" t="s">
        <v>36</v>
      </c>
      <c r="C5" s="9" t="s">
        <v>32</v>
      </c>
      <c r="D5" s="9" t="s">
        <v>39</v>
      </c>
      <c r="E5" s="9"/>
      <c r="F5" s="9" t="s">
        <v>12</v>
      </c>
      <c r="G5" s="9" t="s">
        <v>13</v>
      </c>
      <c r="H5" s="14">
        <v>30417</v>
      </c>
      <c r="I5" s="9"/>
      <c r="J5" s="9"/>
      <c r="K5" s="9" t="s">
        <v>38</v>
      </c>
      <c r="L5" s="9"/>
    </row>
    <row r="6" spans="1:12" ht="35.1" customHeight="1" x14ac:dyDescent="0.25">
      <c r="A6" s="9" t="s">
        <v>37</v>
      </c>
      <c r="B6" s="9" t="s">
        <v>36</v>
      </c>
      <c r="C6" s="9" t="s">
        <v>32</v>
      </c>
      <c r="D6" s="9" t="s">
        <v>35</v>
      </c>
      <c r="E6" s="9"/>
      <c r="F6" s="9" t="s">
        <v>10</v>
      </c>
      <c r="G6" s="9" t="s">
        <v>11</v>
      </c>
      <c r="H6" s="14">
        <v>23986.560000000001</v>
      </c>
      <c r="I6" s="9"/>
      <c r="J6" s="9"/>
      <c r="K6" s="9" t="s">
        <v>34</v>
      </c>
      <c r="L6" s="9"/>
    </row>
    <row r="7" spans="1:12" ht="35.1" customHeight="1" x14ac:dyDescent="0.25">
      <c r="A7" s="9" t="s">
        <v>33</v>
      </c>
      <c r="B7" s="9" t="s">
        <v>24</v>
      </c>
      <c r="C7" s="9" t="s">
        <v>32</v>
      </c>
      <c r="D7" s="9" t="s">
        <v>31</v>
      </c>
      <c r="E7" s="9"/>
      <c r="F7" s="9" t="s">
        <v>15</v>
      </c>
      <c r="G7" s="9" t="s">
        <v>11</v>
      </c>
      <c r="H7" s="14">
        <v>31628.06</v>
      </c>
      <c r="I7" s="9"/>
      <c r="J7" s="9"/>
      <c r="K7" s="9" t="s">
        <v>30</v>
      </c>
      <c r="L7" s="9"/>
    </row>
    <row r="8" spans="1:12" ht="35.1" customHeight="1" x14ac:dyDescent="0.25">
      <c r="A8" s="9" t="s">
        <v>29</v>
      </c>
      <c r="B8" s="9" t="s">
        <v>24</v>
      </c>
      <c r="C8" s="9" t="s">
        <v>23</v>
      </c>
      <c r="D8" s="9" t="s">
        <v>28</v>
      </c>
      <c r="E8" s="9"/>
      <c r="F8" s="9" t="s">
        <v>14</v>
      </c>
      <c r="G8" s="9" t="s">
        <v>13</v>
      </c>
      <c r="H8" s="14">
        <v>21997.19</v>
      </c>
      <c r="I8" s="9" t="s">
        <v>27</v>
      </c>
      <c r="J8" s="9"/>
      <c r="K8" s="9" t="s">
        <v>26</v>
      </c>
      <c r="L8" s="9"/>
    </row>
    <row r="9" spans="1:12" ht="35.1" customHeight="1" x14ac:dyDescent="0.25">
      <c r="A9" s="9" t="s">
        <v>25</v>
      </c>
      <c r="B9" s="9" t="s">
        <v>24</v>
      </c>
      <c r="C9" s="9" t="s">
        <v>23</v>
      </c>
      <c r="D9" s="9" t="s">
        <v>22</v>
      </c>
      <c r="E9" s="9"/>
      <c r="F9" s="9" t="s">
        <v>14</v>
      </c>
      <c r="G9" s="9" t="s">
        <v>13</v>
      </c>
      <c r="H9" s="14">
        <v>30872.19</v>
      </c>
      <c r="I9" s="9" t="s">
        <v>21</v>
      </c>
      <c r="J9" s="9"/>
      <c r="K9" s="9" t="s">
        <v>20</v>
      </c>
      <c r="L9" s="9"/>
    </row>
    <row r="10" spans="1:12" ht="35.1" customHeight="1" x14ac:dyDescent="0.25">
      <c r="A10" s="15"/>
      <c r="B10" s="15"/>
      <c r="C10" s="15"/>
      <c r="D10" s="15" t="s">
        <v>19</v>
      </c>
      <c r="E10" s="15"/>
      <c r="F10" s="15"/>
      <c r="G10" s="15"/>
      <c r="H10" s="16">
        <f>SUM(H4:H9)</f>
        <v>173480.13</v>
      </c>
      <c r="I10" s="15"/>
      <c r="J10" s="15"/>
      <c r="K10" s="15"/>
      <c r="L10" s="15"/>
    </row>
    <row r="11" spans="1:12" ht="35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5.1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5.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578A-20C4-41EA-922B-54B82AE0F505}">
  <sheetPr>
    <pageSetUpPr fitToPage="1"/>
  </sheetPr>
  <dimension ref="A1:E32"/>
  <sheetViews>
    <sheetView workbookViewId="0">
      <pane ySplit="3" topLeftCell="A4" activePane="bottomLeft" state="frozen"/>
      <selection pane="bottomLeft" activeCell="C16" sqref="B16:C1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85546875" style="8" bestFit="1" customWidth="1"/>
    <col min="4" max="4" width="18.710937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45877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60</v>
      </c>
      <c r="E2" s="12"/>
    </row>
    <row r="3" spans="1:5" x14ac:dyDescent="0.25">
      <c r="A3" s="9" t="s">
        <v>54</v>
      </c>
      <c r="B3" s="9" t="s">
        <v>52</v>
      </c>
      <c r="C3" s="9" t="s">
        <v>51</v>
      </c>
      <c r="D3" s="9" t="s">
        <v>50</v>
      </c>
      <c r="E3" s="9" t="s">
        <v>4</v>
      </c>
    </row>
    <row r="4" spans="1:5" x14ac:dyDescent="0.25">
      <c r="A4" s="9" t="s">
        <v>29</v>
      </c>
      <c r="B4" s="9" t="s">
        <v>23</v>
      </c>
      <c r="C4" s="9" t="s">
        <v>28</v>
      </c>
      <c r="D4" s="9"/>
      <c r="E4" s="9" t="s">
        <v>14</v>
      </c>
    </row>
    <row r="5" spans="1:5" x14ac:dyDescent="0.25">
      <c r="A5" s="9" t="s">
        <v>25</v>
      </c>
      <c r="B5" s="9" t="s">
        <v>23</v>
      </c>
      <c r="C5" s="9" t="s">
        <v>22</v>
      </c>
      <c r="D5" s="9"/>
      <c r="E5" s="9" t="s">
        <v>14</v>
      </c>
    </row>
    <row r="6" spans="1:5" x14ac:dyDescent="0.25">
      <c r="A6" s="15"/>
      <c r="B6" s="15"/>
      <c r="C6" s="15" t="s">
        <v>59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58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57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56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</sheetData>
  <mergeCells count="2">
    <mergeCell ref="A2:C2"/>
    <mergeCell ref="D2:E2"/>
  </mergeCells>
  <pageMargins left="0.7" right="0.7" top="0.75" bottom="0.75" header="0.3" footer="0.3"/>
  <pageSetup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2025-08-08T18:30:14Z</cp:lastPrinted>
  <dcterms:created xsi:type="dcterms:W3CDTF">2025-08-08T18:20:29Z</dcterms:created>
  <dcterms:modified xsi:type="dcterms:W3CDTF">2025-08-08T18:32:58Z</dcterms:modified>
</cp:coreProperties>
</file>