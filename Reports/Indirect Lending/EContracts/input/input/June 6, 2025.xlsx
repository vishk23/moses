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D76119E-95D7-4D5A-B992-F9F5BD7A0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F14" i="1"/>
  <c r="H15" i="1"/>
  <c r="E15" i="1"/>
  <c r="D15" i="1"/>
  <c r="C15" i="1"/>
</calcChain>
</file>

<file path=xl/sharedStrings.xml><?xml version="1.0" encoding="utf-8"?>
<sst xmlns="http://schemas.openxmlformats.org/spreadsheetml/2006/main" count="118" uniqueCount="71">
  <si>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</si>
  <si>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</si>
  <si>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</si>
  <si>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</si>
  <si>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</si>
  <si>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</si>
  <si>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</si>
  <si>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</si>
  <si>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</si>
  <si>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</si>
  <si>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Mastria Mazda</t>
  </si>
  <si>
    <t>Neli Oliveira</t>
  </si>
  <si>
    <t>Morris Motor Sales Inc d/b/a</t>
  </si>
  <si>
    <t>Rachel Gorham</t>
  </si>
  <si>
    <t>Patriot Auto Group Inc d/b/a</t>
  </si>
  <si>
    <t>Marlene Braganca</t>
  </si>
  <si>
    <t>Priority Automotive LLC</t>
  </si>
  <si>
    <t>T F Murphy Enterprises Inc</t>
  </si>
  <si>
    <t>Column1</t>
  </si>
  <si>
    <t>Column2</t>
  </si>
  <si>
    <t>5900    6390</t>
  </si>
  <si>
    <t># 1</t>
  </si>
  <si>
    <t>FERANCE</t>
  </si>
  <si>
    <t>LYNCH</t>
  </si>
  <si>
    <t>JULIA@ROSEWATERMV.COM</t>
  </si>
  <si>
    <t>TARKA, ZACHARY</t>
  </si>
  <si>
    <t>TARKA, JULIA</t>
  </si>
  <si>
    <t>E Contract</t>
  </si>
  <si>
    <t>Route One</t>
  </si>
  <si>
    <t>151190049e</t>
  </si>
  <si>
    <t>GERULAITIS</t>
  </si>
  <si>
    <t>RJT07@AOLCOM</t>
  </si>
  <si>
    <t>THIBAULT, RONALD</t>
  </si>
  <si>
    <t>151190023e</t>
  </si>
  <si>
    <t>NEE</t>
  </si>
  <si>
    <t>MAEVEBARKER444@GMAIL.COM</t>
  </si>
  <si>
    <t>BARKER, MAEVE</t>
  </si>
  <si>
    <t>DealerTrack</t>
  </si>
  <si>
    <t>151190015e</t>
  </si>
  <si>
    <t>AMES</t>
  </si>
  <si>
    <t>bradshawcathy@gmail.com</t>
  </si>
  <si>
    <t>BRADSHAW, CATHY</t>
  </si>
  <si>
    <t>151190007e</t>
  </si>
  <si>
    <t>CHAMBERLAND</t>
  </si>
  <si>
    <t>DELISLE, LOGAN</t>
  </si>
  <si>
    <t>Paper</t>
  </si>
  <si>
    <t>151189985</t>
  </si>
  <si>
    <t>MCCARTHY</t>
  </si>
  <si>
    <t>EMOTACULOUS@YAHOO.COM</t>
  </si>
  <si>
    <t>MCCARTHY, SCOTT</t>
  </si>
  <si>
    <t>151189927e</t>
  </si>
  <si>
    <t>Johnston</t>
  </si>
  <si>
    <t>wvogel9544@comcast.net</t>
  </si>
  <si>
    <t>VOGEL, WENDY</t>
  </si>
  <si>
    <t>151189919e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</si>
  <si>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</si>
  <si>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</si>
  <si>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</si>
  <si>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</si>
  <si>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</si>
  <si>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</si>
  <si>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</si>
  <si>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</si>
  <si>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</si>
  <si>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</si>
  <si>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</si>
  <si>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Signed__________________________________________________________________</t>
  </si>
  <si>
    <t>Received BY____________________________________________________________________</t>
  </si>
  <si>
    <t>Delivered By____________________________________________________________________</t>
  </si>
  <si>
    <t>Funding Worksheet - Signoff Version</t>
  </si>
  <si>
    <t>#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</si>
</sst>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B5269884-D21A-493D-916B-366B4A5C0899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0AB4314-55C7-4DE6-8764-C11057B682CB}" name="Column1" dataDxfId="23"/>
    <tableColumn id="8" xr3:uid="{BD0FC81A-B2A1-45F2-A904-6F34363AEC34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00142-8C54-41B4-9D28-E474EA1CE994}" name="Table_13" displayName="Table_13" ref="A3:L1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0290E2-5ACA-4404-8A3A-19A77D7781B6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M21" sqref="M21"/>
    </sheetView>
  </sheetViews>
  <sheetFormatPr defaultRowHeight="15" x14ac:dyDescent="0.25"/>
  <cols>
    <col min="1" max="1" width="26.7109375" bestFit="1" customWidth="1"/>
    <col min="2" max="2" width="17.7109375" bestFit="1" customWidth="1"/>
    <col min="3" max="3" width="11.140625" bestFit="1" customWidth="1"/>
    <col min="4" max="4" width="12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45814</v>
      </c>
      <c r="E1" t="s">
        <v>2</v>
      </c>
      <c r="H1" s="4">
        <v>45814.999988425923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32625.919999999998</v>
      </c>
      <c r="F4" s="2"/>
      <c r="G4" s="2" t="s">
        <v>20</v>
      </c>
      <c r="H4" s="2">
        <v>32700.92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15499.94</v>
      </c>
      <c r="F6" s="2"/>
      <c r="G6" s="2"/>
      <c r="H6" s="2">
        <v>15574.94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750</v>
      </c>
      <c r="D8" s="2">
        <v>0</v>
      </c>
      <c r="E8" s="2">
        <v>29317.69</v>
      </c>
      <c r="F8" s="2"/>
      <c r="G8" s="2"/>
      <c r="H8" s="2">
        <v>29392.69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11</v>
      </c>
      <c r="C10" s="2">
        <v>750</v>
      </c>
      <c r="D10" s="2">
        <v>0</v>
      </c>
      <c r="E10" s="2">
        <v>25229</v>
      </c>
      <c r="F10" s="2"/>
      <c r="G10" s="2"/>
      <c r="H10" s="2">
        <v>25304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13</v>
      </c>
      <c r="C12" s="2">
        <v>1150</v>
      </c>
      <c r="D12" s="2">
        <v>0</v>
      </c>
      <c r="E12" s="2">
        <v>47968.63</v>
      </c>
      <c r="F12" s="2"/>
      <c r="G12" s="2"/>
      <c r="H12" s="2">
        <v>48043.63</v>
      </c>
    </row>
    <row r="13" spans="1:8" x14ac:dyDescent="0.25">
      <c r="A13" t="s">
        <v>17</v>
      </c>
      <c r="B13" t="s">
        <v>11</v>
      </c>
      <c r="C13" s="2">
        <v>950</v>
      </c>
      <c r="D13" s="2">
        <v>0</v>
      </c>
      <c r="E13" s="2">
        <v>36194.75</v>
      </c>
      <c r="F13" s="2"/>
      <c r="G13" s="2"/>
      <c r="H13" s="2">
        <v>36269.75</v>
      </c>
    </row>
    <row r="14" spans="1:8" x14ac:dyDescent="0.25">
      <c r="A14" t="s">
        <v>17</v>
      </c>
      <c r="B14" t="s">
        <v>11</v>
      </c>
      <c r="C14" s="2">
        <v>950</v>
      </c>
      <c r="D14" s="2">
        <v>0</v>
      </c>
      <c r="E14" s="2">
        <v>35768.629999999997</v>
      </c>
      <c r="F14" s="2">
        <f>SUM(E12:E14)</f>
        <v>119932.01000000001</v>
      </c>
      <c r="G14" s="2"/>
      <c r="H14" s="2">
        <v>35843.629999999997</v>
      </c>
    </row>
    <row r="15" spans="1:8" x14ac:dyDescent="0.25">
      <c r="A15" s="1"/>
      <c r="B15" s="1"/>
      <c r="C15" s="3">
        <f>SUM(C4:C14)</f>
        <v>5900</v>
      </c>
      <c r="D15" s="3">
        <f>SUM(D4:D14)</f>
        <v>0</v>
      </c>
      <c r="E15" s="3">
        <f>SUM(E4:E14)</f>
        <v>222604.56</v>
      </c>
      <c r="F15" s="3"/>
      <c r="G15" s="3"/>
      <c r="H15" s="3">
        <f>SUM(H4:H14)</f>
        <v>223129.56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6776-31DD-475E-A499-D7316FE00C79}">
  <sheetPr>
    <pageSetUpPr fitToPage="1"/>
  </sheetPr>
  <dimension ref="A1:L14"/>
  <sheetViews>
    <sheetView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9.140625" style="8" bestFit="1" customWidth="1"/>
    <col min="5" max="5" width="18.7109375" style="8" bestFit="1" customWidth="1"/>
    <col min="6" max="6" width="26.7109375" style="8" bestFit="1" customWidth="1"/>
    <col min="7" max="7" width="17.7109375" style="8" bestFit="1" customWidth="1"/>
    <col min="8" max="8" width="17.140625" style="8" bestFit="1" customWidth="1"/>
    <col min="9" max="9" width="30.85546875" style="8" bestFit="1" customWidth="1"/>
    <col min="10" max="10" width="18.42578125" style="8" bestFit="1" customWidth="1"/>
    <col min="11" max="11" width="15.28515625" style="8" bestFit="1" customWidth="1"/>
    <col min="12" max="12" width="12.85546875" style="8" bestFit="1" customWidth="1"/>
    <col min="13" max="16384" width="9.140625" style="8"/>
  </cols>
  <sheetData>
    <row r="1" spans="1:12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45814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65</v>
      </c>
      <c r="H2" s="12"/>
      <c r="I2" s="12"/>
      <c r="J2" s="12"/>
      <c r="K2" s="12"/>
      <c r="L2" s="12"/>
    </row>
    <row r="3" spans="1:12" ht="35.1" customHeight="1" x14ac:dyDescent="0.25">
      <c r="A3" s="9" t="s">
        <v>64</v>
      </c>
      <c r="B3" s="9" t="s">
        <v>63</v>
      </c>
      <c r="C3" s="9" t="s">
        <v>62</v>
      </c>
      <c r="D3" s="9" t="s">
        <v>61</v>
      </c>
      <c r="E3" s="9" t="s">
        <v>60</v>
      </c>
      <c r="F3" s="9" t="s">
        <v>4</v>
      </c>
      <c r="G3" s="9" t="s">
        <v>5</v>
      </c>
      <c r="H3" s="9" t="s">
        <v>59</v>
      </c>
      <c r="I3" s="9" t="s">
        <v>58</v>
      </c>
      <c r="J3" s="9" t="s">
        <v>57</v>
      </c>
      <c r="K3" s="9" t="s">
        <v>56</v>
      </c>
      <c r="L3" s="9" t="s">
        <v>55</v>
      </c>
    </row>
    <row r="4" spans="1:12" ht="35.1" customHeight="1" x14ac:dyDescent="0.25">
      <c r="A4" s="9" t="s">
        <v>54</v>
      </c>
      <c r="B4" s="9" t="s">
        <v>28</v>
      </c>
      <c r="C4" s="9" t="s">
        <v>27</v>
      </c>
      <c r="D4" s="9" t="s">
        <v>53</v>
      </c>
      <c r="E4" s="9"/>
      <c r="F4" s="9" t="s">
        <v>14</v>
      </c>
      <c r="G4" s="9" t="s">
        <v>15</v>
      </c>
      <c r="H4" s="14">
        <v>29392.69</v>
      </c>
      <c r="I4" s="9" t="s">
        <v>52</v>
      </c>
      <c r="J4" s="9"/>
      <c r="K4" s="9" t="s">
        <v>51</v>
      </c>
      <c r="L4" s="9"/>
    </row>
    <row r="5" spans="1:12" ht="35.1" customHeight="1" x14ac:dyDescent="0.25">
      <c r="A5" s="9" t="s">
        <v>50</v>
      </c>
      <c r="B5" s="9" t="s">
        <v>28</v>
      </c>
      <c r="C5" s="9" t="s">
        <v>27</v>
      </c>
      <c r="D5" s="9" t="s">
        <v>49</v>
      </c>
      <c r="E5" s="9"/>
      <c r="F5" s="9" t="s">
        <v>10</v>
      </c>
      <c r="G5" s="9" t="s">
        <v>11</v>
      </c>
      <c r="H5" s="14">
        <v>32700.92</v>
      </c>
      <c r="I5" s="9" t="s">
        <v>48</v>
      </c>
      <c r="J5" s="9"/>
      <c r="K5" s="9" t="s">
        <v>47</v>
      </c>
      <c r="L5" s="9"/>
    </row>
    <row r="6" spans="1:12" ht="35.1" customHeight="1" x14ac:dyDescent="0.25">
      <c r="A6" s="9" t="s">
        <v>46</v>
      </c>
      <c r="B6" s="9" t="s">
        <v>37</v>
      </c>
      <c r="C6" s="9" t="s">
        <v>45</v>
      </c>
      <c r="D6" s="9" t="s">
        <v>44</v>
      </c>
      <c r="E6" s="9"/>
      <c r="F6" s="9" t="s">
        <v>16</v>
      </c>
      <c r="G6" s="9" t="s">
        <v>11</v>
      </c>
      <c r="H6" s="14">
        <v>25304</v>
      </c>
      <c r="I6" s="9"/>
      <c r="J6" s="9"/>
      <c r="K6" s="9" t="s">
        <v>43</v>
      </c>
      <c r="L6" s="9"/>
    </row>
    <row r="7" spans="1:12" ht="35.1" customHeight="1" x14ac:dyDescent="0.25">
      <c r="A7" s="9" t="s">
        <v>42</v>
      </c>
      <c r="B7" s="9" t="s">
        <v>28</v>
      </c>
      <c r="C7" s="9" t="s">
        <v>27</v>
      </c>
      <c r="D7" s="9" t="s">
        <v>41</v>
      </c>
      <c r="E7" s="9"/>
      <c r="F7" s="9" t="s">
        <v>17</v>
      </c>
      <c r="G7" s="9" t="s">
        <v>11</v>
      </c>
      <c r="H7" s="14">
        <v>36269.75</v>
      </c>
      <c r="I7" s="9" t="s">
        <v>40</v>
      </c>
      <c r="J7" s="9"/>
      <c r="K7" s="9" t="s">
        <v>39</v>
      </c>
      <c r="L7" s="9"/>
    </row>
    <row r="8" spans="1:12" ht="35.1" customHeight="1" x14ac:dyDescent="0.25">
      <c r="A8" s="9" t="s">
        <v>38</v>
      </c>
      <c r="B8" s="9" t="s">
        <v>37</v>
      </c>
      <c r="C8" s="9" t="s">
        <v>27</v>
      </c>
      <c r="D8" s="9" t="s">
        <v>36</v>
      </c>
      <c r="E8" s="9"/>
      <c r="F8" s="9" t="s">
        <v>12</v>
      </c>
      <c r="G8" s="9" t="s">
        <v>13</v>
      </c>
      <c r="H8" s="14">
        <v>15574.94</v>
      </c>
      <c r="I8" s="9" t="s">
        <v>35</v>
      </c>
      <c r="J8" s="9"/>
      <c r="K8" s="9" t="s">
        <v>34</v>
      </c>
      <c r="L8" s="9"/>
    </row>
    <row r="9" spans="1:12" ht="35.1" customHeight="1" x14ac:dyDescent="0.25">
      <c r="A9" s="9" t="s">
        <v>33</v>
      </c>
      <c r="B9" s="9" t="s">
        <v>28</v>
      </c>
      <c r="C9" s="9" t="s">
        <v>27</v>
      </c>
      <c r="D9" s="9" t="s">
        <v>32</v>
      </c>
      <c r="E9" s="9"/>
      <c r="F9" s="9" t="s">
        <v>17</v>
      </c>
      <c r="G9" s="9" t="s">
        <v>11</v>
      </c>
      <c r="H9" s="14">
        <v>35843.629999999997</v>
      </c>
      <c r="I9" s="9" t="s">
        <v>31</v>
      </c>
      <c r="J9" s="9"/>
      <c r="K9" s="9" t="s">
        <v>30</v>
      </c>
      <c r="L9" s="9"/>
    </row>
    <row r="10" spans="1:12" ht="35.1" customHeight="1" x14ac:dyDescent="0.25">
      <c r="A10" s="9" t="s">
        <v>29</v>
      </c>
      <c r="B10" s="9" t="s">
        <v>28</v>
      </c>
      <c r="C10" s="9" t="s">
        <v>27</v>
      </c>
      <c r="D10" s="9" t="s">
        <v>26</v>
      </c>
      <c r="E10" s="9" t="s">
        <v>25</v>
      </c>
      <c r="F10" s="9" t="s">
        <v>17</v>
      </c>
      <c r="G10" s="9" t="s">
        <v>13</v>
      </c>
      <c r="H10" s="14">
        <v>48043.63</v>
      </c>
      <c r="I10" s="9" t="s">
        <v>24</v>
      </c>
      <c r="J10" s="9"/>
      <c r="K10" s="9" t="s">
        <v>23</v>
      </c>
      <c r="L10" s="9" t="s">
        <v>22</v>
      </c>
    </row>
    <row r="11" spans="1:12" ht="35.1" customHeight="1" x14ac:dyDescent="0.25">
      <c r="A11" s="15"/>
      <c r="B11" s="15"/>
      <c r="C11" s="15"/>
      <c r="D11" s="15" t="s">
        <v>70</v>
      </c>
      <c r="E11" s="15"/>
      <c r="F11" s="15"/>
      <c r="G11" s="15"/>
      <c r="H11" s="16">
        <f>SUM(H4:H10)</f>
        <v>223129.56</v>
      </c>
      <c r="I11" s="15"/>
      <c r="J11" s="15"/>
      <c r="K11" s="15"/>
      <c r="L11" s="15"/>
    </row>
    <row r="12" spans="1:12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5.1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</sheetData>
  <mergeCells count="2">
    <mergeCell ref="A2:F2"/>
    <mergeCell ref="G2:L2"/>
  </mergeCells>
  <pageMargins left="0.7" right="0.7" top="0.75" bottom="0.75" header="0.3" footer="0.3"/>
  <pageSetup paperSize="5" scale="7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9D6A-5A42-4024-A39A-0245096B364D}">
  <sheetPr>
    <pageSetUpPr fitToPage="1"/>
  </sheetPr>
  <dimension ref="A1:G31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9.140625" style="8" bestFit="1" customWidth="1"/>
    <col min="4" max="4" width="18.7109375" style="8" bestFit="1" customWidth="1"/>
    <col min="5" max="5" width="26.7109375" style="8" bestFit="1" customWidth="1"/>
    <col min="6" max="16384" width="9.140625" style="8"/>
  </cols>
  <sheetData>
    <row r="1" spans="1:7" x14ac:dyDescent="0.25">
      <c r="A1" s="9"/>
      <c r="B1" s="9"/>
      <c r="C1" s="9" t="s">
        <v>3</v>
      </c>
      <c r="D1" s="10">
        <v>45814</v>
      </c>
      <c r="E1" s="9" t="s">
        <v>2</v>
      </c>
      <c r="F1" s="9"/>
      <c r="G1" s="9"/>
    </row>
    <row r="2" spans="1:7" x14ac:dyDescent="0.25">
      <c r="A2" s="11" t="s">
        <v>0</v>
      </c>
      <c r="B2" s="12"/>
      <c r="C2" s="12"/>
      <c r="D2" s="13" t="s">
        <v>69</v>
      </c>
      <c r="E2" s="12"/>
      <c r="F2" s="9"/>
      <c r="G2" s="9"/>
    </row>
    <row r="3" spans="1:7" x14ac:dyDescent="0.25">
      <c r="A3" s="9" t="s">
        <v>64</v>
      </c>
      <c r="B3" s="9" t="s">
        <v>62</v>
      </c>
      <c r="C3" s="9" t="s">
        <v>61</v>
      </c>
      <c r="D3" s="9" t="s">
        <v>60</v>
      </c>
      <c r="E3" s="9" t="s">
        <v>4</v>
      </c>
      <c r="F3" s="9"/>
      <c r="G3" s="9"/>
    </row>
    <row r="4" spans="1:7" x14ac:dyDescent="0.25">
      <c r="A4" s="9" t="s">
        <v>46</v>
      </c>
      <c r="B4" s="9" t="s">
        <v>45</v>
      </c>
      <c r="C4" s="9" t="s">
        <v>44</v>
      </c>
      <c r="D4" s="9"/>
      <c r="E4" s="9" t="s">
        <v>16</v>
      </c>
      <c r="F4" s="9"/>
      <c r="G4" s="9"/>
    </row>
    <row r="5" spans="1:7" x14ac:dyDescent="0.25">
      <c r="A5" s="15"/>
      <c r="B5" s="15"/>
      <c r="C5" s="15" t="s">
        <v>21</v>
      </c>
      <c r="D5" s="15"/>
      <c r="E5" s="15"/>
      <c r="F5" s="9"/>
      <c r="G5" s="9"/>
    </row>
    <row r="6" spans="1:7" x14ac:dyDescent="0.25">
      <c r="A6" s="9"/>
      <c r="B6" s="9"/>
      <c r="C6" s="9"/>
      <c r="D6" s="9"/>
      <c r="E6" s="9"/>
      <c r="F6" s="9"/>
      <c r="G6" s="9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 t="s">
        <v>68</v>
      </c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 t="s">
        <v>67</v>
      </c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 t="s">
        <v>66</v>
      </c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</sheetData>
  <mergeCells count="2">
    <mergeCell ref="A2:C2"/>
    <mergeCell ref="D2:E2"/>
  </mergeCells>
  <pageMargins left="0.7" right="0.7" top="0.75" bottom="0.75" header="0.3" footer="0.3"/>
  <pageSetup scale="7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2025-06-06T17:44:02Z</cp:lastPrinted>
  <dcterms:created xsi:type="dcterms:W3CDTF">2025-06-06T17:31:03Z</dcterms:created>
  <dcterms:modified xsi:type="dcterms:W3CDTF">2025-06-06T17:49:28Z</dcterms:modified>
</cp:coreProperties>
</file>