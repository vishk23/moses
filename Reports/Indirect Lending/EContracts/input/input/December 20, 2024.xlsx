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D0E54073-D3C2-4CB2-A0E9-469C9BDEA7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F15" i="1"/>
  <c r="H16" i="1"/>
  <c r="E16" i="1"/>
  <c r="D16" i="1"/>
  <c r="C16" i="1"/>
</calcChain>
</file>

<file path=xl/sharedStrings.xml><?xml version="1.0" encoding="utf-8"?>
<sst xmlns="http://schemas.openxmlformats.org/spreadsheetml/2006/main" count="119" uniqueCount="72">
  <si>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</si>
  <si>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</si>
  <si>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</si>
  <si>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</si>
  <si>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</si>
  <si>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</si>
  <si>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</si>
  <si>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</si>
  <si>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</si>
  <si>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</si>
  <si>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First Hyundai</t>
  </si>
  <si>
    <t>Rachel Gorham</t>
  </si>
  <si>
    <t>Grieco Toyota</t>
  </si>
  <si>
    <t>Herb Chambers Lincoln</t>
  </si>
  <si>
    <t>Neli Oliveira</t>
  </si>
  <si>
    <t>Lucchettis Service Center Inc</t>
  </si>
  <si>
    <t>Patriot Auto Group Inc d/b/a</t>
  </si>
  <si>
    <t>Priority Automotive LLC</t>
  </si>
  <si>
    <t>Column1</t>
  </si>
  <si>
    <t>Column2</t>
  </si>
  <si>
    <t>2330      8209</t>
  </si>
  <si>
    <t># 7</t>
  </si>
  <si>
    <t>CLIFFORD</t>
  </si>
  <si>
    <t>LHAWK41820@OUTLOOK.COM</t>
  </si>
  <si>
    <t>HAWK, LAUREN</t>
  </si>
  <si>
    <t>E Contract</t>
  </si>
  <si>
    <t>Route One</t>
  </si>
  <si>
    <t>151130300e</t>
  </si>
  <si>
    <t>CORKUM</t>
  </si>
  <si>
    <t>paulkillroy@comcast.net</t>
  </si>
  <si>
    <t>KILLORY, VICTORIA</t>
  </si>
  <si>
    <t>151130293e</t>
  </si>
  <si>
    <t>LOVELLE</t>
  </si>
  <si>
    <t>DECAUL@COMCAST.NET</t>
  </si>
  <si>
    <t>HOLMES, LAURA</t>
  </si>
  <si>
    <t>DealerTrack</t>
  </si>
  <si>
    <t>151130152e</t>
  </si>
  <si>
    <t>SHAUGHNESSY</t>
  </si>
  <si>
    <t>LAURELJGAGE@OUTLOOK.COLM</t>
  </si>
  <si>
    <t>GAGE, LAUREL</t>
  </si>
  <si>
    <t>Paper</t>
  </si>
  <si>
    <t>151130136</t>
  </si>
  <si>
    <t>BOGGS</t>
  </si>
  <si>
    <t>CORREIA, CHARLES</t>
  </si>
  <si>
    <t>151130110e</t>
  </si>
  <si>
    <t>PIERCE</t>
  </si>
  <si>
    <t>SPALMER0926@YAHOO.COM</t>
  </si>
  <si>
    <t>HOPWOOD, SARAH</t>
  </si>
  <si>
    <t>151129981e</t>
  </si>
  <si>
    <t>DIAS</t>
  </si>
  <si>
    <t>MOR</t>
  </si>
  <si>
    <t>Nleach43@gmail.com</t>
  </si>
  <si>
    <t>Mikesshpracing@gmail.com</t>
  </si>
  <si>
    <t>Leach, Nicole</t>
  </si>
  <si>
    <t>Froio, Michael</t>
  </si>
  <si>
    <t>151129965e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</si>
  <si>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</si>
  <si>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</si>
  <si>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</si>
  <si>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</si>
  <si>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</si>
  <si>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</si>
  <si>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</si>
  <si>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</si>
  <si>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</si>
  <si>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</si>
  <si>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</si>
  <si>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</t>
  </si>
  <si>
    <t>Received By_________________________________________________________________________</t>
  </si>
  <si>
    <t>Delivered By________________________________________________________________________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</si>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</sst>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24B45381-5C1B-44CB-AF1C-1F093BDAE009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6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8F1217E6-92C5-41A4-959C-ACEE83FDA2A2}" name="Column1" dataDxfId="23"/>
    <tableColumn id="8" xr3:uid="{E2C69AA6-AC13-4756-B7EE-D161F339EFF4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5FD4A-090A-4944-BE55-0F0BDCBE9580}" name="Table_13" displayName="Table_13" ref="A3:L1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F7F5FA-3401-40F4-9D86-B171813AAC64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tabSelected="1" workbookViewId="0">
      <pane ySplit="3" topLeftCell="A4" activePane="bottomLeft" state="frozen"/>
      <selection pane="bottomLeft" activeCell="F15" sqref="F15"/>
    </sheetView>
  </sheetViews>
  <sheetFormatPr defaultRowHeight="15" x14ac:dyDescent="0.25"/>
  <cols>
    <col min="1" max="1" width="27.85546875" bestFit="1" customWidth="1"/>
    <col min="2" max="2" width="15.140625" bestFit="1" customWidth="1"/>
    <col min="3" max="3" width="11.140625" bestFit="1" customWidth="1"/>
    <col min="4" max="4" width="19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45646</v>
      </c>
      <c r="E1" t="s">
        <v>2</v>
      </c>
      <c r="H1" s="4">
        <v>45646.999988425923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18</v>
      </c>
      <c r="G3" t="s">
        <v>19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25339.69</v>
      </c>
      <c r="F4" s="2"/>
      <c r="G4" s="2" t="s">
        <v>20</v>
      </c>
      <c r="H4" s="2">
        <v>25414.69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600</v>
      </c>
      <c r="D6" s="2">
        <v>0</v>
      </c>
      <c r="E6" s="2">
        <v>31194</v>
      </c>
      <c r="F6" s="2"/>
      <c r="G6" s="2"/>
      <c r="H6" s="2">
        <v>31269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1000</v>
      </c>
      <c r="D8" s="2">
        <v>0</v>
      </c>
      <c r="E8" s="2">
        <v>59981.75</v>
      </c>
      <c r="F8" s="2"/>
      <c r="G8" s="2"/>
      <c r="H8" s="2">
        <v>60056.75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450</v>
      </c>
      <c r="D10" s="2">
        <v>0</v>
      </c>
      <c r="E10" s="2">
        <v>21555.69</v>
      </c>
      <c r="F10" s="2"/>
      <c r="G10" s="2"/>
      <c r="H10" s="2">
        <v>21630.69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450</v>
      </c>
      <c r="D12" s="2">
        <v>0</v>
      </c>
      <c r="E12" s="2">
        <v>22863.88</v>
      </c>
      <c r="F12" s="2"/>
      <c r="G12" s="2"/>
      <c r="H12" s="2">
        <v>22938.880000000001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500</v>
      </c>
      <c r="D14" s="2">
        <v>0</v>
      </c>
      <c r="E14" s="2">
        <v>25000</v>
      </c>
      <c r="F14" s="2"/>
      <c r="G14" s="2"/>
      <c r="H14" s="2">
        <v>25075</v>
      </c>
    </row>
    <row r="15" spans="1:8" x14ac:dyDescent="0.25">
      <c r="A15" t="s">
        <v>17</v>
      </c>
      <c r="B15" t="s">
        <v>14</v>
      </c>
      <c r="C15" s="2">
        <v>450</v>
      </c>
      <c r="D15" s="2">
        <v>0</v>
      </c>
      <c r="E15" s="2">
        <v>20207.88</v>
      </c>
      <c r="F15" s="2">
        <f>SUM(E14:E15)</f>
        <v>45207.880000000005</v>
      </c>
      <c r="G15" s="2"/>
      <c r="H15" s="2">
        <v>20282.88</v>
      </c>
    </row>
    <row r="16" spans="1:8" x14ac:dyDescent="0.25">
      <c r="A16" s="1"/>
      <c r="B16" s="1"/>
      <c r="C16" s="3">
        <f>SUM(C4:C15)</f>
        <v>3950</v>
      </c>
      <c r="D16" s="3">
        <f>SUM(D4:D15)</f>
        <v>0</v>
      </c>
      <c r="E16" s="3">
        <f>SUM(E4:E15)</f>
        <v>206142.89</v>
      </c>
      <c r="F16" s="3"/>
      <c r="G16" s="3"/>
      <c r="H16" s="3">
        <f>SUM(H4:H15)</f>
        <v>206667.89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2C51-8F8D-41FE-B5A1-178B5590CE45}">
  <sheetPr>
    <pageSetUpPr fitToPage="1"/>
  </sheetPr>
  <dimension ref="A1:M15"/>
  <sheetViews>
    <sheetView workbookViewId="0">
      <pane ySplit="3" topLeftCell="A4" activePane="bottomLeft" state="frozen"/>
      <selection pane="bottomLeft" activeCell="A4" sqref="A4:A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9" style="8" bestFit="1" customWidth="1"/>
    <col min="5" max="5" width="18.7109375" style="8" bestFit="1" customWidth="1"/>
    <col min="6" max="6" width="27.85546875" style="8" bestFit="1" customWidth="1"/>
    <col min="7" max="7" width="15.140625" style="8" bestFit="1" customWidth="1"/>
    <col min="8" max="8" width="17.140625" style="8" bestFit="1" customWidth="1"/>
    <col min="9" max="9" width="30.7109375" style="8" bestFit="1" customWidth="1"/>
    <col min="10" max="10" width="21.140625" style="8" bestFit="1" customWidth="1"/>
    <col min="11" max="11" width="19.285156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45646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66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65</v>
      </c>
      <c r="B3" s="9" t="s">
        <v>64</v>
      </c>
      <c r="C3" s="9" t="s">
        <v>63</v>
      </c>
      <c r="D3" s="9" t="s">
        <v>62</v>
      </c>
      <c r="E3" s="9" t="s">
        <v>61</v>
      </c>
      <c r="F3" s="9" t="s">
        <v>4</v>
      </c>
      <c r="G3" s="9" t="s">
        <v>5</v>
      </c>
      <c r="H3" s="9" t="s">
        <v>60</v>
      </c>
      <c r="I3" s="9" t="s">
        <v>59</v>
      </c>
      <c r="J3" s="9" t="s">
        <v>58</v>
      </c>
      <c r="K3" s="9" t="s">
        <v>57</v>
      </c>
      <c r="L3" s="9" t="s">
        <v>56</v>
      </c>
      <c r="M3" s="9"/>
    </row>
    <row r="4" spans="1:13" ht="35.1" customHeight="1" x14ac:dyDescent="0.25">
      <c r="A4" s="9" t="s">
        <v>55</v>
      </c>
      <c r="B4" s="9" t="s">
        <v>26</v>
      </c>
      <c r="C4" s="9" t="s">
        <v>25</v>
      </c>
      <c r="D4" s="9" t="s">
        <v>54</v>
      </c>
      <c r="E4" s="9" t="s">
        <v>53</v>
      </c>
      <c r="F4" s="9" t="s">
        <v>13</v>
      </c>
      <c r="G4" s="9" t="s">
        <v>14</v>
      </c>
      <c r="H4" s="14">
        <v>60056.75</v>
      </c>
      <c r="I4" s="9" t="s">
        <v>52</v>
      </c>
      <c r="J4" s="9" t="s">
        <v>51</v>
      </c>
      <c r="K4" s="9" t="s">
        <v>50</v>
      </c>
      <c r="L4" s="9" t="s">
        <v>49</v>
      </c>
      <c r="M4" s="9"/>
    </row>
    <row r="5" spans="1:13" ht="35.1" customHeight="1" x14ac:dyDescent="0.25">
      <c r="A5" s="9" t="s">
        <v>48</v>
      </c>
      <c r="B5" s="9" t="s">
        <v>35</v>
      </c>
      <c r="C5" s="9" t="s">
        <v>25</v>
      </c>
      <c r="D5" s="9" t="s">
        <v>47</v>
      </c>
      <c r="E5" s="9"/>
      <c r="F5" s="9" t="s">
        <v>17</v>
      </c>
      <c r="G5" s="9" t="s">
        <v>14</v>
      </c>
      <c r="H5" s="14">
        <v>20282.88</v>
      </c>
      <c r="I5" s="9" t="s">
        <v>46</v>
      </c>
      <c r="J5" s="9"/>
      <c r="K5" s="9" t="s">
        <v>45</v>
      </c>
      <c r="L5" s="9"/>
      <c r="M5" s="9"/>
    </row>
    <row r="6" spans="1:13" ht="35.1" customHeight="1" x14ac:dyDescent="0.25">
      <c r="A6" s="9" t="s">
        <v>44</v>
      </c>
      <c r="B6" s="9" t="s">
        <v>35</v>
      </c>
      <c r="C6" s="9" t="s">
        <v>25</v>
      </c>
      <c r="D6" s="9" t="s">
        <v>43</v>
      </c>
      <c r="E6" s="9"/>
      <c r="F6" s="9" t="s">
        <v>10</v>
      </c>
      <c r="G6" s="9" t="s">
        <v>11</v>
      </c>
      <c r="H6" s="14">
        <v>25414.69</v>
      </c>
      <c r="I6" s="9"/>
      <c r="J6" s="9"/>
      <c r="K6" s="9" t="s">
        <v>42</v>
      </c>
      <c r="L6" s="9"/>
      <c r="M6" s="9"/>
    </row>
    <row r="7" spans="1:13" ht="35.1" customHeight="1" x14ac:dyDescent="0.25">
      <c r="A7" s="9" t="s">
        <v>41</v>
      </c>
      <c r="B7" s="9" t="s">
        <v>26</v>
      </c>
      <c r="C7" s="9" t="s">
        <v>40</v>
      </c>
      <c r="D7" s="9" t="s">
        <v>39</v>
      </c>
      <c r="E7" s="9"/>
      <c r="F7" s="9" t="s">
        <v>15</v>
      </c>
      <c r="G7" s="9" t="s">
        <v>11</v>
      </c>
      <c r="H7" s="14">
        <v>21630.69</v>
      </c>
      <c r="I7" s="9" t="s">
        <v>38</v>
      </c>
      <c r="J7" s="9"/>
      <c r="K7" s="9" t="s">
        <v>37</v>
      </c>
      <c r="L7" s="9"/>
      <c r="M7" s="9"/>
    </row>
    <row r="8" spans="1:13" ht="35.1" customHeight="1" x14ac:dyDescent="0.25">
      <c r="A8" s="9" t="s">
        <v>36</v>
      </c>
      <c r="B8" s="9" t="s">
        <v>35</v>
      </c>
      <c r="C8" s="9" t="s">
        <v>25</v>
      </c>
      <c r="D8" s="9" t="s">
        <v>34</v>
      </c>
      <c r="E8" s="9"/>
      <c r="F8" s="9" t="s">
        <v>17</v>
      </c>
      <c r="G8" s="9" t="s">
        <v>11</v>
      </c>
      <c r="H8" s="14">
        <v>25075</v>
      </c>
      <c r="I8" s="9" t="s">
        <v>33</v>
      </c>
      <c r="J8" s="9"/>
      <c r="K8" s="9" t="s">
        <v>32</v>
      </c>
      <c r="L8" s="9"/>
      <c r="M8" s="9"/>
    </row>
    <row r="9" spans="1:13" ht="35.1" customHeight="1" x14ac:dyDescent="0.25">
      <c r="A9" s="9" t="s">
        <v>31</v>
      </c>
      <c r="B9" s="9" t="s">
        <v>26</v>
      </c>
      <c r="C9" s="9" t="s">
        <v>25</v>
      </c>
      <c r="D9" s="9" t="s">
        <v>30</v>
      </c>
      <c r="E9" s="9"/>
      <c r="F9" s="9" t="s">
        <v>16</v>
      </c>
      <c r="G9" s="9" t="s">
        <v>11</v>
      </c>
      <c r="H9" s="14">
        <v>22938.880000000001</v>
      </c>
      <c r="I9" s="9" t="s">
        <v>29</v>
      </c>
      <c r="J9" s="9"/>
      <c r="K9" s="9" t="s">
        <v>28</v>
      </c>
      <c r="L9" s="9"/>
      <c r="M9" s="9"/>
    </row>
    <row r="10" spans="1:13" ht="35.1" customHeight="1" x14ac:dyDescent="0.25">
      <c r="A10" s="9" t="s">
        <v>27</v>
      </c>
      <c r="B10" s="9" t="s">
        <v>26</v>
      </c>
      <c r="C10" s="9" t="s">
        <v>25</v>
      </c>
      <c r="D10" s="9" t="s">
        <v>24</v>
      </c>
      <c r="E10" s="9"/>
      <c r="F10" s="9" t="s">
        <v>12</v>
      </c>
      <c r="G10" s="9" t="s">
        <v>11</v>
      </c>
      <c r="H10" s="14">
        <v>31269</v>
      </c>
      <c r="I10" s="9" t="s">
        <v>23</v>
      </c>
      <c r="J10" s="9"/>
      <c r="K10" s="9" t="s">
        <v>22</v>
      </c>
      <c r="L10" s="9"/>
      <c r="M10" s="9"/>
    </row>
    <row r="11" spans="1:13" ht="35.1" customHeight="1" x14ac:dyDescent="0.25">
      <c r="A11" s="15"/>
      <c r="B11" s="15"/>
      <c r="C11" s="15"/>
      <c r="D11" s="15" t="s">
        <v>21</v>
      </c>
      <c r="E11" s="15"/>
      <c r="F11" s="15"/>
      <c r="G11" s="15"/>
      <c r="H11" s="16">
        <f>SUM(H4:H10)</f>
        <v>206667.89</v>
      </c>
      <c r="I11" s="15"/>
      <c r="J11" s="15"/>
      <c r="K11" s="15"/>
      <c r="L11" s="15"/>
      <c r="M11" s="9"/>
    </row>
    <row r="12" spans="1:13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</sheetData>
  <mergeCells count="2">
    <mergeCell ref="A2:F2"/>
    <mergeCell ref="G2:L2"/>
  </mergeCells>
  <pageMargins left="0.7" right="0.7" top="0.75" bottom="0.75" header="0.3" footer="0.3"/>
  <pageSetup paperSize="5" scale="7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3CF1-07B4-449B-8929-0F52B578EE63}">
  <sheetPr>
    <pageSetUpPr fitToPage="1"/>
  </sheetPr>
  <dimension ref="A1:E29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19" style="8" bestFit="1" customWidth="1"/>
    <col min="4" max="4" width="19.28515625" style="8" bestFit="1" customWidth="1"/>
    <col min="5" max="5" width="27.855468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45646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71</v>
      </c>
      <c r="E2" s="12"/>
    </row>
    <row r="3" spans="1:5" x14ac:dyDescent="0.25">
      <c r="A3" s="9" t="s">
        <v>65</v>
      </c>
      <c r="B3" s="9" t="s">
        <v>63</v>
      </c>
      <c r="C3" s="9" t="s">
        <v>62</v>
      </c>
      <c r="D3" s="9" t="s">
        <v>61</v>
      </c>
      <c r="E3" s="9" t="s">
        <v>4</v>
      </c>
    </row>
    <row r="4" spans="1:5" x14ac:dyDescent="0.25">
      <c r="A4" s="9" t="s">
        <v>41</v>
      </c>
      <c r="B4" s="9" t="s">
        <v>40</v>
      </c>
      <c r="C4" s="9" t="s">
        <v>39</v>
      </c>
      <c r="D4" s="9"/>
      <c r="E4" s="9" t="s">
        <v>15</v>
      </c>
    </row>
    <row r="5" spans="1:5" x14ac:dyDescent="0.25">
      <c r="A5" s="15"/>
      <c r="B5" s="15"/>
      <c r="C5" s="15" t="s">
        <v>70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 t="s">
        <v>69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68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67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</sheetData>
  <mergeCells count="2">
    <mergeCell ref="A2:C2"/>
    <mergeCell ref="D2:E2"/>
  </mergeCells>
  <pageMargins left="0.7" right="0.7" top="0.75" bottom="0.75" header="0.3" footer="0.3"/>
  <pageSetup scale="9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2024-12-20T19:19:42Z</cp:lastPrinted>
  <dcterms:created xsi:type="dcterms:W3CDTF">2024-12-20T19:13:28Z</dcterms:created>
  <dcterms:modified xsi:type="dcterms:W3CDTF">2024-12-20T19:28:32Z</dcterms:modified>
</cp:coreProperties>
</file>