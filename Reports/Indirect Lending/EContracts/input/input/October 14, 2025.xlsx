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E4DB3C6F-4004-4560-9A68-3934E8DF722C}" xr6:coauthVersionLast="47" xr6:coauthVersionMax="47" xr10:uidLastSave="{00000000-0000-0000-0000-000000000000}"/>
  <bookViews>
    <workbookView xWindow="33225" yWindow="810" windowWidth="22755" windowHeight="14280" xr2:uid="{00000000-000D-0000-FFFF-FFFF00000000}"/>
  </bookViews>
  <sheets>
    <sheet name="Funding Worksheet - Folder Vers" sheetId="1" r:id="rId1"/>
    <sheet name="Funding Worksheet - ACH" sheetId="2" r:id="rId2"/>
    <sheet name="Original Note Log" sheetId="3" r:id="rId3"/>
    <sheet name="Sheet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2" l="1"/>
  <c r="G35" i="2"/>
  <c r="G27" i="2"/>
  <c r="G22" i="2"/>
  <c r="G19" i="2"/>
  <c r="G14" i="2"/>
  <c r="G7" i="2"/>
  <c r="H42" i="2"/>
  <c r="F42" i="2"/>
  <c r="E42" i="2"/>
  <c r="D42" i="2"/>
  <c r="H27" i="1"/>
</calcChain>
</file>

<file path=xl/sharedStrings.xml><?xml version="1.0" encoding="utf-8"?>
<sst xmlns="http://schemas.openxmlformats.org/spreadsheetml/2006/main" count="297" uniqueCount="152">
  <si>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</si>
  <si>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</si>
  <si>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</si>
  <si>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</si>
  <si>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</si>
  <si>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</si>
  <si>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</si>
  <si>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</si>
  <si>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</si>
  <si>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</si>
  <si>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</si>
  <si>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</si>
  <si>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</si>
  <si>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</si>
  <si>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Business Name</t>
  </si>
  <si>
    <t>DealerTrack</t>
  </si>
  <si>
    <t>E Contract</t>
  </si>
  <si>
    <t>CARROLL, JORDAN</t>
  </si>
  <si>
    <t>AutoMax Preowned(Framingham)</t>
  </si>
  <si>
    <t>Marlene Braganca</t>
  </si>
  <si>
    <t>thecarroll920@aol.com</t>
  </si>
  <si>
    <t>Carroll</t>
  </si>
  <si>
    <t>LAVOIE, JESSICA</t>
  </si>
  <si>
    <t>First Hyundai</t>
  </si>
  <si>
    <t>JESSICA.LAVOIE1@HOTMAIL.COM</t>
  </si>
  <si>
    <t>Lavoie</t>
  </si>
  <si>
    <t>151235118</t>
  </si>
  <si>
    <t>Paper</t>
  </si>
  <si>
    <t>MARCELLO, BERNADETTE</t>
  </si>
  <si>
    <t>Milford Nissan Corp</t>
  </si>
  <si>
    <t>Rachel Gorham</t>
  </si>
  <si>
    <t>BERNI.TONY@COMCAST.NET</t>
  </si>
  <si>
    <t>TROTTA</t>
  </si>
  <si>
    <t>Route One</t>
  </si>
  <si>
    <t>SHERIDAN, RICHARD</t>
  </si>
  <si>
    <t>T F Murphy Enterprises Inc</t>
  </si>
  <si>
    <t>BRITTINGHAM</t>
  </si>
  <si>
    <t>HILCHEY, ADAM</t>
  </si>
  <si>
    <t>Mastria Buick Pontiac</t>
  </si>
  <si>
    <t>AHILCHEY1@HOTMAIL.COM</t>
  </si>
  <si>
    <t>RICHARDI</t>
  </si>
  <si>
    <t>GATES, JEFFREY</t>
  </si>
  <si>
    <t>GATES, MARYELLEN</t>
  </si>
  <si>
    <t>MEGATES@COMCAST.NET</t>
  </si>
  <si>
    <t>JOHNSON</t>
  </si>
  <si>
    <t>KELLEY</t>
  </si>
  <si>
    <t>CHIAPPINI, TERRY</t>
  </si>
  <si>
    <t>ANDREZAANDRADE95@GMAIL.COM</t>
  </si>
  <si>
    <t>GREEN</t>
  </si>
  <si>
    <t>BOIANI, NICHOLAS</t>
  </si>
  <si>
    <t>Tasca Ford Lincoln</t>
  </si>
  <si>
    <t>Atkins</t>
  </si>
  <si>
    <t>DAWLEY, PAUL</t>
  </si>
  <si>
    <t>Planet Subaru</t>
  </si>
  <si>
    <t>Neli Oliveira</t>
  </si>
  <si>
    <t>PDAWLEY@COMCAST.NET</t>
  </si>
  <si>
    <t>DEMATTEO</t>
  </si>
  <si>
    <t>FERREIRA, JENNIFER</t>
  </si>
  <si>
    <t>Battles Nissan, LLC</t>
  </si>
  <si>
    <t>MARKFERREIRA72@YAHOO.COM</t>
  </si>
  <si>
    <t>NORTON</t>
  </si>
  <si>
    <t>MULLEN, MATTHEW</t>
  </si>
  <si>
    <t>Coastal Volkswagon</t>
  </si>
  <si>
    <t>MATTHEW.MULLEN15@GMAIL.COM</t>
  </si>
  <si>
    <t>MULLEN</t>
  </si>
  <si>
    <t>NUNES, ALEX</t>
  </si>
  <si>
    <t>ALEXBRAGANUNES20@GMAIL.COM</t>
  </si>
  <si>
    <t>BRAGA</t>
  </si>
  <si>
    <t>LEOPOLD, BRIAN</t>
  </si>
  <si>
    <t>SHOWSTEAD, LUKE</t>
  </si>
  <si>
    <t>Patriot Auto Group Inc d/b/a</t>
  </si>
  <si>
    <t>BEL31670@ME.COM</t>
  </si>
  <si>
    <t>LUKESHOWSTEAD@YAHOO.COM</t>
  </si>
  <si>
    <t>MITCHELL</t>
  </si>
  <si>
    <t>BENOIT</t>
  </si>
  <si>
    <t>151235291</t>
  </si>
  <si>
    <t>CESARO, PAIGE</t>
  </si>
  <si>
    <t>Volvo of Tiverton</t>
  </si>
  <si>
    <t>PAIGEMJOHNSON94@GMAIL.COM</t>
  </si>
  <si>
    <t>MCDERMOTT</t>
  </si>
  <si>
    <t>Daxberger, Michael</t>
  </si>
  <si>
    <t>Alden Buick Pontiac GMC</t>
  </si>
  <si>
    <t>mdax10@hotmail.com</t>
  </si>
  <si>
    <t>CONDON</t>
  </si>
  <si>
    <t>CABRAL, TAYLOR</t>
  </si>
  <si>
    <t>TLCABRAL@YAHOO.COM</t>
  </si>
  <si>
    <t>WHELAHAN</t>
  </si>
  <si>
    <t>SLATTERY, DILLON</t>
  </si>
  <si>
    <t>Flood Mazda</t>
  </si>
  <si>
    <t>djslattery22@gmail.com</t>
  </si>
  <si>
    <t>Sylvia</t>
  </si>
  <si>
    <t>Ford, Jeremy</t>
  </si>
  <si>
    <t>Mathieu Ford Sales, Inc</t>
  </si>
  <si>
    <t>jford1110@charter.net</t>
  </si>
  <si>
    <t>Bassett</t>
  </si>
  <si>
    <t>151235358</t>
  </si>
  <si>
    <t>MIETZ, GEOFFREY</t>
  </si>
  <si>
    <t>MIETZGEOFF@GMAIL.COM</t>
  </si>
  <si>
    <t>O'BRIEN</t>
  </si>
  <si>
    <t>151235374</t>
  </si>
  <si>
    <t>PRENDERGAST, EDMUND</t>
  </si>
  <si>
    <t>PRENDERGAST, HENRY</t>
  </si>
  <si>
    <t>ZACHECK</t>
  </si>
  <si>
    <t>STOLTE</t>
  </si>
  <si>
    <t>DIAUTO, DOMINIC</t>
  </si>
  <si>
    <t>ddiauto7@comcast.net</t>
  </si>
  <si>
    <t>Cox</t>
  </si>
  <si>
    <t>151235415</t>
  </si>
  <si>
    <t>HENDERSON, ROBERT</t>
  </si>
  <si>
    <t>HENDERSON, KATHLEEN</t>
  </si>
  <si>
    <t>Frank Battles Inc</t>
  </si>
  <si>
    <t>BOBHENDERSON57@ICLOUD.COM</t>
  </si>
  <si>
    <t>MALLOWES</t>
  </si>
  <si>
    <t>EGAN</t>
  </si>
  <si>
    <t>MCCONVILLE, PAUL</t>
  </si>
  <si>
    <t>ESSENHEIMER</t>
  </si>
  <si>
    <t># 23</t>
  </si>
  <si>
    <t>Funding Worksheet - ACH Version</t>
  </si>
  <si>
    <t>Dealer Flat</t>
  </si>
  <si>
    <t>Dealer Split</t>
  </si>
  <si>
    <t>Net to Dealer</t>
  </si>
  <si>
    <t>Contracted Amount Financed</t>
  </si>
  <si>
    <t>Column1</t>
  </si>
  <si>
    <t>Column2</t>
  </si>
  <si>
    <t>Funding Worksheet - Signoff Version</t>
  </si>
  <si>
    <t># 5</t>
  </si>
  <si>
    <t>Delivered by:</t>
  </si>
  <si>
    <t>Received by:</t>
  </si>
  <si>
    <t>Date signed:</t>
  </si>
  <si>
    <t>Original Notes Delivered</t>
  </si>
  <si>
    <t>151235069 E</t>
  </si>
  <si>
    <t>151235093 E</t>
  </si>
  <si>
    <t>151235126 E</t>
  </si>
  <si>
    <t>151235142 E</t>
  </si>
  <si>
    <t>151235150 E</t>
  </si>
  <si>
    <t>151235168 E</t>
  </si>
  <si>
    <t>151235217 E</t>
  </si>
  <si>
    <t>151235225 E</t>
  </si>
  <si>
    <t>151235241 E</t>
  </si>
  <si>
    <t>151235259 E</t>
  </si>
  <si>
    <t>151235267 E</t>
  </si>
  <si>
    <t>151235275 E</t>
  </si>
  <si>
    <t>151235316 E</t>
  </si>
  <si>
    <t>151235324 E</t>
  </si>
  <si>
    <t>151235332 E</t>
  </si>
  <si>
    <t>151235340 E</t>
  </si>
  <si>
    <t>151235390 E</t>
  </si>
  <si>
    <t>151235423 E</t>
  </si>
  <si>
    <t>NE -AutoMax Preowned(Framingham)</t>
  </si>
  <si>
    <t>hon-Patriot Auto Group Inc d/b/a</t>
  </si>
  <si>
    <t>2330-8209</t>
  </si>
  <si>
    <t>4453-2150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</si>
</sst>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5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  <font>
      <b/>
      <sz val="12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0" fillId="0" borderId="1" xfId="0" applyBorder="1"/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/>
    </xf>
    <xf numFmtId="7" fontId="2" fillId="0" borderId="0" xfId="0" applyNumberFormat="1" applyFont="1"/>
    <xf numFmtId="0" fontId="3" fillId="0" borderId="0" xfId="0" applyFont="1"/>
    <xf numFmtId="7" fontId="3" fillId="0" borderId="0" xfId="0" applyNumberFormat="1" applyFont="1"/>
    <xf numFmtId="7" fontId="4" fillId="0" borderId="0" xfId="0" applyNumberFormat="1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27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M27" headerRowDxfId="13" dataDxfId="11" totalsRowDxfId="12">
  <tableColumns count="13">
    <tableColumn id="1" xr3:uid="{00000000-0010-0000-0000-000001000000}" name="Account Number" dataDxfId="26"/>
    <tableColumn id="2" xr3:uid="{00000000-0010-0000-0000-000002000000}" name="Portal" dataDxfId="25"/>
    <tableColumn id="3" xr3:uid="{00000000-0010-0000-0000-000003000000}" name="Contract Type" dataDxfId="24"/>
    <tableColumn id="4" xr3:uid="{00000000-0010-0000-0000-000004000000}" name="Applicant Name" dataDxfId="23"/>
    <tableColumn id="5" xr3:uid="{00000000-0010-0000-0000-000005000000}" name="Co-Applicant Name" dataDxfId="22"/>
    <tableColumn id="6" xr3:uid="{00000000-0010-0000-0000-000006000000}" name="Dealer Name" dataDxfId="21"/>
    <tableColumn id="7" xr3:uid="{00000000-0010-0000-0000-000007000000}" name="Funded by" dataDxfId="20"/>
    <tableColumn id="8" xr3:uid="{00000000-0010-0000-0000-000008000000}" name="Amount Financed" dataDxfId="19"/>
    <tableColumn id="9" xr3:uid="{00000000-0010-0000-0000-000009000000}" name="Applicant Email" dataDxfId="18"/>
    <tableColumn id="10" xr3:uid="{00000000-0010-0000-0000-00000A000000}" name="Co-Applicant Email" dataDxfId="17"/>
    <tableColumn id="11" xr3:uid="{00000000-0010-0000-0000-00000B000000}" name="App MMN" dataDxfId="16"/>
    <tableColumn id="12" xr3:uid="{00000000-0010-0000-0000-00000C000000}" name="Co-App MMN" dataDxfId="15"/>
    <tableColumn id="13" xr3:uid="{00000000-0010-0000-0000-00000D000000}" name="Business Name" dataDxfId="1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3234A0-6A65-4C0F-9874-7A5770731C67}" name="Table_14" displayName="Table_14" ref="A3:H42" headerRowDxfId="2" dataDxfId="0" totalsRowDxfId="1">
  <sortState xmlns:xlrd2="http://schemas.microsoft.com/office/spreadsheetml/2017/richdata2" ref="A4:H42">
    <sortCondition ref="A4:A42"/>
  </sortState>
  <tableColumns count="8">
    <tableColumn id="1" xr3:uid="{BF4CA34D-8EF5-45EE-AE3F-A03CBAF6DB42}" name="Dealer Name" dataDxfId="10"/>
    <tableColumn id="8" xr3:uid="{214FC870-CABC-4368-BC94-0D4FA392E9FC}" name="Column2" dataDxfId="9"/>
    <tableColumn id="2" xr3:uid="{AFC5FCDE-A10E-4B59-AB34-B5EBF36A9159}" name="Funded by" dataDxfId="8"/>
    <tableColumn id="3" xr3:uid="{9B773417-5E06-4B2A-AF6D-A9D19C10D2E1}" name="Dealer Flat" dataDxfId="7"/>
    <tableColumn id="4" xr3:uid="{8B2798BB-C680-4FDC-9B2F-62FB545CD66D}" name="Dealer Split" dataDxfId="6"/>
    <tableColumn id="5" xr3:uid="{0C57292C-30DD-41B9-A656-32ECA960185F}" name="Net to Dealer" dataDxfId="5"/>
    <tableColumn id="7" xr3:uid="{A64EF31C-2AE2-48F9-8C49-30515B0C18CE}" name="Column1" dataDxfId="4"/>
    <tableColumn id="6" xr3:uid="{1229E215-B434-42FF-B100-FD98BC6CB85D}" name="Contracted Amount Financed" dataDxfId="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A580994-0DA0-4A31-8338-8E572E0BF3AF}" name="Table_16" displayName="Table_16" ref="A3:E9">
  <tableColumns count="5">
    <tableColumn id="1" xr3:uid="{A655B5B2-EC01-4E65-9E12-937B3DD1953B}" name="Account Number"/>
    <tableColumn id="2" xr3:uid="{070EB67F-A84D-48A0-8D9F-87B4C6496718}" name="Contract Type"/>
    <tableColumn id="3" xr3:uid="{C45E9B6B-C458-4A5C-9B07-B1EBE863BC81}" name="Applicant Name"/>
    <tableColumn id="4" xr3:uid="{15477112-9B2D-4870-816B-7B9101B29D73}" name="Co-Applicant Name"/>
    <tableColumn id="5" xr3:uid="{8E59515C-3E16-4BBA-8EB1-971E206C08B6}" name="Dealer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7"/>
  <sheetViews>
    <sheetView tabSelected="1" workbookViewId="0">
      <pane ySplit="3" topLeftCell="A4" activePane="bottomLeft" state="frozen"/>
      <selection pane="bottomLeft" activeCell="G11" sqref="G11"/>
    </sheetView>
  </sheetViews>
  <sheetFormatPr defaultRowHeight="15.75" x14ac:dyDescent="0.25"/>
  <cols>
    <col min="1" max="1" width="16.42578125" style="7" bestFit="1" customWidth="1"/>
    <col min="2" max="2" width="12.140625" style="7" bestFit="1" customWidth="1"/>
    <col min="3" max="3" width="14" style="7" bestFit="1" customWidth="1"/>
    <col min="4" max="4" width="24.5703125" style="7" bestFit="1" customWidth="1"/>
    <col min="5" max="5" width="23.5703125" style="7" bestFit="1" customWidth="1"/>
    <col min="6" max="6" width="31.85546875" style="7" bestFit="1" customWidth="1"/>
    <col min="7" max="7" width="17.7109375" style="7" bestFit="1" customWidth="1"/>
    <col min="8" max="8" width="17.140625" style="7" bestFit="1" customWidth="1"/>
    <col min="9" max="9" width="34" style="7" bestFit="1" customWidth="1"/>
    <col min="10" max="10" width="27.5703125" style="7" customWidth="1"/>
    <col min="11" max="11" width="17.140625" style="7" bestFit="1" customWidth="1"/>
    <col min="12" max="12" width="12.85546875" style="7" bestFit="1" customWidth="1"/>
    <col min="13" max="13" width="17.140625" style="7" hidden="1" customWidth="1"/>
    <col min="14" max="16384" width="9.140625" style="7"/>
  </cols>
  <sheetData>
    <row r="1" spans="1:13" x14ac:dyDescent="0.25">
      <c r="K1" s="8">
        <v>45944</v>
      </c>
      <c r="M1" s="8">
        <v>45944.999988425923</v>
      </c>
    </row>
    <row r="2" spans="1:13" x14ac:dyDescent="0.25">
      <c r="A2" s="9" t="s">
        <v>0</v>
      </c>
      <c r="B2" s="10"/>
      <c r="C2" s="10"/>
      <c r="D2" s="10"/>
      <c r="E2" s="10"/>
      <c r="F2" s="10"/>
      <c r="G2" s="11" t="s">
        <v>1</v>
      </c>
      <c r="H2" s="10"/>
      <c r="I2" s="10"/>
      <c r="J2" s="10"/>
      <c r="K2" s="10"/>
      <c r="L2" s="10"/>
      <c r="M2" s="10"/>
    </row>
    <row r="3" spans="1:13" x14ac:dyDescent="0.25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</row>
    <row r="4" spans="1:13" ht="30" customHeight="1" x14ac:dyDescent="0.25">
      <c r="A4" s="7" t="s">
        <v>130</v>
      </c>
      <c r="B4" s="7" t="s">
        <v>15</v>
      </c>
      <c r="C4" s="7" t="s">
        <v>16</v>
      </c>
      <c r="D4" s="7" t="s">
        <v>17</v>
      </c>
      <c r="F4" s="7" t="s">
        <v>18</v>
      </c>
      <c r="G4" s="7" t="s">
        <v>19</v>
      </c>
      <c r="H4" s="12">
        <v>31507.19</v>
      </c>
      <c r="I4" s="7" t="s">
        <v>20</v>
      </c>
      <c r="K4" s="7" t="s">
        <v>21</v>
      </c>
    </row>
    <row r="5" spans="1:13" ht="30" customHeight="1" x14ac:dyDescent="0.25">
      <c r="A5" s="7" t="s">
        <v>131</v>
      </c>
      <c r="B5" s="7" t="s">
        <v>15</v>
      </c>
      <c r="C5" s="7" t="s">
        <v>16</v>
      </c>
      <c r="D5" s="7" t="s">
        <v>22</v>
      </c>
      <c r="F5" s="7" t="s">
        <v>23</v>
      </c>
      <c r="G5" s="7" t="s">
        <v>19</v>
      </c>
      <c r="H5" s="12">
        <v>27749.56</v>
      </c>
      <c r="I5" s="7" t="s">
        <v>24</v>
      </c>
      <c r="K5" s="7" t="s">
        <v>25</v>
      </c>
    </row>
    <row r="6" spans="1:13" ht="30" customHeight="1" x14ac:dyDescent="0.25">
      <c r="A6" s="7" t="s">
        <v>26</v>
      </c>
      <c r="B6" s="7" t="s">
        <v>15</v>
      </c>
      <c r="C6" s="7" t="s">
        <v>27</v>
      </c>
      <c r="D6" s="7" t="s">
        <v>28</v>
      </c>
      <c r="F6" s="7" t="s">
        <v>29</v>
      </c>
      <c r="G6" s="7" t="s">
        <v>30</v>
      </c>
      <c r="H6" s="12">
        <v>22931.98</v>
      </c>
      <c r="I6" s="7" t="s">
        <v>31</v>
      </c>
      <c r="K6" s="7" t="s">
        <v>32</v>
      </c>
    </row>
    <row r="7" spans="1:13" ht="30" customHeight="1" x14ac:dyDescent="0.25">
      <c r="A7" s="7" t="s">
        <v>132</v>
      </c>
      <c r="B7" s="7" t="s">
        <v>33</v>
      </c>
      <c r="C7" s="7" t="s">
        <v>16</v>
      </c>
      <c r="D7" s="7" t="s">
        <v>34</v>
      </c>
      <c r="F7" s="7" t="s">
        <v>35</v>
      </c>
      <c r="G7" s="7" t="s">
        <v>30</v>
      </c>
      <c r="H7" s="12">
        <v>37712.25</v>
      </c>
      <c r="K7" s="7" t="s">
        <v>36</v>
      </c>
    </row>
    <row r="8" spans="1:13" ht="30" customHeight="1" x14ac:dyDescent="0.25">
      <c r="A8" s="7" t="s">
        <v>133</v>
      </c>
      <c r="B8" s="7" t="s">
        <v>33</v>
      </c>
      <c r="C8" s="7" t="s">
        <v>16</v>
      </c>
      <c r="D8" s="7" t="s">
        <v>37</v>
      </c>
      <c r="F8" s="7" t="s">
        <v>38</v>
      </c>
      <c r="G8" s="7" t="s">
        <v>30</v>
      </c>
      <c r="H8" s="12">
        <v>32107.21</v>
      </c>
      <c r="I8" s="7" t="s">
        <v>39</v>
      </c>
      <c r="K8" s="7" t="s">
        <v>40</v>
      </c>
    </row>
    <row r="9" spans="1:13" ht="30" customHeight="1" x14ac:dyDescent="0.25">
      <c r="A9" s="7" t="s">
        <v>134</v>
      </c>
      <c r="B9" s="7" t="s">
        <v>33</v>
      </c>
      <c r="C9" s="7" t="s">
        <v>16</v>
      </c>
      <c r="D9" s="7" t="s">
        <v>41</v>
      </c>
      <c r="E9" s="7" t="s">
        <v>42</v>
      </c>
      <c r="F9" s="7" t="s">
        <v>35</v>
      </c>
      <c r="G9" s="7" t="s">
        <v>30</v>
      </c>
      <c r="H9" s="12">
        <v>17045.310000000001</v>
      </c>
      <c r="J9" s="7" t="s">
        <v>43</v>
      </c>
      <c r="K9" s="7" t="s">
        <v>44</v>
      </c>
      <c r="L9" s="7" t="s">
        <v>45</v>
      </c>
    </row>
    <row r="10" spans="1:13" ht="30" customHeight="1" x14ac:dyDescent="0.25">
      <c r="A10" s="7" t="s">
        <v>135</v>
      </c>
      <c r="B10" s="7" t="s">
        <v>33</v>
      </c>
      <c r="C10" s="7" t="s">
        <v>16</v>
      </c>
      <c r="D10" s="7" t="s">
        <v>46</v>
      </c>
      <c r="F10" s="7" t="s">
        <v>35</v>
      </c>
      <c r="G10" s="7" t="s">
        <v>30</v>
      </c>
      <c r="H10" s="12">
        <v>46807.89</v>
      </c>
      <c r="I10" s="7" t="s">
        <v>47</v>
      </c>
      <c r="K10" s="7" t="s">
        <v>48</v>
      </c>
    </row>
    <row r="11" spans="1:13" ht="30" customHeight="1" x14ac:dyDescent="0.25">
      <c r="A11" s="7" t="s">
        <v>136</v>
      </c>
      <c r="B11" s="7" t="s">
        <v>33</v>
      </c>
      <c r="C11" s="7" t="s">
        <v>16</v>
      </c>
      <c r="D11" s="7" t="s">
        <v>49</v>
      </c>
      <c r="F11" s="7" t="s">
        <v>50</v>
      </c>
      <c r="G11" s="7" t="s">
        <v>19</v>
      </c>
      <c r="H11" s="12">
        <v>18445.79</v>
      </c>
      <c r="K11" s="7" t="s">
        <v>51</v>
      </c>
    </row>
    <row r="12" spans="1:13" ht="30" customHeight="1" x14ac:dyDescent="0.25">
      <c r="A12" s="7" t="s">
        <v>137</v>
      </c>
      <c r="B12" s="7" t="s">
        <v>15</v>
      </c>
      <c r="C12" s="7" t="s">
        <v>16</v>
      </c>
      <c r="D12" s="7" t="s">
        <v>52</v>
      </c>
      <c r="F12" s="7" t="s">
        <v>53</v>
      </c>
      <c r="G12" s="7" t="s">
        <v>54</v>
      </c>
      <c r="H12" s="12">
        <v>34312</v>
      </c>
      <c r="I12" s="7" t="s">
        <v>55</v>
      </c>
      <c r="K12" s="7" t="s">
        <v>56</v>
      </c>
    </row>
    <row r="13" spans="1:13" ht="30" customHeight="1" x14ac:dyDescent="0.25">
      <c r="A13" s="7" t="s">
        <v>138</v>
      </c>
      <c r="B13" s="7" t="s">
        <v>15</v>
      </c>
      <c r="C13" s="7" t="s">
        <v>16</v>
      </c>
      <c r="D13" s="7" t="s">
        <v>57</v>
      </c>
      <c r="F13" s="7" t="s">
        <v>58</v>
      </c>
      <c r="G13" s="7" t="s">
        <v>54</v>
      </c>
      <c r="H13" s="12">
        <v>37386.870000000003</v>
      </c>
      <c r="I13" s="7" t="s">
        <v>59</v>
      </c>
      <c r="K13" s="7" t="s">
        <v>60</v>
      </c>
    </row>
    <row r="14" spans="1:13" ht="30" customHeight="1" x14ac:dyDescent="0.25">
      <c r="A14" s="7" t="s">
        <v>139</v>
      </c>
      <c r="B14" s="7" t="s">
        <v>15</v>
      </c>
      <c r="C14" s="7" t="s">
        <v>16</v>
      </c>
      <c r="D14" s="7" t="s">
        <v>61</v>
      </c>
      <c r="F14" s="7" t="s">
        <v>62</v>
      </c>
      <c r="G14" s="7" t="s">
        <v>54</v>
      </c>
      <c r="H14" s="12">
        <v>28631</v>
      </c>
      <c r="I14" s="7" t="s">
        <v>63</v>
      </c>
      <c r="K14" s="7" t="s">
        <v>64</v>
      </c>
    </row>
    <row r="15" spans="1:13" ht="30" customHeight="1" x14ac:dyDescent="0.25">
      <c r="A15" s="7" t="s">
        <v>140</v>
      </c>
      <c r="B15" s="7" t="s">
        <v>33</v>
      </c>
      <c r="C15" s="7" t="s">
        <v>16</v>
      </c>
      <c r="D15" s="7" t="s">
        <v>65</v>
      </c>
      <c r="F15" s="7" t="s">
        <v>50</v>
      </c>
      <c r="G15" s="7" t="s">
        <v>54</v>
      </c>
      <c r="H15" s="12">
        <v>36002.69</v>
      </c>
      <c r="I15" s="7" t="s">
        <v>66</v>
      </c>
      <c r="K15" s="7" t="s">
        <v>67</v>
      </c>
    </row>
    <row r="16" spans="1:13" ht="30" customHeight="1" x14ac:dyDescent="0.25">
      <c r="A16" s="7" t="s">
        <v>141</v>
      </c>
      <c r="B16" s="7" t="s">
        <v>33</v>
      </c>
      <c r="C16" s="7" t="s">
        <v>16</v>
      </c>
      <c r="D16" s="7" t="s">
        <v>68</v>
      </c>
      <c r="E16" s="7" t="s">
        <v>69</v>
      </c>
      <c r="F16" s="7" t="s">
        <v>70</v>
      </c>
      <c r="G16" s="7" t="s">
        <v>54</v>
      </c>
      <c r="H16" s="12">
        <v>13500</v>
      </c>
      <c r="I16" s="7" t="s">
        <v>71</v>
      </c>
      <c r="J16" s="7" t="s">
        <v>72</v>
      </c>
      <c r="K16" s="7" t="s">
        <v>73</v>
      </c>
      <c r="L16" s="7" t="s">
        <v>74</v>
      </c>
    </row>
    <row r="17" spans="1:13" ht="30" customHeight="1" x14ac:dyDescent="0.25">
      <c r="A17" s="7" t="s">
        <v>75</v>
      </c>
      <c r="B17" s="7" t="s">
        <v>15</v>
      </c>
      <c r="C17" s="7" t="s">
        <v>27</v>
      </c>
      <c r="D17" s="7" t="s">
        <v>76</v>
      </c>
      <c r="F17" s="7" t="s">
        <v>77</v>
      </c>
      <c r="G17" s="7" t="s">
        <v>54</v>
      </c>
      <c r="H17" s="12">
        <v>32067.26</v>
      </c>
      <c r="I17" s="7" t="s">
        <v>78</v>
      </c>
      <c r="K17" s="7" t="s">
        <v>79</v>
      </c>
    </row>
    <row r="18" spans="1:13" ht="30" customHeight="1" x14ac:dyDescent="0.25">
      <c r="A18" s="7" t="s">
        <v>142</v>
      </c>
      <c r="B18" s="7" t="s">
        <v>33</v>
      </c>
      <c r="C18" s="7" t="s">
        <v>16</v>
      </c>
      <c r="D18" s="7" t="s">
        <v>80</v>
      </c>
      <c r="F18" s="7" t="s">
        <v>81</v>
      </c>
      <c r="G18" s="7" t="s">
        <v>54</v>
      </c>
      <c r="H18" s="12">
        <v>35860.379999999997</v>
      </c>
      <c r="I18" s="7" t="s">
        <v>82</v>
      </c>
      <c r="K18" s="7" t="s">
        <v>83</v>
      </c>
    </row>
    <row r="19" spans="1:13" ht="30" customHeight="1" x14ac:dyDescent="0.25">
      <c r="A19" s="7" t="s">
        <v>143</v>
      </c>
      <c r="B19" s="7" t="s">
        <v>15</v>
      </c>
      <c r="C19" s="7" t="s">
        <v>16</v>
      </c>
      <c r="D19" s="7" t="s">
        <v>84</v>
      </c>
      <c r="F19" s="7" t="s">
        <v>58</v>
      </c>
      <c r="G19" s="7" t="s">
        <v>54</v>
      </c>
      <c r="H19" s="12">
        <v>33948.35</v>
      </c>
      <c r="I19" s="7" t="s">
        <v>85</v>
      </c>
      <c r="K19" s="7" t="s">
        <v>86</v>
      </c>
    </row>
    <row r="20" spans="1:13" ht="30" customHeight="1" x14ac:dyDescent="0.25">
      <c r="A20" s="7" t="s">
        <v>144</v>
      </c>
      <c r="B20" s="7" t="s">
        <v>33</v>
      </c>
      <c r="C20" s="7" t="s">
        <v>16</v>
      </c>
      <c r="D20" s="7" t="s">
        <v>87</v>
      </c>
      <c r="F20" s="7" t="s">
        <v>88</v>
      </c>
      <c r="G20" s="7" t="s">
        <v>19</v>
      </c>
      <c r="H20" s="12">
        <v>33259.47</v>
      </c>
      <c r="I20" s="7" t="s">
        <v>89</v>
      </c>
      <c r="K20" s="7" t="s">
        <v>90</v>
      </c>
    </row>
    <row r="21" spans="1:13" ht="30" customHeight="1" x14ac:dyDescent="0.25">
      <c r="A21" s="7" t="s">
        <v>145</v>
      </c>
      <c r="B21" s="7" t="s">
        <v>33</v>
      </c>
      <c r="C21" s="7" t="s">
        <v>16</v>
      </c>
      <c r="D21" s="7" t="s">
        <v>91</v>
      </c>
      <c r="F21" s="7" t="s">
        <v>92</v>
      </c>
      <c r="G21" s="7" t="s">
        <v>54</v>
      </c>
      <c r="H21" s="12">
        <v>39823.5</v>
      </c>
      <c r="I21" s="7" t="s">
        <v>93</v>
      </c>
      <c r="K21" s="7" t="s">
        <v>94</v>
      </c>
    </row>
    <row r="22" spans="1:13" ht="30" customHeight="1" x14ac:dyDescent="0.25">
      <c r="A22" s="7" t="s">
        <v>95</v>
      </c>
      <c r="B22" s="7" t="s">
        <v>15</v>
      </c>
      <c r="C22" s="7" t="s">
        <v>27</v>
      </c>
      <c r="D22" s="7" t="s">
        <v>96</v>
      </c>
      <c r="F22" s="7" t="s">
        <v>29</v>
      </c>
      <c r="G22" s="7" t="s">
        <v>30</v>
      </c>
      <c r="H22" s="12">
        <v>46186.21</v>
      </c>
      <c r="I22" s="7" t="s">
        <v>97</v>
      </c>
      <c r="K22" s="7" t="s">
        <v>98</v>
      </c>
    </row>
    <row r="23" spans="1:13" ht="30" customHeight="1" x14ac:dyDescent="0.25">
      <c r="A23" s="7" t="s">
        <v>99</v>
      </c>
      <c r="B23" s="7" t="s">
        <v>33</v>
      </c>
      <c r="C23" s="7" t="s">
        <v>27</v>
      </c>
      <c r="D23" s="7" t="s">
        <v>100</v>
      </c>
      <c r="E23" s="7" t="s">
        <v>101</v>
      </c>
      <c r="F23" s="7" t="s">
        <v>88</v>
      </c>
      <c r="G23" s="7" t="s">
        <v>54</v>
      </c>
      <c r="H23" s="12">
        <v>20080.63</v>
      </c>
      <c r="K23" s="7" t="s">
        <v>102</v>
      </c>
      <c r="L23" s="7" t="s">
        <v>103</v>
      </c>
    </row>
    <row r="24" spans="1:13" ht="30" customHeight="1" x14ac:dyDescent="0.25">
      <c r="A24" s="7" t="s">
        <v>146</v>
      </c>
      <c r="B24" s="7" t="s">
        <v>33</v>
      </c>
      <c r="C24" s="7" t="s">
        <v>16</v>
      </c>
      <c r="D24" s="7" t="s">
        <v>104</v>
      </c>
      <c r="F24" s="7" t="s">
        <v>70</v>
      </c>
      <c r="G24" s="7" t="s">
        <v>19</v>
      </c>
      <c r="H24" s="12">
        <v>28460.42</v>
      </c>
      <c r="I24" s="7" t="s">
        <v>105</v>
      </c>
      <c r="K24" s="7" t="s">
        <v>106</v>
      </c>
    </row>
    <row r="25" spans="1:13" ht="30" customHeight="1" x14ac:dyDescent="0.25">
      <c r="A25" s="7" t="s">
        <v>107</v>
      </c>
      <c r="B25" s="7" t="s">
        <v>15</v>
      </c>
      <c r="C25" s="7" t="s">
        <v>27</v>
      </c>
      <c r="D25" s="7" t="s">
        <v>108</v>
      </c>
      <c r="E25" s="7" t="s">
        <v>109</v>
      </c>
      <c r="F25" s="7" t="s">
        <v>110</v>
      </c>
      <c r="G25" s="7" t="s">
        <v>30</v>
      </c>
      <c r="H25" s="12">
        <v>9520.23</v>
      </c>
      <c r="I25" s="7" t="s">
        <v>111</v>
      </c>
      <c r="K25" s="7" t="s">
        <v>112</v>
      </c>
      <c r="L25" s="7" t="s">
        <v>113</v>
      </c>
    </row>
    <row r="26" spans="1:13" ht="30" customHeight="1" x14ac:dyDescent="0.25">
      <c r="A26" s="7" t="s">
        <v>147</v>
      </c>
      <c r="B26" s="7" t="s">
        <v>33</v>
      </c>
      <c r="C26" s="7" t="s">
        <v>16</v>
      </c>
      <c r="D26" s="7" t="s">
        <v>114</v>
      </c>
      <c r="F26" s="7" t="s">
        <v>38</v>
      </c>
      <c r="G26" s="7" t="s">
        <v>54</v>
      </c>
      <c r="H26" s="12">
        <v>31463.17</v>
      </c>
      <c r="K26" s="7" t="s">
        <v>115</v>
      </c>
    </row>
    <row r="27" spans="1:13" x14ac:dyDescent="0.25">
      <c r="A27" s="13"/>
      <c r="B27" s="13"/>
      <c r="C27" s="13"/>
      <c r="D27" s="13" t="s">
        <v>116</v>
      </c>
      <c r="E27" s="13"/>
      <c r="F27" s="13"/>
      <c r="G27" s="13"/>
      <c r="H27" s="14">
        <f>SUM(H4:H26)</f>
        <v>694809.3600000001</v>
      </c>
      <c r="I27" s="13"/>
      <c r="J27" s="13"/>
      <c r="K27" s="13"/>
      <c r="L27" s="13"/>
      <c r="M27" s="13"/>
    </row>
  </sheetData>
  <mergeCells count="2">
    <mergeCell ref="A2:F2"/>
    <mergeCell ref="G2:M2"/>
  </mergeCells>
  <pageMargins left="0.7" right="0.7" top="0.75" bottom="0.75" header="0.3" footer="0.3"/>
  <pageSetup paperSize="5" scale="64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3D243-6BFB-47E7-97C6-C92A4CDB2654}">
  <sheetPr>
    <pageSetUpPr fitToPage="1"/>
  </sheetPr>
  <dimension ref="A1:H42"/>
  <sheetViews>
    <sheetView workbookViewId="0">
      <selection activeCell="K7" sqref="K7"/>
    </sheetView>
  </sheetViews>
  <sheetFormatPr defaultRowHeight="15.75" x14ac:dyDescent="0.25"/>
  <cols>
    <col min="1" max="1" width="28.42578125" style="7" customWidth="1"/>
    <col min="2" max="2" width="13.5703125" style="7" customWidth="1"/>
    <col min="3" max="3" width="21.5703125" style="7" customWidth="1"/>
    <col min="4" max="4" width="15.7109375" style="7" customWidth="1"/>
    <col min="5" max="5" width="19.42578125" style="7" customWidth="1"/>
    <col min="6" max="6" width="24.140625" style="7" customWidth="1"/>
    <col min="7" max="7" width="19.140625" style="7" customWidth="1"/>
    <col min="8" max="8" width="21.140625" style="7" customWidth="1"/>
    <col min="9" max="16384" width="9.140625" style="7"/>
  </cols>
  <sheetData>
    <row r="1" spans="1:8" x14ac:dyDescent="0.25">
      <c r="E1" s="8"/>
      <c r="H1" s="8">
        <v>45944.999988425923</v>
      </c>
    </row>
    <row r="2" spans="1:8" x14ac:dyDescent="0.25">
      <c r="A2" s="9" t="s">
        <v>0</v>
      </c>
      <c r="B2" s="9"/>
      <c r="C2" s="10"/>
      <c r="D2" s="10"/>
      <c r="E2" s="11" t="s">
        <v>117</v>
      </c>
      <c r="F2" s="10"/>
      <c r="G2" s="10"/>
      <c r="H2" s="10"/>
    </row>
    <row r="3" spans="1:8" x14ac:dyDescent="0.25">
      <c r="A3" s="7" t="s">
        <v>7</v>
      </c>
      <c r="B3" s="7" t="s">
        <v>123</v>
      </c>
      <c r="C3" s="7" t="s">
        <v>8</v>
      </c>
      <c r="D3" s="7" t="s">
        <v>118</v>
      </c>
      <c r="E3" s="7" t="s">
        <v>119</v>
      </c>
      <c r="F3" s="7" t="s">
        <v>120</v>
      </c>
      <c r="G3" s="7" t="s">
        <v>122</v>
      </c>
      <c r="H3" s="7" t="s">
        <v>121</v>
      </c>
    </row>
    <row r="4" spans="1:8" ht="24.95" customHeight="1" x14ac:dyDescent="0.25">
      <c r="A4" s="7" t="s">
        <v>81</v>
      </c>
      <c r="C4" s="7" t="s">
        <v>54</v>
      </c>
      <c r="D4" s="12">
        <v>950</v>
      </c>
      <c r="E4" s="12">
        <v>0</v>
      </c>
      <c r="F4" s="15">
        <v>35785.379999999997</v>
      </c>
      <c r="G4" s="12"/>
      <c r="H4" s="12">
        <v>35860.379999999997</v>
      </c>
    </row>
    <row r="5" spans="1:8" ht="24.95" customHeight="1" x14ac:dyDescent="0.25">
      <c r="D5" s="12"/>
      <c r="E5" s="12"/>
      <c r="F5" s="12"/>
      <c r="G5" s="12"/>
      <c r="H5" s="12"/>
    </row>
    <row r="6" spans="1:8" ht="24.95" customHeight="1" x14ac:dyDescent="0.25">
      <c r="A6" s="7" t="s">
        <v>58</v>
      </c>
      <c r="C6" s="7" t="s">
        <v>54</v>
      </c>
      <c r="D6" s="12">
        <v>950</v>
      </c>
      <c r="E6" s="12">
        <v>0</v>
      </c>
      <c r="F6" s="12">
        <v>37311.870000000003</v>
      </c>
      <c r="G6" s="12"/>
      <c r="H6" s="12">
        <v>37386.870000000003</v>
      </c>
    </row>
    <row r="7" spans="1:8" ht="24.95" customHeight="1" x14ac:dyDescent="0.25">
      <c r="A7" s="7" t="s">
        <v>58</v>
      </c>
      <c r="C7" s="7" t="s">
        <v>54</v>
      </c>
      <c r="D7" s="12">
        <v>850</v>
      </c>
      <c r="E7" s="12">
        <v>0</v>
      </c>
      <c r="F7" s="12">
        <v>33873.35</v>
      </c>
      <c r="G7" s="15">
        <f>SUM(F6:F7)</f>
        <v>71185.22</v>
      </c>
      <c r="H7" s="12">
        <v>33948.35</v>
      </c>
    </row>
    <row r="8" spans="1:8" ht="24.95" customHeight="1" x14ac:dyDescent="0.25">
      <c r="D8" s="12"/>
      <c r="E8" s="12"/>
      <c r="F8" s="12"/>
      <c r="G8" s="12"/>
      <c r="H8" s="12"/>
    </row>
    <row r="9" spans="1:8" ht="24.95" customHeight="1" x14ac:dyDescent="0.25">
      <c r="A9" s="7" t="s">
        <v>62</v>
      </c>
      <c r="C9" s="7" t="s">
        <v>54</v>
      </c>
      <c r="D9" s="12">
        <v>750</v>
      </c>
      <c r="E9" s="12">
        <v>0</v>
      </c>
      <c r="F9" s="15">
        <v>28556</v>
      </c>
      <c r="G9" s="12"/>
      <c r="H9" s="12">
        <v>28631</v>
      </c>
    </row>
    <row r="10" spans="1:8" ht="24.95" customHeight="1" x14ac:dyDescent="0.25">
      <c r="D10" s="12"/>
      <c r="E10" s="12"/>
      <c r="F10" s="15"/>
      <c r="G10" s="12"/>
      <c r="H10" s="12"/>
    </row>
    <row r="11" spans="1:8" ht="24.95" customHeight="1" x14ac:dyDescent="0.25">
      <c r="A11" s="7" t="s">
        <v>23</v>
      </c>
      <c r="B11" s="16" t="s">
        <v>150</v>
      </c>
      <c r="C11" s="7" t="s">
        <v>19</v>
      </c>
      <c r="D11" s="12">
        <v>750</v>
      </c>
      <c r="E11" s="12">
        <v>0</v>
      </c>
      <c r="F11" s="15">
        <v>27674.560000000001</v>
      </c>
      <c r="G11" s="12"/>
      <c r="H11" s="12">
        <v>27749.56</v>
      </c>
    </row>
    <row r="12" spans="1:8" ht="24.95" customHeight="1" x14ac:dyDescent="0.25">
      <c r="B12" s="16"/>
      <c r="D12" s="12"/>
      <c r="E12" s="12"/>
      <c r="F12" s="12"/>
      <c r="G12" s="12"/>
      <c r="H12" s="12"/>
    </row>
    <row r="13" spans="1:8" ht="24.95" customHeight="1" x14ac:dyDescent="0.25">
      <c r="A13" s="7" t="s">
        <v>88</v>
      </c>
      <c r="B13" s="16"/>
      <c r="C13" s="7" t="s">
        <v>19</v>
      </c>
      <c r="D13" s="12">
        <v>850</v>
      </c>
      <c r="E13" s="12">
        <v>0</v>
      </c>
      <c r="F13" s="12">
        <v>33184.47</v>
      </c>
      <c r="G13" s="12"/>
      <c r="H13" s="12">
        <v>33259.47</v>
      </c>
    </row>
    <row r="14" spans="1:8" ht="24.95" customHeight="1" x14ac:dyDescent="0.25">
      <c r="A14" s="7" t="s">
        <v>88</v>
      </c>
      <c r="B14" s="16"/>
      <c r="C14" s="7" t="s">
        <v>54</v>
      </c>
      <c r="D14" s="12">
        <v>650</v>
      </c>
      <c r="E14" s="12">
        <v>0</v>
      </c>
      <c r="F14" s="12">
        <v>20005.63</v>
      </c>
      <c r="G14" s="15">
        <f>SUM(F13:F14)</f>
        <v>53190.100000000006</v>
      </c>
      <c r="H14" s="12">
        <v>20080.63</v>
      </c>
    </row>
    <row r="15" spans="1:8" ht="24.95" customHeight="1" x14ac:dyDescent="0.25">
      <c r="B15" s="16"/>
      <c r="D15" s="12"/>
      <c r="E15" s="12"/>
      <c r="F15" s="12"/>
      <c r="G15" s="12"/>
      <c r="H15" s="12"/>
    </row>
    <row r="16" spans="1:8" ht="24.95" customHeight="1" x14ac:dyDescent="0.25">
      <c r="A16" s="7" t="s">
        <v>110</v>
      </c>
      <c r="B16" s="16"/>
      <c r="C16" s="7" t="s">
        <v>30</v>
      </c>
      <c r="D16" s="12">
        <v>150</v>
      </c>
      <c r="E16" s="12">
        <v>0</v>
      </c>
      <c r="F16" s="15">
        <v>9445.23</v>
      </c>
      <c r="G16" s="12"/>
      <c r="H16" s="12">
        <v>9520.23</v>
      </c>
    </row>
    <row r="17" spans="1:8" ht="24.95" customHeight="1" x14ac:dyDescent="0.25">
      <c r="B17" s="16"/>
      <c r="D17" s="12"/>
      <c r="E17" s="12"/>
      <c r="F17" s="12"/>
      <c r="G17" s="12"/>
      <c r="H17" s="12"/>
    </row>
    <row r="18" spans="1:8" ht="24.95" customHeight="1" x14ac:dyDescent="0.25">
      <c r="A18" s="7" t="s">
        <v>149</v>
      </c>
      <c r="B18" s="16"/>
      <c r="C18" s="7" t="s">
        <v>19</v>
      </c>
      <c r="D18" s="12">
        <v>750</v>
      </c>
      <c r="E18" s="12">
        <v>0</v>
      </c>
      <c r="F18" s="12">
        <v>28385.42</v>
      </c>
      <c r="G18" s="12"/>
      <c r="H18" s="12">
        <v>28460.42</v>
      </c>
    </row>
    <row r="19" spans="1:8" ht="24.95" customHeight="1" x14ac:dyDescent="0.25">
      <c r="A19" s="7" t="s">
        <v>149</v>
      </c>
      <c r="B19" s="16"/>
      <c r="C19" s="7" t="s">
        <v>54</v>
      </c>
      <c r="D19" s="12">
        <v>300</v>
      </c>
      <c r="E19" s="12">
        <v>0</v>
      </c>
      <c r="F19" s="12">
        <v>13425</v>
      </c>
      <c r="G19" s="15">
        <f>SUM(F18:F19)</f>
        <v>41810.42</v>
      </c>
      <c r="H19" s="12">
        <v>13500</v>
      </c>
    </row>
    <row r="20" spans="1:8" ht="24.95" customHeight="1" x14ac:dyDescent="0.25">
      <c r="B20" s="16"/>
      <c r="D20" s="12"/>
      <c r="E20" s="12"/>
      <c r="F20" s="12"/>
      <c r="G20" s="15"/>
      <c r="H20" s="12"/>
    </row>
    <row r="21" spans="1:8" ht="24.95" customHeight="1" x14ac:dyDescent="0.25">
      <c r="A21" s="7" t="s">
        <v>38</v>
      </c>
      <c r="B21" s="16" t="s">
        <v>151</v>
      </c>
      <c r="C21" s="7" t="s">
        <v>30</v>
      </c>
      <c r="D21" s="12">
        <v>850</v>
      </c>
      <c r="E21" s="12">
        <v>0</v>
      </c>
      <c r="F21" s="12">
        <v>32032.21</v>
      </c>
      <c r="G21" s="15"/>
      <c r="H21" s="12">
        <v>32107.21</v>
      </c>
    </row>
    <row r="22" spans="1:8" ht="24.95" customHeight="1" x14ac:dyDescent="0.25">
      <c r="A22" s="7" t="s">
        <v>38</v>
      </c>
      <c r="C22" s="7" t="s">
        <v>54</v>
      </c>
      <c r="D22" s="12">
        <v>850</v>
      </c>
      <c r="E22" s="12">
        <v>0</v>
      </c>
      <c r="F22" s="12">
        <v>31388.17</v>
      </c>
      <c r="G22" s="15">
        <f>SUM(F21:F22)</f>
        <v>63420.38</v>
      </c>
      <c r="H22" s="12">
        <v>31463.17</v>
      </c>
    </row>
    <row r="23" spans="1:8" ht="24.95" customHeight="1" x14ac:dyDescent="0.25">
      <c r="D23" s="12"/>
      <c r="E23" s="12"/>
      <c r="F23" s="12"/>
      <c r="G23" s="12"/>
      <c r="H23" s="12"/>
    </row>
    <row r="24" spans="1:8" ht="24.95" customHeight="1" x14ac:dyDescent="0.25">
      <c r="A24" s="7" t="s">
        <v>92</v>
      </c>
      <c r="C24" s="7" t="s">
        <v>54</v>
      </c>
      <c r="D24" s="12">
        <v>950</v>
      </c>
      <c r="E24" s="12">
        <v>0</v>
      </c>
      <c r="F24" s="15">
        <v>39748.5</v>
      </c>
      <c r="G24" s="12"/>
      <c r="H24" s="12">
        <v>39823.5</v>
      </c>
    </row>
    <row r="25" spans="1:8" ht="24.95" customHeight="1" x14ac:dyDescent="0.25">
      <c r="D25" s="12"/>
      <c r="E25" s="12"/>
      <c r="F25" s="12"/>
      <c r="G25" s="12"/>
      <c r="H25" s="12"/>
    </row>
    <row r="26" spans="1:8" ht="24.95" customHeight="1" x14ac:dyDescent="0.25">
      <c r="A26" s="7" t="s">
        <v>29</v>
      </c>
      <c r="C26" s="7" t="s">
        <v>30</v>
      </c>
      <c r="D26" s="12">
        <v>650</v>
      </c>
      <c r="E26" s="12">
        <v>0</v>
      </c>
      <c r="F26" s="12">
        <v>22856.98</v>
      </c>
      <c r="G26" s="12"/>
      <c r="H26" s="12">
        <v>22931.98</v>
      </c>
    </row>
    <row r="27" spans="1:8" ht="24.95" customHeight="1" x14ac:dyDescent="0.25">
      <c r="A27" s="7" t="s">
        <v>29</v>
      </c>
      <c r="C27" s="7" t="s">
        <v>30</v>
      </c>
      <c r="D27" s="12">
        <v>1150</v>
      </c>
      <c r="E27" s="12">
        <v>0</v>
      </c>
      <c r="F27" s="12">
        <v>46111.21</v>
      </c>
      <c r="G27" s="15">
        <f>SUM(F26:F27)</f>
        <v>68968.19</v>
      </c>
      <c r="H27" s="12">
        <v>46186.21</v>
      </c>
    </row>
    <row r="28" spans="1:8" ht="24.95" customHeight="1" x14ac:dyDescent="0.25">
      <c r="D28" s="12"/>
      <c r="E28" s="12"/>
      <c r="F28" s="12"/>
      <c r="G28" s="12"/>
      <c r="H28" s="12"/>
    </row>
    <row r="29" spans="1:8" ht="24.95" customHeight="1" x14ac:dyDescent="0.25">
      <c r="A29" s="7" t="s">
        <v>148</v>
      </c>
      <c r="C29" s="7" t="s">
        <v>19</v>
      </c>
      <c r="D29" s="12">
        <v>850</v>
      </c>
      <c r="E29" s="12">
        <v>0</v>
      </c>
      <c r="F29" s="15">
        <v>31432.19</v>
      </c>
      <c r="G29" s="12"/>
      <c r="H29" s="12">
        <v>31507.19</v>
      </c>
    </row>
    <row r="30" spans="1:8" ht="24.95" customHeight="1" x14ac:dyDescent="0.25">
      <c r="D30" s="12"/>
      <c r="E30" s="12"/>
      <c r="F30" s="15"/>
      <c r="G30" s="12"/>
      <c r="H30" s="12"/>
    </row>
    <row r="31" spans="1:8" ht="24.95" customHeight="1" x14ac:dyDescent="0.25">
      <c r="A31" s="7" t="s">
        <v>53</v>
      </c>
      <c r="C31" s="7" t="s">
        <v>54</v>
      </c>
      <c r="D31" s="12">
        <v>850</v>
      </c>
      <c r="E31" s="12">
        <v>0</v>
      </c>
      <c r="F31" s="15">
        <v>34237</v>
      </c>
      <c r="G31" s="12"/>
      <c r="H31" s="12">
        <v>34312</v>
      </c>
    </row>
    <row r="32" spans="1:8" ht="24.95" customHeight="1" x14ac:dyDescent="0.25">
      <c r="D32" s="12"/>
      <c r="E32" s="12"/>
      <c r="F32" s="12"/>
      <c r="G32" s="12"/>
      <c r="H32" s="12"/>
    </row>
    <row r="33" spans="1:8" ht="24.95" customHeight="1" x14ac:dyDescent="0.25">
      <c r="A33" s="7" t="s">
        <v>35</v>
      </c>
      <c r="C33" s="7" t="s">
        <v>30</v>
      </c>
      <c r="D33" s="12">
        <v>1150</v>
      </c>
      <c r="E33" s="12">
        <v>0</v>
      </c>
      <c r="F33" s="12">
        <v>46732.89</v>
      </c>
      <c r="G33" s="12"/>
      <c r="H33" s="12">
        <v>46807.89</v>
      </c>
    </row>
    <row r="34" spans="1:8" ht="24.95" customHeight="1" x14ac:dyDescent="0.25">
      <c r="A34" s="7" t="s">
        <v>35</v>
      </c>
      <c r="C34" s="7" t="s">
        <v>30</v>
      </c>
      <c r="D34" s="12">
        <v>500</v>
      </c>
      <c r="E34" s="12">
        <v>0</v>
      </c>
      <c r="F34" s="12">
        <v>16970.310000000001</v>
      </c>
      <c r="G34" s="12"/>
      <c r="H34" s="12">
        <v>17045.310000000001</v>
      </c>
    </row>
    <row r="35" spans="1:8" ht="24.95" customHeight="1" x14ac:dyDescent="0.25">
      <c r="A35" s="7" t="s">
        <v>35</v>
      </c>
      <c r="C35" s="7" t="s">
        <v>30</v>
      </c>
      <c r="D35" s="12">
        <v>950</v>
      </c>
      <c r="E35" s="12">
        <v>0</v>
      </c>
      <c r="F35" s="12">
        <v>37637.25</v>
      </c>
      <c r="G35" s="15">
        <f>SUM(F33:F35)</f>
        <v>101340.45</v>
      </c>
      <c r="H35" s="12">
        <v>37712.25</v>
      </c>
    </row>
    <row r="36" spans="1:8" ht="24.95" customHeight="1" x14ac:dyDescent="0.25">
      <c r="D36" s="12"/>
      <c r="E36" s="12"/>
      <c r="F36" s="12"/>
      <c r="G36" s="15"/>
      <c r="H36" s="12"/>
    </row>
    <row r="37" spans="1:8" ht="24.95" customHeight="1" x14ac:dyDescent="0.25">
      <c r="A37" s="7" t="s">
        <v>50</v>
      </c>
      <c r="C37" s="7" t="s">
        <v>19</v>
      </c>
      <c r="D37" s="12">
        <v>500</v>
      </c>
      <c r="E37" s="12">
        <v>0</v>
      </c>
      <c r="F37" s="12">
        <v>18370.79</v>
      </c>
      <c r="G37" s="15"/>
      <c r="H37" s="12">
        <v>18445.79</v>
      </c>
    </row>
    <row r="38" spans="1:8" ht="24.95" customHeight="1" x14ac:dyDescent="0.25">
      <c r="A38" s="7" t="s">
        <v>50</v>
      </c>
      <c r="C38" s="7" t="s">
        <v>54</v>
      </c>
      <c r="D38" s="12">
        <v>950</v>
      </c>
      <c r="E38" s="12">
        <v>0</v>
      </c>
      <c r="F38" s="12">
        <v>35927.69</v>
      </c>
      <c r="G38" s="15">
        <f>SUM(F37:F38)</f>
        <v>54298.48</v>
      </c>
      <c r="H38" s="12">
        <v>36002.69</v>
      </c>
    </row>
    <row r="39" spans="1:8" ht="24.95" customHeight="1" x14ac:dyDescent="0.25">
      <c r="D39" s="12"/>
      <c r="E39" s="12"/>
      <c r="F39" s="12"/>
      <c r="G39" s="12"/>
      <c r="H39" s="12"/>
    </row>
    <row r="40" spans="1:8" ht="24.95" customHeight="1" x14ac:dyDescent="0.25">
      <c r="A40" s="7" t="s">
        <v>77</v>
      </c>
      <c r="C40" s="7" t="s">
        <v>54</v>
      </c>
      <c r="D40" s="12">
        <v>850</v>
      </c>
      <c r="E40" s="12">
        <v>0</v>
      </c>
      <c r="F40" s="15">
        <v>31992.26</v>
      </c>
      <c r="G40" s="12"/>
      <c r="H40" s="12">
        <v>32067.26</v>
      </c>
    </row>
    <row r="41" spans="1:8" x14ac:dyDescent="0.25">
      <c r="D41" s="12"/>
      <c r="E41" s="12"/>
      <c r="F41" s="12"/>
      <c r="G41" s="12"/>
      <c r="H41" s="12"/>
    </row>
    <row r="42" spans="1:8" x14ac:dyDescent="0.25">
      <c r="A42" s="13"/>
      <c r="B42" s="13"/>
      <c r="C42" s="13"/>
      <c r="D42" s="14">
        <f>SUM(D4:D40)</f>
        <v>18000</v>
      </c>
      <c r="E42" s="14">
        <f>SUM(E4:E40)</f>
        <v>0</v>
      </c>
      <c r="F42" s="14">
        <f>SUM(F4:F40)</f>
        <v>693084.3600000001</v>
      </c>
      <c r="G42" s="14"/>
      <c r="H42" s="14">
        <f>SUM(H4:H40)</f>
        <v>694809.3600000001</v>
      </c>
    </row>
  </sheetData>
  <mergeCells count="2">
    <mergeCell ref="A2:D2"/>
    <mergeCell ref="E2:H2"/>
  </mergeCells>
  <pageMargins left="0.7" right="0.7" top="0.75" bottom="0.75" header="0.3" footer="0.3"/>
  <pageSetup scale="71" fitToHeight="0" orientation="landscape" r:id="rId1"/>
  <headerFooter>
    <oddFooter>Page &amp;P of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D4CAD-9FFD-49B6-BB9F-2E9F813C3B26}">
  <sheetPr>
    <pageSetUpPr fitToPage="1"/>
  </sheetPr>
  <dimension ref="A1:E22"/>
  <sheetViews>
    <sheetView workbookViewId="0">
      <selection activeCell="I10" sqref="I10"/>
    </sheetView>
  </sheetViews>
  <sheetFormatPr defaultRowHeight="15" x14ac:dyDescent="0.25"/>
  <cols>
    <col min="1" max="1" width="12.85546875" customWidth="1"/>
    <col min="2" max="2" width="7.140625" customWidth="1"/>
    <col min="3" max="3" width="23.140625" customWidth="1"/>
    <col min="4" max="4" width="23.5703125" customWidth="1"/>
    <col min="5" max="5" width="19.5703125" customWidth="1"/>
  </cols>
  <sheetData>
    <row r="1" spans="1:5" ht="24.95" customHeight="1" x14ac:dyDescent="0.25">
      <c r="A1" t="s">
        <v>129</v>
      </c>
      <c r="D1" s="2"/>
      <c r="E1" s="2">
        <v>45944.999988425923</v>
      </c>
    </row>
    <row r="2" spans="1:5" ht="24.95" customHeight="1" x14ac:dyDescent="0.25">
      <c r="A2" s="3" t="s">
        <v>0</v>
      </c>
      <c r="B2" s="4"/>
      <c r="C2" s="4"/>
      <c r="D2" s="5" t="s">
        <v>124</v>
      </c>
      <c r="E2" s="4"/>
    </row>
    <row r="3" spans="1:5" ht="24.95" customHeight="1" x14ac:dyDescent="0.25">
      <c r="A3" t="s">
        <v>2</v>
      </c>
      <c r="B3" t="s">
        <v>4</v>
      </c>
      <c r="C3" t="s">
        <v>5</v>
      </c>
      <c r="D3" t="s">
        <v>6</v>
      </c>
      <c r="E3" t="s">
        <v>7</v>
      </c>
    </row>
    <row r="4" spans="1:5" ht="24.95" customHeight="1" x14ac:dyDescent="0.25">
      <c r="A4" t="s">
        <v>26</v>
      </c>
      <c r="B4" t="s">
        <v>27</v>
      </c>
      <c r="C4" t="s">
        <v>28</v>
      </c>
      <c r="E4" t="s">
        <v>29</v>
      </c>
    </row>
    <row r="5" spans="1:5" ht="24.95" customHeight="1" x14ac:dyDescent="0.25">
      <c r="A5" t="s">
        <v>75</v>
      </c>
      <c r="B5" t="s">
        <v>27</v>
      </c>
      <c r="C5" t="s">
        <v>76</v>
      </c>
      <c r="E5" t="s">
        <v>77</v>
      </c>
    </row>
    <row r="6" spans="1:5" ht="24.95" customHeight="1" x14ac:dyDescent="0.25">
      <c r="A6" t="s">
        <v>95</v>
      </c>
      <c r="B6" t="s">
        <v>27</v>
      </c>
      <c r="C6" t="s">
        <v>96</v>
      </c>
      <c r="E6" t="s">
        <v>29</v>
      </c>
    </row>
    <row r="7" spans="1:5" ht="24.95" customHeight="1" x14ac:dyDescent="0.25">
      <c r="A7" t="s">
        <v>99</v>
      </c>
      <c r="B7" t="s">
        <v>27</v>
      </c>
      <c r="C7" t="s">
        <v>100</v>
      </c>
      <c r="D7" t="s">
        <v>101</v>
      </c>
      <c r="E7" t="s">
        <v>88</v>
      </c>
    </row>
    <row r="8" spans="1:5" ht="24.95" customHeight="1" x14ac:dyDescent="0.25">
      <c r="A8" t="s">
        <v>107</v>
      </c>
      <c r="B8" t="s">
        <v>27</v>
      </c>
      <c r="C8" t="s">
        <v>108</v>
      </c>
      <c r="D8" t="s">
        <v>109</v>
      </c>
      <c r="E8" t="s">
        <v>110</v>
      </c>
    </row>
    <row r="9" spans="1:5" x14ac:dyDescent="0.25">
      <c r="A9" s="1"/>
      <c r="B9" s="1"/>
      <c r="C9" s="1" t="s">
        <v>125</v>
      </c>
      <c r="D9" s="1"/>
      <c r="E9" s="1"/>
    </row>
    <row r="14" spans="1:5" x14ac:dyDescent="0.25">
      <c r="A14" t="s">
        <v>126</v>
      </c>
      <c r="B14" s="6"/>
      <c r="C14" s="6"/>
      <c r="D14" s="6"/>
    </row>
    <row r="18" spans="1:4" x14ac:dyDescent="0.25">
      <c r="A18" t="s">
        <v>127</v>
      </c>
      <c r="B18" s="6"/>
      <c r="C18" s="6"/>
      <c r="D18" s="6"/>
    </row>
    <row r="22" spans="1:4" x14ac:dyDescent="0.25">
      <c r="A22" t="s">
        <v>128</v>
      </c>
      <c r="B22" s="6"/>
      <c r="C22" s="6"/>
    </row>
  </sheetData>
  <mergeCells count="2">
    <mergeCell ref="A2:C2"/>
    <mergeCell ref="D2:E2"/>
  </mergeCells>
  <pageMargins left="0.7" right="0.7" top="0.75" bottom="0.75" header="0.3" footer="0.3"/>
  <pageSetup fitToHeight="0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117D8-52A5-406B-8EFD-7CADFA1FF46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Funding Worksheet - Folder Vers</vt:lpstr>
      <vt:lpstr>Funding Worksheet - ACH</vt:lpstr>
      <vt:lpstr>Original Note Log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2025-10-14T18:34:29Z</cp:lastPrinted>
  <dcterms:created xsi:type="dcterms:W3CDTF">2025-10-14T18:04:57Z</dcterms:created>
  <dcterms:modified xsi:type="dcterms:W3CDTF">2025-10-14T19:00:04Z</dcterms:modified>
</cp:coreProperties>
</file>