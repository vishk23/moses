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EAB106D5-4E0F-4B1A-8550-C2B465C68C2A}" xr6:coauthVersionLast="47" xr6:coauthVersionMax="47" xr10:uidLastSave="{00000000-0000-0000-0000-000000000000}"/>
  <bookViews>
    <workbookView xWindow="31860" yWindow="300" windowWidth="26055" windowHeight="14280" xr2:uid="{C3A9B7C1-07D0-43C8-92ED-8CF9A94ADD95}"/>
  </bookViews>
  <sheets>
    <sheet name="Funding Worksheet - Folder Vers" sheetId="3" r:id="rId1"/>
    <sheet name="Funding Worksheet -ACH" sheetId="4" r:id="rId2"/>
    <sheet name="Original Note Lo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4" l="1"/>
  <c r="G20" i="4"/>
  <c r="G13" i="4"/>
  <c r="G7" i="4"/>
  <c r="H39" i="4"/>
  <c r="F39" i="4"/>
  <c r="E39" i="4"/>
  <c r="D39" i="4"/>
  <c r="H24" i="3"/>
</calcChain>
</file>

<file path=xl/sharedStrings.xml><?xml version="1.0" encoding="utf-8"?>
<sst xmlns="http://schemas.openxmlformats.org/spreadsheetml/2006/main" count="246" uniqueCount="134">
  <si>
    <t>Bristol County Savings Bank</t>
  </si>
  <si>
    <t>Funding Worksheet - ACH Version</t>
  </si>
  <si>
    <t>Dealer Name</t>
  </si>
  <si>
    <t>Funded by</t>
  </si>
  <si>
    <t>Dealer Flat</t>
  </si>
  <si>
    <t>Dealer Split</t>
  </si>
  <si>
    <t>Net to Dealer</t>
  </si>
  <si>
    <t>Column1</t>
  </si>
  <si>
    <t>Column2</t>
  </si>
  <si>
    <t>Contracted Amount Financed</t>
  </si>
  <si>
    <t>Marlene Braganca</t>
  </si>
  <si>
    <t>Alden Mazda</t>
  </si>
  <si>
    <t>Grieco Toyota</t>
  </si>
  <si>
    <t>Paul Masse Buick GMC South, Inc</t>
  </si>
  <si>
    <t>Priority Automotive LLC</t>
  </si>
  <si>
    <t>T F Murphy Enterprises Inc</t>
  </si>
  <si>
    <t>Wareham Ford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</si>
  <si>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</si>
  <si>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</si>
  <si>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</si>
  <si>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</si>
  <si>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</si>
  <si>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</si>
  <si>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</si>
  <si>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</si>
  <si>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</si>
  <si>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</si>
  <si>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</si>
  <si>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</si>
  <si>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</si>
  <si>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DealerTrack</t>
  </si>
  <si>
    <t>Paper</t>
  </si>
  <si>
    <t># 20</t>
  </si>
  <si>
    <t>Mastria Mazda</t>
  </si>
  <si>
    <t>Toyota of Dartmouth</t>
  </si>
  <si>
    <t>5900-6390</t>
  </si>
  <si>
    <t>3376-3754</t>
  </si>
  <si>
    <t>Business Name</t>
  </si>
  <si>
    <t>LAVOIE, DENNIS</t>
  </si>
  <si>
    <t>SCHULER, MONIKA</t>
  </si>
  <si>
    <t>LAVOIEDENNIS4@GMAIL.COM</t>
  </si>
  <si>
    <t>MONIKAPHDFNP@GMAIL.COM</t>
  </si>
  <si>
    <t>DRISDELL</t>
  </si>
  <si>
    <t>SIGRIST</t>
  </si>
  <si>
    <t>ROGERS, SUSAN</t>
  </si>
  <si>
    <t>JRSR225@COMCAST.NET</t>
  </si>
  <si>
    <t>O'ROURKE</t>
  </si>
  <si>
    <t>PARDO DE ZELA, REGAN</t>
  </si>
  <si>
    <t>Viti Mercedes</t>
  </si>
  <si>
    <t>DESSLOCK1@LIVE.COM</t>
  </si>
  <si>
    <t>Murphy</t>
  </si>
  <si>
    <t>COHEN, JAREK</t>
  </si>
  <si>
    <t>JAREK@SHERBURNEMANAGEMENT.COM</t>
  </si>
  <si>
    <t>Mozoki</t>
  </si>
  <si>
    <t>SHERBURNE MANAGEMENT INC</t>
  </si>
  <si>
    <t>RUSSELL, BARBARA</t>
  </si>
  <si>
    <t>Lucchettis Service Center Inc</t>
  </si>
  <si>
    <t>Rachel Gorham</t>
  </si>
  <si>
    <t>BRUSSELL3274@GMAIL.COM</t>
  </si>
  <si>
    <t>DRISLANE</t>
  </si>
  <si>
    <t>GENTILE, GREGORY</t>
  </si>
  <si>
    <t>Langway Toyota of Newport</t>
  </si>
  <si>
    <t>DEMEO</t>
  </si>
  <si>
    <t>STRONG, JENNIFER</t>
  </si>
  <si>
    <t>Medeiros</t>
  </si>
  <si>
    <t>Gavin Day, Caitlin</t>
  </si>
  <si>
    <t>Hiller Co Inc</t>
  </si>
  <si>
    <t>Cgday33@gmail.com</t>
  </si>
  <si>
    <t>McGoey</t>
  </si>
  <si>
    <t>FRAETTARELLI, TREVOR</t>
  </si>
  <si>
    <t>Grieco Enterprises, LLC d/b/a</t>
  </si>
  <si>
    <t>TREVORFRAETTARELLI@GMAIL.COM</t>
  </si>
  <si>
    <t>Fraettarelli</t>
  </si>
  <si>
    <t>RODRIGUEZ MARTINEZ, CYNTHIA</t>
  </si>
  <si>
    <t>brendajosiel@gmail.com</t>
  </si>
  <si>
    <t>Martinez Perez</t>
  </si>
  <si>
    <t>GONSALVES, KATHY</t>
  </si>
  <si>
    <t>kathygonsalves123@gmail.com</t>
  </si>
  <si>
    <t>Andrade</t>
  </si>
  <si>
    <t>BLISS, DAVID</t>
  </si>
  <si>
    <t>DB76325@GMAIL.COM</t>
  </si>
  <si>
    <t>DOYLE</t>
  </si>
  <si>
    <t>ODOHERTY-POPP, WILLIAM</t>
  </si>
  <si>
    <t>Coastal Volkswagon</t>
  </si>
  <si>
    <t>WILLIAM.ODOHERTYPOPP@GMAIL.COM</t>
  </si>
  <si>
    <t>ODOHERTY</t>
  </si>
  <si>
    <t>DUBICKAS, ABIGAIL</t>
  </si>
  <si>
    <t>ABIGAILSOCONNOR@GMAIL.COM</t>
  </si>
  <si>
    <t>SNYDER</t>
  </si>
  <si>
    <t>STANLEY, JUSTIN</t>
  </si>
  <si>
    <t>JUSTINPSTANLEY1987@GMAIL.COM</t>
  </si>
  <si>
    <t>Zalenski</t>
  </si>
  <si>
    <t>151237867</t>
  </si>
  <si>
    <t>MERLINO, ANNE</t>
  </si>
  <si>
    <t>Volvo of Tiverton</t>
  </si>
  <si>
    <t>ANNEMERLINO1@GMAIL.COM</t>
  </si>
  <si>
    <t>BOYD</t>
  </si>
  <si>
    <t>Burnham, Michael</t>
  </si>
  <si>
    <t>mikeburnham@comcast.net</t>
  </si>
  <si>
    <t>COLE</t>
  </si>
  <si>
    <t>YUEN, ANDREW</t>
  </si>
  <si>
    <t>AYUEN587@GMAIL.COM</t>
  </si>
  <si>
    <t>LU</t>
  </si>
  <si>
    <t>WAYUEN LLC</t>
  </si>
  <si>
    <t>HOURIHAN, REGINA</t>
  </si>
  <si>
    <t>ghourih@comcast.net</t>
  </si>
  <si>
    <t>Childs</t>
  </si>
  <si>
    <t>KILLION, AYLA</t>
  </si>
  <si>
    <t>REARDON</t>
  </si>
  <si>
    <t>Original Notes Delivered</t>
  </si>
  <si>
    <t>Funding Worksheet - Signoff Version</t>
  </si>
  <si>
    <t># 1</t>
  </si>
  <si>
    <t>Delivered by:</t>
  </si>
  <si>
    <t>Received by:</t>
  </si>
  <si>
    <t>Date Signed:</t>
  </si>
  <si>
    <t>151237651 E</t>
  </si>
  <si>
    <t>151237677 E</t>
  </si>
  <si>
    <t>151237693 E</t>
  </si>
  <si>
    <t>151237718 E</t>
  </si>
  <si>
    <t>151237734 E</t>
  </si>
  <si>
    <t>151237742 E</t>
  </si>
  <si>
    <t>151237750 E</t>
  </si>
  <si>
    <t>151237768 E</t>
  </si>
  <si>
    <t>151237776 E</t>
  </si>
  <si>
    <t>151237792 E</t>
  </si>
  <si>
    <t>151237809 E</t>
  </si>
  <si>
    <t>151237817 E</t>
  </si>
  <si>
    <t>151237825 E</t>
  </si>
  <si>
    <t>151237833 E</t>
  </si>
  <si>
    <t>151237859 E</t>
  </si>
  <si>
    <t>151237875 E</t>
  </si>
  <si>
    <t>151237908 E</t>
  </si>
  <si>
    <t>151237916 E</t>
  </si>
  <si>
    <t>151237940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</si>
</sst>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right"/>
    </xf>
    <xf numFmtId="7" fontId="0" fillId="0" borderId="0" xfId="0" applyNumberFormat="1"/>
    <xf numFmtId="0" fontId="2" fillId="0" borderId="0" xfId="0" applyFont="1"/>
    <xf numFmtId="7" fontId="1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7" fontId="4" fillId="0" borderId="0" xfId="0" applyNumberFormat="1" applyFont="1"/>
    <xf numFmtId="0" fontId="0" fillId="0" borderId="1" xfId="0" applyBorder="1"/>
    <xf numFmtId="0" fontId="5" fillId="0" borderId="0" xfId="0" applyFont="1"/>
    <xf numFmtId="14" fontId="5" fillId="0" borderId="0" xfId="0" applyNumberFormat="1" applyFont="1" applyAlignment="1"/>
    <xf numFmtId="0" fontId="5" fillId="0" borderId="0" xfId="0" applyFont="1" applyAlignment="1"/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right"/>
    </xf>
    <xf numFmtId="7" fontId="5" fillId="0" borderId="0" xfId="0" applyNumberFormat="1" applyFont="1"/>
    <xf numFmtId="0" fontId="6" fillId="0" borderId="0" xfId="0" applyFont="1"/>
    <xf numFmtId="7" fontId="6" fillId="0" borderId="0" xfId="0" applyNumberFormat="1" applyFont="1"/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F891A3C8-1AF8-4836-BDB6-1C6790E531CD}"/>
  </cellStyles>
  <dxfs count="1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968070-B7D6-44DF-9D4E-6A403D482592}" name="Table_17" displayName="Table_17" ref="A3:M24" headerRowDxfId="2" dataDxfId="0" totalsRowDxfId="1">
  <tableColumns count="13">
    <tableColumn id="1" xr3:uid="{041B5255-AC5B-4CB3-9986-5079DCBB03D6}" name="Account Number" dataDxfId="15"/>
    <tableColumn id="2" xr3:uid="{306F24A2-4F3D-401C-956E-2AE05C679413}" name="Portal" dataDxfId="14"/>
    <tableColumn id="3" xr3:uid="{5944820A-3586-4D99-B241-2CF2195CD491}" name="Contract Type" dataDxfId="13"/>
    <tableColumn id="4" xr3:uid="{7201EBC5-868F-4161-AAEC-2A41E77F213A}" name="Applicant Name" dataDxfId="12"/>
    <tableColumn id="5" xr3:uid="{7593F1A5-6B7B-45BD-80E3-077D51EEAA0C}" name="Co-Applicant Name" dataDxfId="11"/>
    <tableColumn id="6" xr3:uid="{512B0D41-DBE5-4111-9A03-EF1D20A41E17}" name="Dealer Name" dataDxfId="10"/>
    <tableColumn id="7" xr3:uid="{4E031CA1-FC7A-4442-9FC8-26285EAF3F70}" name="Funded by" dataDxfId="9"/>
    <tableColumn id="8" xr3:uid="{953D6089-2DBB-4137-91D6-87966BA696D5}" name="Amount Financed" dataDxfId="8"/>
    <tableColumn id="9" xr3:uid="{B4638674-E04D-40C5-ACE6-0587016F7AE2}" name="Applicant Email" dataDxfId="7"/>
    <tableColumn id="10" xr3:uid="{64E97F10-D21D-4129-B446-9D71BC52DC1B}" name="Co-Applicant Email" dataDxfId="6"/>
    <tableColumn id="11" xr3:uid="{81C0FCF2-E554-4031-991E-24B5D13DC2F5}" name="App MMN" dataDxfId="5"/>
    <tableColumn id="12" xr3:uid="{A9201D79-0114-42D7-AFF6-ABF50C22E0E3}" name="Co-App MMN" dataDxfId="4"/>
    <tableColumn id="13" xr3:uid="{0D1C120B-711D-4076-8743-368EB5266DAA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87BFF4-B763-4478-89D6-5216014A8405}" name="Table_19" displayName="Table_19" ref="A3:H39">
  <tableColumns count="8">
    <tableColumn id="1" xr3:uid="{2A96C9E4-F5CA-4105-8A55-C27DABD96D20}" name="Dealer Name"/>
    <tableColumn id="8" xr3:uid="{6CC97CF2-140B-498B-A431-6673F7BB8B68}" name="Column2"/>
    <tableColumn id="2" xr3:uid="{62FB6B9A-8B22-4B80-A2D0-CF88CB5A6B2C}" name="Funded by"/>
    <tableColumn id="3" xr3:uid="{68A29BD1-D803-4EA2-BFD8-A6ECD3456A75}" name="Dealer Flat"/>
    <tableColumn id="4" xr3:uid="{F2219BE4-6097-480F-BA11-4DB7C82D7944}" name="Dealer Split"/>
    <tableColumn id="5" xr3:uid="{4D305CA1-D770-46AC-BA77-FA1AED35D715}" name="Net to Dealer"/>
    <tableColumn id="7" xr3:uid="{D43B7C8C-80CD-4AB5-AF0E-0B403E848D14}" name="Column1" dataDxfId="16"/>
    <tableColumn id="6" xr3:uid="{66C05F86-BBFC-48D8-8531-38266E156BE8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363027-FF6E-4814-A3BC-C3AC3EE463CA}" name="Table_1" displayName="Table_1" ref="A3:E5">
  <tableColumns count="5">
    <tableColumn id="1" xr3:uid="{A24C6AAD-59A6-4BA5-9A31-4F73403F962A}" name="Account Number"/>
    <tableColumn id="2" xr3:uid="{A11C9165-5950-4287-88A2-4ADE2C10FAE3}" name="Contract Type"/>
    <tableColumn id="3" xr3:uid="{B3837670-3A5D-4BA2-B08D-DB4E413EFEAE}" name="Applicant Name"/>
    <tableColumn id="4" xr3:uid="{E0141453-372B-4D90-BBDC-9CCD0E380EA7}" name="Co-Applicant Name"/>
    <tableColumn id="5" xr3:uid="{6953E3FA-8EBC-44F9-8629-1745FBC63F1F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4DA0-4E71-4AEB-BED4-96906F882376}">
  <sheetPr>
    <pageSetUpPr fitToPage="1"/>
  </sheetPr>
  <dimension ref="A1:M24"/>
  <sheetViews>
    <sheetView tabSelected="1" workbookViewId="0">
      <selection activeCell="E14" sqref="E13:E14"/>
    </sheetView>
  </sheetViews>
  <sheetFormatPr defaultRowHeight="15.75" x14ac:dyDescent="0.25"/>
  <cols>
    <col min="1" max="1" width="15.140625" style="14" customWidth="1"/>
    <col min="2" max="2" width="14.140625" style="14" customWidth="1"/>
    <col min="3" max="3" width="11.85546875" style="14" customWidth="1"/>
    <col min="4" max="4" width="27.140625" style="14" customWidth="1"/>
    <col min="5" max="5" width="24.5703125" style="14" customWidth="1"/>
    <col min="6" max="6" width="24.7109375" style="14" customWidth="1"/>
    <col min="7" max="7" width="21.140625" style="14" customWidth="1"/>
    <col min="8" max="8" width="15.5703125" style="14" customWidth="1"/>
    <col min="9" max="9" width="25.85546875" style="14" customWidth="1"/>
    <col min="10" max="10" width="22.42578125" style="14" customWidth="1"/>
    <col min="11" max="11" width="15.85546875" style="14" customWidth="1"/>
    <col min="12" max="12" width="12.5703125" style="14" customWidth="1"/>
    <col min="13" max="13" width="51.85546875" style="14" hidden="1" customWidth="1"/>
    <col min="14" max="16384" width="9.140625" style="14"/>
  </cols>
  <sheetData>
    <row r="1" spans="1:13" x14ac:dyDescent="0.25">
      <c r="K1" s="15">
        <v>45950</v>
      </c>
      <c r="L1" s="16"/>
      <c r="M1" s="17">
        <v>45950.999988425923</v>
      </c>
    </row>
    <row r="2" spans="1:13" x14ac:dyDescent="0.25">
      <c r="A2" s="18" t="s">
        <v>0</v>
      </c>
      <c r="B2" s="19"/>
      <c r="C2" s="19"/>
      <c r="D2" s="19"/>
      <c r="E2" s="19"/>
      <c r="F2" s="19"/>
      <c r="G2" s="20" t="s">
        <v>17</v>
      </c>
      <c r="H2" s="19"/>
      <c r="I2" s="19"/>
      <c r="J2" s="19"/>
      <c r="K2" s="19"/>
      <c r="L2" s="19"/>
      <c r="M2" s="19"/>
    </row>
    <row r="3" spans="1:13" x14ac:dyDescent="0.25">
      <c r="A3" s="14" t="s">
        <v>18</v>
      </c>
      <c r="B3" s="14" t="s">
        <v>19</v>
      </c>
      <c r="C3" s="14" t="s">
        <v>20</v>
      </c>
      <c r="D3" s="14" t="s">
        <v>21</v>
      </c>
      <c r="E3" s="14" t="s">
        <v>22</v>
      </c>
      <c r="F3" s="14" t="s">
        <v>2</v>
      </c>
      <c r="G3" s="14" t="s">
        <v>3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37</v>
      </c>
    </row>
    <row r="4" spans="1:13" ht="30" customHeight="1" x14ac:dyDescent="0.25">
      <c r="A4" s="14" t="s">
        <v>115</v>
      </c>
      <c r="B4" s="14" t="s">
        <v>28</v>
      </c>
      <c r="C4" s="14" t="s">
        <v>29</v>
      </c>
      <c r="D4" s="14" t="s">
        <v>38</v>
      </c>
      <c r="E4" s="14" t="s">
        <v>39</v>
      </c>
      <c r="F4" s="14" t="s">
        <v>33</v>
      </c>
      <c r="G4" s="14" t="s">
        <v>10</v>
      </c>
      <c r="H4" s="21">
        <v>12573.23</v>
      </c>
      <c r="I4" s="14" t="s">
        <v>40</v>
      </c>
      <c r="J4" s="14" t="s">
        <v>41</v>
      </c>
      <c r="K4" s="14" t="s">
        <v>42</v>
      </c>
      <c r="L4" s="14" t="s">
        <v>43</v>
      </c>
    </row>
    <row r="5" spans="1:13" ht="30" customHeight="1" x14ac:dyDescent="0.25">
      <c r="A5" s="14" t="s">
        <v>116</v>
      </c>
      <c r="B5" s="14" t="s">
        <v>28</v>
      </c>
      <c r="C5" s="14" t="s">
        <v>29</v>
      </c>
      <c r="D5" s="14" t="s">
        <v>44</v>
      </c>
      <c r="F5" s="14" t="s">
        <v>11</v>
      </c>
      <c r="G5" s="14" t="s">
        <v>10</v>
      </c>
      <c r="H5" s="21">
        <v>16478.439999999999</v>
      </c>
      <c r="I5" s="14" t="s">
        <v>45</v>
      </c>
      <c r="K5" s="14" t="s">
        <v>46</v>
      </c>
    </row>
    <row r="6" spans="1:13" ht="30" customHeight="1" x14ac:dyDescent="0.25">
      <c r="A6" s="14" t="s">
        <v>117</v>
      </c>
      <c r="B6" s="14" t="s">
        <v>30</v>
      </c>
      <c r="C6" s="14" t="s">
        <v>29</v>
      </c>
      <c r="D6" s="14" t="s">
        <v>47</v>
      </c>
      <c r="F6" s="14" t="s">
        <v>48</v>
      </c>
      <c r="G6" s="14" t="s">
        <v>10</v>
      </c>
      <c r="H6" s="21">
        <v>22248.560000000001</v>
      </c>
      <c r="I6" s="14" t="s">
        <v>49</v>
      </c>
      <c r="K6" s="14" t="s">
        <v>50</v>
      </c>
    </row>
    <row r="7" spans="1:13" ht="30" customHeight="1" x14ac:dyDescent="0.25">
      <c r="A7" s="14" t="s">
        <v>118</v>
      </c>
      <c r="B7" s="14" t="s">
        <v>28</v>
      </c>
      <c r="C7" s="14" t="s">
        <v>29</v>
      </c>
      <c r="D7" s="14" t="s">
        <v>51</v>
      </c>
      <c r="E7" s="24" t="s">
        <v>54</v>
      </c>
      <c r="F7" s="14" t="s">
        <v>16</v>
      </c>
      <c r="G7" s="14" t="s">
        <v>10</v>
      </c>
      <c r="H7" s="21">
        <v>59543.31</v>
      </c>
      <c r="I7" s="14" t="s">
        <v>52</v>
      </c>
      <c r="K7" s="14" t="s">
        <v>53</v>
      </c>
    </row>
    <row r="8" spans="1:13" ht="30" customHeight="1" x14ac:dyDescent="0.25">
      <c r="A8" s="14" t="s">
        <v>119</v>
      </c>
      <c r="B8" s="14" t="s">
        <v>28</v>
      </c>
      <c r="C8" s="14" t="s">
        <v>29</v>
      </c>
      <c r="D8" s="14" t="s">
        <v>55</v>
      </c>
      <c r="F8" s="14" t="s">
        <v>56</v>
      </c>
      <c r="G8" s="14" t="s">
        <v>57</v>
      </c>
      <c r="H8" s="21">
        <v>23357.94</v>
      </c>
      <c r="I8" s="14" t="s">
        <v>58</v>
      </c>
      <c r="K8" s="14" t="s">
        <v>59</v>
      </c>
    </row>
    <row r="9" spans="1:13" ht="30" customHeight="1" x14ac:dyDescent="0.25">
      <c r="A9" s="14" t="s">
        <v>120</v>
      </c>
      <c r="B9" s="14" t="s">
        <v>28</v>
      </c>
      <c r="C9" s="14" t="s">
        <v>29</v>
      </c>
      <c r="D9" s="14" t="s">
        <v>60</v>
      </c>
      <c r="F9" s="14" t="s">
        <v>61</v>
      </c>
      <c r="G9" s="14" t="s">
        <v>57</v>
      </c>
      <c r="H9" s="21">
        <v>62078.89</v>
      </c>
      <c r="K9" s="14" t="s">
        <v>62</v>
      </c>
    </row>
    <row r="10" spans="1:13" ht="30" customHeight="1" x14ac:dyDescent="0.25">
      <c r="A10" s="14" t="s">
        <v>121</v>
      </c>
      <c r="B10" s="14" t="s">
        <v>28</v>
      </c>
      <c r="C10" s="14" t="s">
        <v>29</v>
      </c>
      <c r="D10" s="14" t="s">
        <v>63</v>
      </c>
      <c r="F10" s="14" t="s">
        <v>34</v>
      </c>
      <c r="G10" s="14" t="s">
        <v>10</v>
      </c>
      <c r="H10" s="21">
        <v>41493.730000000003</v>
      </c>
      <c r="K10" s="14" t="s">
        <v>64</v>
      </c>
    </row>
    <row r="11" spans="1:13" ht="30" customHeight="1" x14ac:dyDescent="0.25">
      <c r="A11" s="14" t="s">
        <v>122</v>
      </c>
      <c r="B11" s="14" t="s">
        <v>28</v>
      </c>
      <c r="C11" s="14" t="s">
        <v>29</v>
      </c>
      <c r="D11" s="14" t="s">
        <v>65</v>
      </c>
      <c r="F11" s="14" t="s">
        <v>66</v>
      </c>
      <c r="G11" s="14" t="s">
        <v>10</v>
      </c>
      <c r="H11" s="21">
        <v>32371.53</v>
      </c>
      <c r="I11" s="14" t="s">
        <v>67</v>
      </c>
      <c r="K11" s="14" t="s">
        <v>68</v>
      </c>
    </row>
    <row r="12" spans="1:13" ht="30" customHeight="1" x14ac:dyDescent="0.25">
      <c r="A12" s="14" t="s">
        <v>123</v>
      </c>
      <c r="B12" s="14" t="s">
        <v>30</v>
      </c>
      <c r="C12" s="14" t="s">
        <v>29</v>
      </c>
      <c r="D12" s="14" t="s">
        <v>69</v>
      </c>
      <c r="F12" s="14" t="s">
        <v>70</v>
      </c>
      <c r="G12" s="14" t="s">
        <v>10</v>
      </c>
      <c r="H12" s="21">
        <v>26122.080000000002</v>
      </c>
      <c r="I12" s="14" t="s">
        <v>71</v>
      </c>
      <c r="K12" s="14" t="s">
        <v>72</v>
      </c>
    </row>
    <row r="13" spans="1:13" ht="30" customHeight="1" x14ac:dyDescent="0.25">
      <c r="A13" s="14" t="s">
        <v>124</v>
      </c>
      <c r="B13" s="14" t="s">
        <v>28</v>
      </c>
      <c r="C13" s="14" t="s">
        <v>29</v>
      </c>
      <c r="D13" s="14" t="s">
        <v>73</v>
      </c>
      <c r="F13" s="14" t="s">
        <v>12</v>
      </c>
      <c r="G13" s="14" t="s">
        <v>10</v>
      </c>
      <c r="H13" s="21">
        <v>63380.4</v>
      </c>
      <c r="I13" s="14" t="s">
        <v>74</v>
      </c>
      <c r="K13" s="14" t="s">
        <v>75</v>
      </c>
    </row>
    <row r="14" spans="1:13" ht="30" customHeight="1" x14ac:dyDescent="0.25">
      <c r="A14" s="14" t="s">
        <v>125</v>
      </c>
      <c r="B14" s="14" t="s">
        <v>28</v>
      </c>
      <c r="C14" s="14" t="s">
        <v>29</v>
      </c>
      <c r="D14" s="14" t="s">
        <v>76</v>
      </c>
      <c r="F14" s="14" t="s">
        <v>16</v>
      </c>
      <c r="G14" s="14" t="s">
        <v>10</v>
      </c>
      <c r="H14" s="21">
        <v>12748</v>
      </c>
      <c r="I14" s="14" t="s">
        <v>77</v>
      </c>
      <c r="K14" s="14" t="s">
        <v>78</v>
      </c>
    </row>
    <row r="15" spans="1:13" ht="30" customHeight="1" x14ac:dyDescent="0.25">
      <c r="A15" s="14" t="s">
        <v>126</v>
      </c>
      <c r="B15" s="14" t="s">
        <v>30</v>
      </c>
      <c r="C15" s="14" t="s">
        <v>29</v>
      </c>
      <c r="D15" s="14" t="s">
        <v>79</v>
      </c>
      <c r="F15" s="14" t="s">
        <v>14</v>
      </c>
      <c r="G15" s="14" t="s">
        <v>10</v>
      </c>
      <c r="H15" s="21">
        <v>20217.16</v>
      </c>
      <c r="I15" s="14" t="s">
        <v>80</v>
      </c>
      <c r="K15" s="14" t="s">
        <v>81</v>
      </c>
    </row>
    <row r="16" spans="1:13" ht="30" customHeight="1" x14ac:dyDescent="0.25">
      <c r="A16" s="14" t="s">
        <v>127</v>
      </c>
      <c r="B16" s="14" t="s">
        <v>30</v>
      </c>
      <c r="C16" s="14" t="s">
        <v>29</v>
      </c>
      <c r="D16" s="14" t="s">
        <v>82</v>
      </c>
      <c r="F16" s="14" t="s">
        <v>83</v>
      </c>
      <c r="G16" s="14" t="s">
        <v>10</v>
      </c>
      <c r="H16" s="21">
        <v>17200.88</v>
      </c>
      <c r="I16" s="14" t="s">
        <v>84</v>
      </c>
      <c r="K16" s="14" t="s">
        <v>85</v>
      </c>
    </row>
    <row r="17" spans="1:13" ht="30" customHeight="1" x14ac:dyDescent="0.25">
      <c r="A17" s="14" t="s">
        <v>128</v>
      </c>
      <c r="B17" s="14" t="s">
        <v>30</v>
      </c>
      <c r="C17" s="14" t="s">
        <v>29</v>
      </c>
      <c r="D17" s="14" t="s">
        <v>86</v>
      </c>
      <c r="F17" s="14" t="s">
        <v>83</v>
      </c>
      <c r="G17" s="14" t="s">
        <v>10</v>
      </c>
      <c r="H17" s="21">
        <v>41322.75</v>
      </c>
      <c r="I17" s="14" t="s">
        <v>87</v>
      </c>
      <c r="K17" s="14" t="s">
        <v>88</v>
      </c>
    </row>
    <row r="18" spans="1:13" ht="30" customHeight="1" x14ac:dyDescent="0.25">
      <c r="A18" s="14" t="s">
        <v>129</v>
      </c>
      <c r="B18" s="14" t="s">
        <v>28</v>
      </c>
      <c r="C18" s="14" t="s">
        <v>29</v>
      </c>
      <c r="D18" s="14" t="s">
        <v>89</v>
      </c>
      <c r="F18" s="14" t="s">
        <v>13</v>
      </c>
      <c r="G18" s="14" t="s">
        <v>10</v>
      </c>
      <c r="H18" s="21">
        <v>102198.69</v>
      </c>
      <c r="I18" s="14" t="s">
        <v>90</v>
      </c>
      <c r="K18" s="14" t="s">
        <v>91</v>
      </c>
    </row>
    <row r="19" spans="1:13" ht="30" customHeight="1" x14ac:dyDescent="0.25">
      <c r="A19" s="14" t="s">
        <v>92</v>
      </c>
      <c r="B19" s="14" t="s">
        <v>30</v>
      </c>
      <c r="C19" s="14" t="s">
        <v>31</v>
      </c>
      <c r="D19" s="14" t="s">
        <v>93</v>
      </c>
      <c r="F19" s="14" t="s">
        <v>94</v>
      </c>
      <c r="G19" s="14" t="s">
        <v>57</v>
      </c>
      <c r="H19" s="21">
        <v>20834.400000000001</v>
      </c>
      <c r="I19" s="14" t="s">
        <v>95</v>
      </c>
      <c r="K19" s="14" t="s">
        <v>96</v>
      </c>
    </row>
    <row r="20" spans="1:13" ht="30" customHeight="1" x14ac:dyDescent="0.25">
      <c r="A20" s="14" t="s">
        <v>130</v>
      </c>
      <c r="B20" s="14" t="s">
        <v>28</v>
      </c>
      <c r="C20" s="14" t="s">
        <v>29</v>
      </c>
      <c r="D20" s="14" t="s">
        <v>97</v>
      </c>
      <c r="F20" s="14" t="s">
        <v>56</v>
      </c>
      <c r="G20" s="14" t="s">
        <v>10</v>
      </c>
      <c r="H20" s="21">
        <v>30949.94</v>
      </c>
      <c r="I20" s="14" t="s">
        <v>98</v>
      </c>
      <c r="K20" s="14" t="s">
        <v>99</v>
      </c>
    </row>
    <row r="21" spans="1:13" ht="30" customHeight="1" x14ac:dyDescent="0.25">
      <c r="A21" s="14" t="s">
        <v>131</v>
      </c>
      <c r="B21" s="14" t="s">
        <v>28</v>
      </c>
      <c r="C21" s="14" t="s">
        <v>29</v>
      </c>
      <c r="D21" s="14" t="s">
        <v>100</v>
      </c>
      <c r="E21" s="14" t="s">
        <v>103</v>
      </c>
      <c r="F21" s="14" t="s">
        <v>12</v>
      </c>
      <c r="G21" s="14" t="s">
        <v>57</v>
      </c>
      <c r="H21" s="21">
        <v>81474</v>
      </c>
      <c r="I21" s="14" t="s">
        <v>101</v>
      </c>
      <c r="K21" s="14" t="s">
        <v>102</v>
      </c>
    </row>
    <row r="22" spans="1:13" ht="30" customHeight="1" x14ac:dyDescent="0.25">
      <c r="A22" s="14" t="s">
        <v>132</v>
      </c>
      <c r="B22" s="14" t="s">
        <v>28</v>
      </c>
      <c r="C22" s="14" t="s">
        <v>29</v>
      </c>
      <c r="D22" s="14" t="s">
        <v>104</v>
      </c>
      <c r="F22" s="14" t="s">
        <v>15</v>
      </c>
      <c r="G22" s="14" t="s">
        <v>10</v>
      </c>
      <c r="H22" s="21">
        <v>19055</v>
      </c>
      <c r="I22" s="14" t="s">
        <v>105</v>
      </c>
      <c r="K22" s="14" t="s">
        <v>106</v>
      </c>
    </row>
    <row r="23" spans="1:13" ht="30" customHeight="1" x14ac:dyDescent="0.25">
      <c r="A23" s="14" t="s">
        <v>133</v>
      </c>
      <c r="B23" s="14" t="s">
        <v>28</v>
      </c>
      <c r="C23" s="14" t="s">
        <v>29</v>
      </c>
      <c r="D23" s="14" t="s">
        <v>107</v>
      </c>
      <c r="F23" s="14" t="s">
        <v>12</v>
      </c>
      <c r="G23" s="14" t="s">
        <v>57</v>
      </c>
      <c r="H23" s="21">
        <v>15444.75</v>
      </c>
      <c r="K23" s="14" t="s">
        <v>108</v>
      </c>
    </row>
    <row r="24" spans="1:13" x14ac:dyDescent="0.25">
      <c r="A24" s="22"/>
      <c r="B24" s="22"/>
      <c r="C24" s="22"/>
      <c r="D24" s="22" t="s">
        <v>32</v>
      </c>
      <c r="E24" s="22"/>
      <c r="F24" s="22"/>
      <c r="G24" s="22"/>
      <c r="H24" s="23">
        <f>SUM(H4:H23)</f>
        <v>721093.68</v>
      </c>
      <c r="I24" s="22"/>
      <c r="J24" s="22"/>
      <c r="K24" s="22"/>
      <c r="L24" s="22"/>
      <c r="M24" s="22"/>
    </row>
  </sheetData>
  <mergeCells count="3">
    <mergeCell ref="A2:F2"/>
    <mergeCell ref="G2:M2"/>
    <mergeCell ref="K1:L1"/>
  </mergeCells>
  <pageMargins left="0.7" right="0.7" top="0.75" bottom="0.75" header="0.3" footer="0.3"/>
  <pageSetup paperSize="5" scale="69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3F84-C526-4BBB-B901-56D0904C4AA4}">
  <sheetPr>
    <pageSetUpPr fitToPage="1"/>
  </sheetPr>
  <dimension ref="A1:H39"/>
  <sheetViews>
    <sheetView topLeftCell="A16" workbookViewId="0">
      <selection activeCell="A43" sqref="A43"/>
    </sheetView>
  </sheetViews>
  <sheetFormatPr defaultRowHeight="15" x14ac:dyDescent="0.25"/>
  <cols>
    <col min="1" max="1" width="26.28515625" customWidth="1"/>
    <col min="2" max="2" width="11.28515625" customWidth="1"/>
    <col min="3" max="3" width="18.42578125" customWidth="1"/>
    <col min="4" max="4" width="16.140625" customWidth="1"/>
    <col min="5" max="5" width="12.42578125" customWidth="1"/>
    <col min="6" max="6" width="21.85546875" customWidth="1"/>
    <col min="7" max="7" width="14" customWidth="1"/>
    <col min="8" max="8" width="20.28515625" customWidth="1"/>
  </cols>
  <sheetData>
    <row r="1" spans="1:8" x14ac:dyDescent="0.25">
      <c r="E1" s="1"/>
      <c r="H1" s="1">
        <v>45950.999988425923</v>
      </c>
    </row>
    <row r="2" spans="1:8" x14ac:dyDescent="0.25">
      <c r="A2" s="9" t="s">
        <v>0</v>
      </c>
      <c r="B2" s="9"/>
      <c r="C2" s="3"/>
      <c r="D2" s="3"/>
      <c r="E2" s="10" t="s">
        <v>1</v>
      </c>
      <c r="F2" s="3"/>
      <c r="G2" s="3"/>
      <c r="H2" s="3"/>
    </row>
    <row r="3" spans="1:8" x14ac:dyDescent="0.25">
      <c r="A3" t="s">
        <v>2</v>
      </c>
      <c r="B3" t="s">
        <v>8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9</v>
      </c>
    </row>
    <row r="4" spans="1:8" x14ac:dyDescent="0.25">
      <c r="A4" t="s">
        <v>11</v>
      </c>
      <c r="C4" t="s">
        <v>10</v>
      </c>
      <c r="D4" s="5">
        <v>500</v>
      </c>
      <c r="E4" s="5">
        <v>0</v>
      </c>
      <c r="F4" s="7">
        <v>16403.439999999999</v>
      </c>
      <c r="G4" s="5"/>
      <c r="H4" s="5">
        <v>16478.439999999999</v>
      </c>
    </row>
    <row r="5" spans="1:8" x14ac:dyDescent="0.25">
      <c r="D5" s="5"/>
      <c r="E5" s="5"/>
      <c r="F5" s="5"/>
      <c r="G5" s="5"/>
      <c r="H5" s="5"/>
    </row>
    <row r="6" spans="1:8" x14ac:dyDescent="0.25">
      <c r="A6" t="s">
        <v>83</v>
      </c>
      <c r="C6" t="s">
        <v>10</v>
      </c>
      <c r="D6" s="5">
        <v>1050</v>
      </c>
      <c r="E6" s="5">
        <v>0</v>
      </c>
      <c r="F6" s="5">
        <v>41247.75</v>
      </c>
      <c r="G6" s="5"/>
      <c r="H6" s="5">
        <v>41322.75</v>
      </c>
    </row>
    <row r="7" spans="1:8" x14ac:dyDescent="0.25">
      <c r="A7" t="s">
        <v>83</v>
      </c>
      <c r="C7" t="s">
        <v>10</v>
      </c>
      <c r="D7" s="5">
        <v>500</v>
      </c>
      <c r="E7" s="5">
        <v>0</v>
      </c>
      <c r="F7" s="5">
        <v>17125.88</v>
      </c>
      <c r="G7" s="7">
        <f>SUM(F6:F7)</f>
        <v>58373.630000000005</v>
      </c>
      <c r="H7" s="5">
        <v>17200.88</v>
      </c>
    </row>
    <row r="8" spans="1:8" x14ac:dyDescent="0.25">
      <c r="D8" s="5"/>
      <c r="E8" s="5"/>
      <c r="F8" s="5"/>
      <c r="G8" s="5"/>
      <c r="H8" s="5"/>
    </row>
    <row r="9" spans="1:8" x14ac:dyDescent="0.25">
      <c r="A9" t="s">
        <v>70</v>
      </c>
      <c r="C9" t="s">
        <v>10</v>
      </c>
      <c r="D9" s="5">
        <v>750</v>
      </c>
      <c r="E9" s="5">
        <v>0</v>
      </c>
      <c r="F9" s="7">
        <v>26047.08</v>
      </c>
      <c r="G9" s="5"/>
      <c r="H9" s="5">
        <v>26122.080000000002</v>
      </c>
    </row>
    <row r="10" spans="1:8" x14ac:dyDescent="0.25">
      <c r="D10" s="5"/>
      <c r="E10" s="5"/>
      <c r="F10" s="5"/>
      <c r="G10" s="5"/>
      <c r="H10" s="5"/>
    </row>
    <row r="11" spans="1:8" x14ac:dyDescent="0.25">
      <c r="A11" t="s">
        <v>12</v>
      </c>
      <c r="C11" t="s">
        <v>10</v>
      </c>
      <c r="D11" s="5">
        <v>1350</v>
      </c>
      <c r="E11" s="5">
        <v>0</v>
      </c>
      <c r="F11" s="5">
        <v>63305.4</v>
      </c>
      <c r="G11" s="5"/>
      <c r="H11" s="5">
        <v>63380.4</v>
      </c>
    </row>
    <row r="12" spans="1:8" x14ac:dyDescent="0.25">
      <c r="A12" t="s">
        <v>12</v>
      </c>
      <c r="C12" t="s">
        <v>57</v>
      </c>
      <c r="D12" s="5">
        <v>500</v>
      </c>
      <c r="E12" s="5">
        <v>0</v>
      </c>
      <c r="F12" s="5">
        <v>15369.75</v>
      </c>
      <c r="G12" s="5"/>
      <c r="H12" s="5">
        <v>15444.75</v>
      </c>
    </row>
    <row r="13" spans="1:8" x14ac:dyDescent="0.25">
      <c r="A13" t="s">
        <v>12</v>
      </c>
      <c r="C13" t="s">
        <v>57</v>
      </c>
      <c r="D13" s="5">
        <v>1500</v>
      </c>
      <c r="E13" s="5">
        <v>0</v>
      </c>
      <c r="F13" s="5">
        <v>81399</v>
      </c>
      <c r="G13" s="7">
        <f>SUM(F11:F13)</f>
        <v>160074.15</v>
      </c>
      <c r="H13" s="5">
        <v>81474</v>
      </c>
    </row>
    <row r="14" spans="1:8" x14ac:dyDescent="0.25">
      <c r="D14" s="5"/>
      <c r="E14" s="5"/>
      <c r="F14" s="5"/>
      <c r="G14" s="5"/>
      <c r="H14" s="5"/>
    </row>
    <row r="15" spans="1:8" x14ac:dyDescent="0.25">
      <c r="A15" t="s">
        <v>66</v>
      </c>
      <c r="C15" t="s">
        <v>10</v>
      </c>
      <c r="D15" s="5">
        <v>850</v>
      </c>
      <c r="E15" s="5">
        <v>0</v>
      </c>
      <c r="F15" s="7">
        <v>32296.53</v>
      </c>
      <c r="G15" s="5"/>
      <c r="H15" s="5">
        <v>32371.53</v>
      </c>
    </row>
    <row r="16" spans="1:8" x14ac:dyDescent="0.25">
      <c r="D16" s="5"/>
      <c r="E16" s="5"/>
      <c r="F16" s="7"/>
      <c r="G16" s="5"/>
      <c r="H16" s="5"/>
    </row>
    <row r="17" spans="1:8" x14ac:dyDescent="0.25">
      <c r="A17" t="s">
        <v>61</v>
      </c>
      <c r="C17" t="s">
        <v>57</v>
      </c>
      <c r="D17" s="5">
        <v>1350</v>
      </c>
      <c r="E17" s="5">
        <v>0</v>
      </c>
      <c r="F17" s="7">
        <v>62003.89</v>
      </c>
      <c r="G17" s="5"/>
      <c r="H17" s="5">
        <v>62078.89</v>
      </c>
    </row>
    <row r="18" spans="1:8" x14ac:dyDescent="0.25">
      <c r="D18" s="5"/>
      <c r="E18" s="5"/>
      <c r="F18" s="5"/>
      <c r="G18" s="5"/>
      <c r="H18" s="5"/>
    </row>
    <row r="19" spans="1:8" x14ac:dyDescent="0.25">
      <c r="A19" t="s">
        <v>56</v>
      </c>
      <c r="C19" t="s">
        <v>10</v>
      </c>
      <c r="D19" s="5">
        <v>850</v>
      </c>
      <c r="E19" s="5">
        <v>0</v>
      </c>
      <c r="F19" s="5">
        <v>30874.94</v>
      </c>
      <c r="G19" s="5"/>
      <c r="H19" s="5">
        <v>30949.94</v>
      </c>
    </row>
    <row r="20" spans="1:8" x14ac:dyDescent="0.25">
      <c r="A20" t="s">
        <v>56</v>
      </c>
      <c r="C20" t="s">
        <v>57</v>
      </c>
      <c r="D20" s="5">
        <v>650</v>
      </c>
      <c r="E20" s="5">
        <v>0</v>
      </c>
      <c r="F20" s="5">
        <v>23282.94</v>
      </c>
      <c r="G20" s="7">
        <f>SUM(F19:F20)</f>
        <v>54157.88</v>
      </c>
      <c r="H20" s="5">
        <v>23357.94</v>
      </c>
    </row>
    <row r="21" spans="1:8" x14ac:dyDescent="0.25">
      <c r="D21" s="5"/>
      <c r="E21" s="5"/>
      <c r="F21" s="5"/>
      <c r="G21" s="5"/>
      <c r="H21" s="5"/>
    </row>
    <row r="22" spans="1:8" x14ac:dyDescent="0.25">
      <c r="A22" t="s">
        <v>33</v>
      </c>
      <c r="B22" s="8" t="s">
        <v>35</v>
      </c>
      <c r="C22" t="s">
        <v>10</v>
      </c>
      <c r="D22" s="5">
        <v>300</v>
      </c>
      <c r="E22" s="5">
        <v>0</v>
      </c>
      <c r="F22" s="7">
        <v>12498.23</v>
      </c>
      <c r="G22" s="5"/>
      <c r="H22" s="5">
        <v>12573.23</v>
      </c>
    </row>
    <row r="23" spans="1:8" x14ac:dyDescent="0.25">
      <c r="D23" s="5"/>
      <c r="E23" s="5"/>
      <c r="F23" s="7"/>
      <c r="G23" s="5"/>
      <c r="H23" s="5"/>
    </row>
    <row r="24" spans="1:8" x14ac:dyDescent="0.25">
      <c r="A24" t="s">
        <v>13</v>
      </c>
      <c r="C24" t="s">
        <v>10</v>
      </c>
      <c r="D24" s="5">
        <v>1500</v>
      </c>
      <c r="E24" s="5">
        <v>0</v>
      </c>
      <c r="F24" s="7">
        <v>102123.69</v>
      </c>
      <c r="G24" s="5"/>
      <c r="H24" s="5">
        <v>102198.69</v>
      </c>
    </row>
    <row r="25" spans="1:8" x14ac:dyDescent="0.25">
      <c r="D25" s="5"/>
      <c r="E25" s="5"/>
      <c r="F25" s="7"/>
      <c r="G25" s="5"/>
      <c r="H25" s="5"/>
    </row>
    <row r="26" spans="1:8" x14ac:dyDescent="0.25">
      <c r="A26" t="s">
        <v>14</v>
      </c>
      <c r="C26" t="s">
        <v>10</v>
      </c>
      <c r="D26" s="5">
        <v>650</v>
      </c>
      <c r="E26" s="5">
        <v>0</v>
      </c>
      <c r="F26" s="7">
        <v>20142.16</v>
      </c>
      <c r="G26" s="5"/>
      <c r="H26" s="5">
        <v>20217.16</v>
      </c>
    </row>
    <row r="27" spans="1:8" x14ac:dyDescent="0.25">
      <c r="D27" s="5"/>
      <c r="E27" s="5"/>
      <c r="F27" s="7"/>
      <c r="G27" s="5"/>
      <c r="H27" s="5"/>
    </row>
    <row r="28" spans="1:8" x14ac:dyDescent="0.25">
      <c r="A28" t="s">
        <v>15</v>
      </c>
      <c r="C28" t="s">
        <v>10</v>
      </c>
      <c r="D28" s="5">
        <v>500</v>
      </c>
      <c r="E28" s="5">
        <v>0</v>
      </c>
      <c r="F28" s="7">
        <v>18980</v>
      </c>
      <c r="G28" s="5"/>
      <c r="H28" s="5">
        <v>19055</v>
      </c>
    </row>
    <row r="29" spans="1:8" x14ac:dyDescent="0.25">
      <c r="D29" s="5"/>
      <c r="E29" s="5"/>
      <c r="F29" s="7"/>
      <c r="G29" s="5"/>
      <c r="H29" s="5"/>
    </row>
    <row r="30" spans="1:8" x14ac:dyDescent="0.25">
      <c r="A30" t="s">
        <v>34</v>
      </c>
      <c r="B30" s="8" t="s">
        <v>36</v>
      </c>
      <c r="C30" t="s">
        <v>10</v>
      </c>
      <c r="D30" s="5">
        <v>1050</v>
      </c>
      <c r="E30" s="5">
        <v>0</v>
      </c>
      <c r="F30" s="7">
        <v>41418.730000000003</v>
      </c>
      <c r="G30" s="5"/>
      <c r="H30" s="5">
        <v>41493.730000000003</v>
      </c>
    </row>
    <row r="31" spans="1:8" x14ac:dyDescent="0.25">
      <c r="D31" s="5"/>
      <c r="E31" s="5"/>
      <c r="F31" s="7"/>
      <c r="G31" s="5"/>
      <c r="H31" s="5"/>
    </row>
    <row r="32" spans="1:8" x14ac:dyDescent="0.25">
      <c r="A32" t="s">
        <v>48</v>
      </c>
      <c r="C32" t="s">
        <v>10</v>
      </c>
      <c r="D32" s="5">
        <v>650</v>
      </c>
      <c r="E32" s="5">
        <v>0</v>
      </c>
      <c r="F32" s="7">
        <v>22173.56</v>
      </c>
      <c r="G32" s="5"/>
      <c r="H32" s="5">
        <v>22248.560000000001</v>
      </c>
    </row>
    <row r="33" spans="1:8" x14ac:dyDescent="0.25">
      <c r="D33" s="5"/>
      <c r="E33" s="5"/>
      <c r="F33" s="7"/>
      <c r="G33" s="5"/>
      <c r="H33" s="5"/>
    </row>
    <row r="34" spans="1:8" x14ac:dyDescent="0.25">
      <c r="A34" t="s">
        <v>94</v>
      </c>
      <c r="C34" t="s">
        <v>57</v>
      </c>
      <c r="D34" s="5">
        <v>650</v>
      </c>
      <c r="E34" s="5">
        <v>0</v>
      </c>
      <c r="F34" s="7">
        <v>20759.400000000001</v>
      </c>
      <c r="G34" s="5"/>
      <c r="H34" s="5">
        <v>20834.400000000001</v>
      </c>
    </row>
    <row r="35" spans="1:8" x14ac:dyDescent="0.25">
      <c r="D35" s="5"/>
      <c r="E35" s="5"/>
      <c r="F35" s="5"/>
      <c r="G35" s="5"/>
      <c r="H35" s="5"/>
    </row>
    <row r="36" spans="1:8" x14ac:dyDescent="0.25">
      <c r="A36" t="s">
        <v>16</v>
      </c>
      <c r="C36" t="s">
        <v>10</v>
      </c>
      <c r="D36" s="5">
        <v>1350</v>
      </c>
      <c r="E36" s="5">
        <v>0</v>
      </c>
      <c r="F36" s="5">
        <v>59468.31</v>
      </c>
      <c r="G36" s="5"/>
      <c r="H36" s="5">
        <v>59543.31</v>
      </c>
    </row>
    <row r="37" spans="1:8" x14ac:dyDescent="0.25">
      <c r="A37" t="s">
        <v>16</v>
      </c>
      <c r="C37" t="s">
        <v>10</v>
      </c>
      <c r="D37" s="5">
        <v>300</v>
      </c>
      <c r="E37" s="5">
        <v>0</v>
      </c>
      <c r="F37" s="5">
        <v>12673</v>
      </c>
      <c r="G37" s="7">
        <f>SUM(F36:F37)</f>
        <v>72141.31</v>
      </c>
      <c r="H37" s="5">
        <v>12748</v>
      </c>
    </row>
    <row r="38" spans="1:8" x14ac:dyDescent="0.25">
      <c r="D38" s="5"/>
      <c r="E38" s="5"/>
      <c r="F38" s="5"/>
      <c r="G38" s="5"/>
      <c r="H38" s="5"/>
    </row>
    <row r="39" spans="1:8" x14ac:dyDescent="0.25">
      <c r="A39" s="11"/>
      <c r="B39" s="11"/>
      <c r="C39" s="11"/>
      <c r="D39" s="12">
        <f>SUM(D4:D37)</f>
        <v>16800</v>
      </c>
      <c r="E39" s="12">
        <f>SUM(E4:E37)</f>
        <v>0</v>
      </c>
      <c r="F39" s="12">
        <f>SUM(F4:F37)</f>
        <v>719593.68000000017</v>
      </c>
      <c r="G39" s="12"/>
      <c r="H39" s="12">
        <f>SUM(H4:H37)</f>
        <v>721093.68000000017</v>
      </c>
    </row>
  </sheetData>
  <mergeCells count="2">
    <mergeCell ref="A2:D2"/>
    <mergeCell ref="E2:H2"/>
  </mergeCells>
  <pageMargins left="0.7" right="0.7" top="0.75" bottom="0.75" header="0.3" footer="0.3"/>
  <pageSetup scale="8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2654-B11B-4250-9691-44D8A53B80D3}">
  <dimension ref="A1:E20"/>
  <sheetViews>
    <sheetView workbookViewId="0">
      <selection activeCell="G13" sqref="G13"/>
    </sheetView>
  </sheetViews>
  <sheetFormatPr defaultRowHeight="15" x14ac:dyDescent="0.25"/>
  <cols>
    <col min="1" max="1" width="15.140625" customWidth="1"/>
    <col min="5" max="5" width="21" customWidth="1"/>
  </cols>
  <sheetData>
    <row r="1" spans="1:5" x14ac:dyDescent="0.25">
      <c r="A1" t="s">
        <v>109</v>
      </c>
      <c r="E1" s="1">
        <v>45950</v>
      </c>
    </row>
    <row r="2" spans="1:5" x14ac:dyDescent="0.25">
      <c r="A2" s="2" t="s">
        <v>0</v>
      </c>
      <c r="B2" s="3"/>
      <c r="C2" s="3"/>
      <c r="D2" s="4" t="s">
        <v>110</v>
      </c>
      <c r="E2" s="3"/>
    </row>
    <row r="3" spans="1:5" x14ac:dyDescent="0.25">
      <c r="A3" t="s">
        <v>18</v>
      </c>
      <c r="B3" t="s">
        <v>20</v>
      </c>
      <c r="C3" t="s">
        <v>21</v>
      </c>
      <c r="D3" t="s">
        <v>22</v>
      </c>
      <c r="E3" t="s">
        <v>2</v>
      </c>
    </row>
    <row r="4" spans="1:5" x14ac:dyDescent="0.25">
      <c r="A4" t="s">
        <v>92</v>
      </c>
      <c r="B4" t="s">
        <v>31</v>
      </c>
      <c r="C4" t="s">
        <v>93</v>
      </c>
      <c r="E4" t="s">
        <v>94</v>
      </c>
    </row>
    <row r="5" spans="1:5" x14ac:dyDescent="0.25">
      <c r="A5" s="6"/>
      <c r="B5" s="6"/>
      <c r="C5" s="6" t="s">
        <v>111</v>
      </c>
      <c r="D5" s="6"/>
      <c r="E5" s="6"/>
    </row>
    <row r="10" spans="1:5" x14ac:dyDescent="0.25">
      <c r="A10" t="s">
        <v>112</v>
      </c>
      <c r="B10" s="13"/>
      <c r="C10" s="13"/>
      <c r="D10" s="13"/>
    </row>
    <row r="15" spans="1:5" x14ac:dyDescent="0.25">
      <c r="A15" t="s">
        <v>113</v>
      </c>
      <c r="B15" s="13"/>
      <c r="C15" s="13"/>
      <c r="D15" s="13"/>
    </row>
    <row r="20" spans="1:3" x14ac:dyDescent="0.25">
      <c r="A20" t="s">
        <v>114</v>
      </c>
      <c r="B20" s="13"/>
      <c r="C20" s="13"/>
    </row>
  </sheetData>
  <mergeCells count="2">
    <mergeCell ref="A2:C2"/>
    <mergeCell ref="D2:E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12E6A816BFA4E9296AE543A7835B0" ma:contentTypeVersion="5" ma:contentTypeDescription="Create a new document." ma:contentTypeScope="" ma:versionID="dc15d28bdfcbd91a79905b20dd1c9966">
  <xsd:schema xmlns:xsd="http://www.w3.org/2001/XMLSchema" xmlns:xs="http://www.w3.org/2001/XMLSchema" xmlns:p="http://schemas.microsoft.com/office/2006/metadata/properties" xmlns:ns3="9aa1da47-2ef5-45e6-92b7-1bf22423f73b" targetNamespace="http://schemas.microsoft.com/office/2006/metadata/properties" ma:root="true" ma:fieldsID="440e2c73b19c64ca503e31322c8ad119" ns3:_="">
    <xsd:import namespace="9aa1da47-2ef5-45e6-92b7-1bf22423f7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1da47-2ef5-45e6-92b7-1bf22423f7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2012D9-0377-433C-9C2A-B7C8CDD80A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a1da47-2ef5-45e6-92b7-1bf22423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B539B0-4A12-4615-8AA7-5EC2F63CBE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FF2993-B623-4A9D-B53A-B0D8E4F60FE8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9aa1da47-2ef5-45e6-92b7-1bf22423f73b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-ACH</vt:lpstr>
      <vt:lpstr>Original Note Log</vt:lpstr>
    </vt:vector>
  </TitlesOfParts>
  <Company>Bristol County Savings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Gorham</dc:creator>
  <cp:lastModifiedBy>Rachel Gorham</cp:lastModifiedBy>
  <cp:lastPrinted>2025-10-20T19:53:49Z</cp:lastPrinted>
  <dcterms:created xsi:type="dcterms:W3CDTF">2025-10-20T18:36:49Z</dcterms:created>
  <dcterms:modified xsi:type="dcterms:W3CDTF">2025-10-20T19:55:48Z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0x010100F8A12E6A816BFA4E9296AE543A7835B0</vt:lpwstr>
  </property>
</Properties>
</file>