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7C8B0F5F-1B01-402B-8746-0D076045728A}" xr6:coauthVersionLast="47" xr6:coauthVersionMax="47" xr10:uidLastSave="{00000000-0000-0000-0000-000000000000}"/>
  <bookViews>
    <workbookView xWindow="31665" yWindow="1155" windowWidth="19860" windowHeight="13980" xr2:uid="{00000000-000D-0000-FFFF-FFFF00000000}"/>
  </bookViews>
  <sheets>
    <sheet name="Funding Worksheet - Folder Vers" sheetId="1" r:id="rId1"/>
    <sheet name="Funding Worksheet - AC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15" i="2"/>
  <c r="F15" i="2"/>
  <c r="E15" i="2"/>
  <c r="D15" i="2"/>
  <c r="H10" i="1"/>
</calcChain>
</file>

<file path=xl/sharedStrings.xml><?xml version="1.0" encoding="utf-8"?>
<sst xmlns="http://schemas.openxmlformats.org/spreadsheetml/2006/main" count="88" uniqueCount="60">
  <si>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</si>
  <si>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</si>
  <si>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</si>
  <si>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</si>
  <si>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</si>
  <si>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</si>
  <si>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</si>
  <si>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</si>
  <si>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</si>
  <si>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</si>
  <si>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</si>
  <si>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</si>
  <si>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</si>
  <si>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</si>
  <si>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DealerTrack</t>
  </si>
  <si>
    <t>E Contract</t>
  </si>
  <si>
    <t>REALE, CAROLYN</t>
  </si>
  <si>
    <t>REALE, JEFFREY</t>
  </si>
  <si>
    <t>Coastal Volkswagon</t>
  </si>
  <si>
    <t>Neli Oliveira</t>
  </si>
  <si>
    <t>CAROLINEREALE@GMAIL.COM</t>
  </si>
  <si>
    <t>KREVAT</t>
  </si>
  <si>
    <t>MAHONEY</t>
  </si>
  <si>
    <t>PIRNER, CHARLENE</t>
  </si>
  <si>
    <t>Herb Chambers Boston Turnpike Inc d/b/a</t>
  </si>
  <si>
    <t>THEPIRNERS@AOL.COM</t>
  </si>
  <si>
    <t>Le</t>
  </si>
  <si>
    <t>Route One</t>
  </si>
  <si>
    <t>HINCHEY, SARAH</t>
  </si>
  <si>
    <t>Herb Chambers Lexus of Hingham</t>
  </si>
  <si>
    <t>INFO@SARAHHINCHEY.COM</t>
  </si>
  <si>
    <t>BOYD</t>
  </si>
  <si>
    <t>BRATHWAITE, NADIE</t>
  </si>
  <si>
    <t>Infiniti of Norwood</t>
  </si>
  <si>
    <t>nadietrotman@gmail.com</t>
  </si>
  <si>
    <t>RUDDER</t>
  </si>
  <si>
    <t>CASALI, ERICA</t>
  </si>
  <si>
    <t>Marlene Braganca</t>
  </si>
  <si>
    <t>ECASALI@COMCAST.NET</t>
  </si>
  <si>
    <t>ODonoghue</t>
  </si>
  <si>
    <t>JOSEPH, JEANCLAUDE</t>
  </si>
  <si>
    <t>Mastria Kia</t>
  </si>
  <si>
    <t>Rachel Gorham</t>
  </si>
  <si>
    <t>GINGHAM_MANUAL.7Z@ICLOUD.COM</t>
  </si>
  <si>
    <t>PREPETIT</t>
  </si>
  <si>
    <t># 6</t>
  </si>
  <si>
    <t>151193168 E</t>
  </si>
  <si>
    <t>151193176 E</t>
  </si>
  <si>
    <t>151193184 E</t>
  </si>
  <si>
    <t>151193217 E</t>
  </si>
  <si>
    <t>151193241 E</t>
  </si>
  <si>
    <t>151193267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</si>
  <si>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</si>
  <si>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</si>
  <si>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</si>
  <si>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</si>
  <si>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</si>
  <si>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</si>
  <si>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</si>
  <si>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5099-5689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</si>
</sst>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right"/>
    </xf>
    <xf numFmtId="7" fontId="1" fillId="0" borderId="0" xfId="0" applyNumberFormat="1" applyFont="1"/>
    <xf numFmtId="0" fontId="3" fillId="0" borderId="0" xfId="0" applyFont="1"/>
    <xf numFmtId="7" fontId="3" fillId="0" borderId="0" xfId="0" applyNumberFormat="1" applyFont="1"/>
    <xf numFmtId="164" fontId="1" fillId="0" borderId="0" xfId="0" applyNumberFormat="1" applyFont="1" applyAlignment="1">
      <alignment horizontal="right"/>
    </xf>
    <xf numFmtId="7" fontId="2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10" headerRowDxfId="13" dataDxfId="11" totalsRowDxfId="12">
  <tableColumns count="12">
    <tableColumn id="1" xr3:uid="{00000000-0010-0000-0000-000001000000}" name="Account Number" dataDxfId="25"/>
    <tableColumn id="2" xr3:uid="{00000000-0010-0000-0000-000002000000}" name="Portal" dataDxfId="24"/>
    <tableColumn id="3" xr3:uid="{00000000-0010-0000-0000-000003000000}" name="Contract Type" dataDxfId="23"/>
    <tableColumn id="4" xr3:uid="{00000000-0010-0000-0000-000004000000}" name="Applicant Name" dataDxfId="22"/>
    <tableColumn id="5" xr3:uid="{00000000-0010-0000-0000-000005000000}" name="Co-Applicant Name" dataDxfId="21"/>
    <tableColumn id="6" xr3:uid="{00000000-0010-0000-0000-000006000000}" name="Dealer Name" dataDxfId="20"/>
    <tableColumn id="7" xr3:uid="{00000000-0010-0000-0000-000007000000}" name="Funded by" dataDxfId="19"/>
    <tableColumn id="8" xr3:uid="{00000000-0010-0000-0000-000008000000}" name="Amount Financed" dataDxfId="18"/>
    <tableColumn id="9" xr3:uid="{00000000-0010-0000-0000-000009000000}" name="Applicant Email" dataDxfId="17"/>
    <tableColumn id="10" xr3:uid="{00000000-0010-0000-0000-00000A000000}" name="Co-Applicant Email" dataDxfId="16"/>
    <tableColumn id="11" xr3:uid="{00000000-0010-0000-0000-00000B000000}" name="App MMN" dataDxfId="15"/>
    <tableColumn id="12" xr3:uid="{00000000-0010-0000-0000-00000C000000}" name="Co-App MM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D1EAA1-0C52-425C-8F83-EAEB73FB38F6}" name="Table_14" displayName="Table_14" ref="A3:H15" headerRowDxfId="2" dataDxfId="0" totalsRowDxfId="1">
  <tableColumns count="8">
    <tableColumn id="1" xr3:uid="{D26162DC-CAE8-49D9-BDB1-CA3A0231FB51}" name="Dealer Name" dataDxfId="10"/>
    <tableColumn id="8" xr3:uid="{06623F12-ED90-4422-87AC-7C00C7BC370E}" name="Column2" dataDxfId="9"/>
    <tableColumn id="2" xr3:uid="{7318B926-146E-4719-AFDD-869774633BEC}" name="Funded by" dataDxfId="8"/>
    <tableColumn id="3" xr3:uid="{EAFA7AA3-C50F-4463-94AF-82A6A151E92A}" name="Dealer Flat" dataDxfId="7"/>
    <tableColumn id="4" xr3:uid="{08B4EF17-C0A2-44C5-9E43-C1880D0BC50A}" name="Dealer Split" dataDxfId="6"/>
    <tableColumn id="5" xr3:uid="{472A222F-04F9-4A40-A3F0-8223ED6658A0}" name="Net to Dealer" dataDxfId="5"/>
    <tableColumn id="7" xr3:uid="{AE733925-CABF-4267-8E79-C34C4D3F2B8E}" name="Column1" dataDxfId="4"/>
    <tableColumn id="6" xr3:uid="{033EA459-4054-4D4E-A350-245134E62553}" name="Contracted Amount Financed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"/>
  <sheetViews>
    <sheetView tabSelected="1" topLeftCell="D1" workbookViewId="0">
      <pane ySplit="3" topLeftCell="A4" activePane="bottomLeft" state="frozen"/>
      <selection pane="bottomLeft" activeCell="H10" sqref="H10"/>
    </sheetView>
  </sheetViews>
  <sheetFormatPr defaultRowHeight="15.75" x14ac:dyDescent="0.25"/>
  <cols>
    <col min="1" max="1" width="13.28515625" style="1" customWidth="1"/>
    <col min="2" max="2" width="12.140625" style="1" bestFit="1" customWidth="1"/>
    <col min="3" max="3" width="14" style="1" bestFit="1" customWidth="1"/>
    <col min="4" max="4" width="20.85546875" style="1" bestFit="1" customWidth="1"/>
    <col min="5" max="5" width="13.7109375" style="1" customWidth="1"/>
    <col min="6" max="6" width="39.5703125" style="1" bestFit="1" customWidth="1"/>
    <col min="7" max="7" width="17.7109375" style="1" bestFit="1" customWidth="1"/>
    <col min="8" max="8" width="17.140625" style="1" bestFit="1" customWidth="1"/>
    <col min="9" max="9" width="35.5703125" style="1" bestFit="1" customWidth="1"/>
    <col min="10" max="10" width="1.85546875" style="1" customWidth="1"/>
    <col min="11" max="11" width="13.7109375" style="1" bestFit="1" customWidth="1"/>
    <col min="12" max="12" width="11.42578125" style="1" customWidth="1"/>
    <col min="13" max="16384" width="9.140625" style="1"/>
  </cols>
  <sheetData>
    <row r="1" spans="1:12" x14ac:dyDescent="0.25">
      <c r="K1" s="2">
        <v>45825</v>
      </c>
      <c r="L1" s="3"/>
    </row>
    <row r="2" spans="1:12" x14ac:dyDescent="0.25">
      <c r="A2" s="4" t="s">
        <v>0</v>
      </c>
      <c r="B2" s="5"/>
      <c r="C2" s="5"/>
      <c r="D2" s="5"/>
      <c r="E2" s="5"/>
      <c r="F2" s="5"/>
      <c r="G2" s="6" t="s">
        <v>1</v>
      </c>
      <c r="H2" s="5"/>
      <c r="I2" s="5"/>
      <c r="J2" s="5"/>
      <c r="K2" s="5"/>
      <c r="L2" s="5"/>
    </row>
    <row r="3" spans="1:12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 ht="33" customHeight="1" x14ac:dyDescent="0.25">
      <c r="A4" s="1" t="s">
        <v>46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7">
        <v>51461.74</v>
      </c>
      <c r="I4" s="1" t="s">
        <v>20</v>
      </c>
      <c r="K4" s="1" t="s">
        <v>21</v>
      </c>
      <c r="L4" s="1" t="s">
        <v>22</v>
      </c>
    </row>
    <row r="5" spans="1:12" ht="33" customHeight="1" x14ac:dyDescent="0.25">
      <c r="A5" s="1" t="s">
        <v>47</v>
      </c>
      <c r="B5" s="1" t="s">
        <v>14</v>
      </c>
      <c r="C5" s="1" t="s">
        <v>15</v>
      </c>
      <c r="D5" s="1" t="s">
        <v>23</v>
      </c>
      <c r="F5" s="1" t="s">
        <v>24</v>
      </c>
      <c r="G5" s="1" t="s">
        <v>19</v>
      </c>
      <c r="H5" s="7">
        <v>36074.559999999998</v>
      </c>
      <c r="I5" s="1" t="s">
        <v>25</v>
      </c>
      <c r="K5" s="1" t="s">
        <v>26</v>
      </c>
    </row>
    <row r="6" spans="1:12" ht="33" customHeight="1" x14ac:dyDescent="0.25">
      <c r="A6" s="1" t="s">
        <v>48</v>
      </c>
      <c r="B6" s="1" t="s">
        <v>27</v>
      </c>
      <c r="C6" s="1" t="s">
        <v>15</v>
      </c>
      <c r="D6" s="1" t="s">
        <v>28</v>
      </c>
      <c r="F6" s="1" t="s">
        <v>29</v>
      </c>
      <c r="G6" s="1" t="s">
        <v>19</v>
      </c>
      <c r="H6" s="7">
        <v>27365.439999999999</v>
      </c>
      <c r="I6" s="1" t="s">
        <v>30</v>
      </c>
      <c r="K6" s="1" t="s">
        <v>31</v>
      </c>
    </row>
    <row r="7" spans="1:12" ht="33" customHeight="1" x14ac:dyDescent="0.25">
      <c r="A7" s="1" t="s">
        <v>49</v>
      </c>
      <c r="B7" s="1" t="s">
        <v>14</v>
      </c>
      <c r="C7" s="1" t="s">
        <v>15</v>
      </c>
      <c r="D7" s="1" t="s">
        <v>32</v>
      </c>
      <c r="F7" s="1" t="s">
        <v>33</v>
      </c>
      <c r="G7" s="1" t="s">
        <v>19</v>
      </c>
      <c r="H7" s="7">
        <v>40001.56</v>
      </c>
      <c r="I7" s="1" t="s">
        <v>34</v>
      </c>
      <c r="K7" s="1" t="s">
        <v>35</v>
      </c>
    </row>
    <row r="8" spans="1:12" ht="33" customHeight="1" x14ac:dyDescent="0.25">
      <c r="A8" s="1" t="s">
        <v>50</v>
      </c>
      <c r="B8" s="1" t="s">
        <v>27</v>
      </c>
      <c r="C8" s="1" t="s">
        <v>15</v>
      </c>
      <c r="D8" s="1" t="s">
        <v>36</v>
      </c>
      <c r="F8" s="1" t="s">
        <v>29</v>
      </c>
      <c r="G8" s="1" t="s">
        <v>37</v>
      </c>
      <c r="H8" s="7">
        <v>42065.5</v>
      </c>
      <c r="I8" s="1" t="s">
        <v>38</v>
      </c>
      <c r="K8" s="1" t="s">
        <v>39</v>
      </c>
    </row>
    <row r="9" spans="1:12" ht="33" customHeight="1" x14ac:dyDescent="0.25">
      <c r="A9" s="1" t="s">
        <v>51</v>
      </c>
      <c r="B9" s="1" t="s">
        <v>14</v>
      </c>
      <c r="C9" s="1" t="s">
        <v>15</v>
      </c>
      <c r="D9" s="1" t="s">
        <v>40</v>
      </c>
      <c r="F9" s="1" t="s">
        <v>41</v>
      </c>
      <c r="G9" s="1" t="s">
        <v>42</v>
      </c>
      <c r="H9" s="7">
        <v>6574.55</v>
      </c>
      <c r="I9" s="1" t="s">
        <v>43</v>
      </c>
      <c r="K9" s="1" t="s">
        <v>44</v>
      </c>
    </row>
    <row r="10" spans="1:12" x14ac:dyDescent="0.25">
      <c r="A10" s="8"/>
      <c r="B10" s="8"/>
      <c r="C10" s="8"/>
      <c r="D10" s="8" t="s">
        <v>45</v>
      </c>
      <c r="E10" s="8"/>
      <c r="F10" s="8"/>
      <c r="G10" s="8"/>
      <c r="H10" s="9">
        <f>SUM(H4:H9)</f>
        <v>203543.34999999998</v>
      </c>
      <c r="I10" s="8"/>
      <c r="J10" s="8"/>
      <c r="K10" s="8"/>
      <c r="L10" s="8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8C87-9AF1-4068-9F19-C0897308EA32}">
  <sheetPr>
    <pageSetUpPr fitToPage="1"/>
  </sheetPr>
  <dimension ref="A1:H15"/>
  <sheetViews>
    <sheetView workbookViewId="0">
      <selection activeCell="A20" sqref="A20"/>
    </sheetView>
  </sheetViews>
  <sheetFormatPr defaultRowHeight="15.75" x14ac:dyDescent="0.25"/>
  <cols>
    <col min="1" max="1" width="20" style="1" customWidth="1"/>
    <col min="2" max="2" width="15.7109375" style="1" customWidth="1"/>
    <col min="3" max="3" width="17.5703125" style="1" customWidth="1"/>
    <col min="4" max="4" width="14.85546875" style="1" customWidth="1"/>
    <col min="5" max="5" width="14.28515625" style="1" customWidth="1"/>
    <col min="6" max="6" width="15.28515625" style="1" customWidth="1"/>
    <col min="7" max="7" width="12.85546875" style="1" customWidth="1"/>
    <col min="8" max="8" width="13.7109375" style="1" customWidth="1"/>
    <col min="9" max="16384" width="9.140625" style="1"/>
  </cols>
  <sheetData>
    <row r="1" spans="1:8" x14ac:dyDescent="0.25">
      <c r="E1" s="10"/>
      <c r="H1" s="10">
        <v>45825.999988425923</v>
      </c>
    </row>
    <row r="2" spans="1:8" x14ac:dyDescent="0.25">
      <c r="A2" s="4" t="s">
        <v>0</v>
      </c>
      <c r="B2" s="4"/>
      <c r="C2" s="5"/>
      <c r="D2" s="5"/>
      <c r="E2" s="6" t="s">
        <v>52</v>
      </c>
      <c r="F2" s="5"/>
      <c r="G2" s="5"/>
      <c r="H2" s="5"/>
    </row>
    <row r="3" spans="1:8" x14ac:dyDescent="0.25">
      <c r="A3" s="1" t="s">
        <v>7</v>
      </c>
      <c r="B3" s="1" t="s">
        <v>58</v>
      </c>
      <c r="C3" s="1" t="s">
        <v>8</v>
      </c>
      <c r="D3" s="1" t="s">
        <v>53</v>
      </c>
      <c r="E3" s="1" t="s">
        <v>54</v>
      </c>
      <c r="F3" s="1" t="s">
        <v>55</v>
      </c>
      <c r="G3" s="1" t="s">
        <v>57</v>
      </c>
      <c r="H3" s="1" t="s">
        <v>56</v>
      </c>
    </row>
    <row r="4" spans="1:8" ht="24.95" customHeight="1" x14ac:dyDescent="0.25">
      <c r="A4" s="1" t="s">
        <v>18</v>
      </c>
      <c r="C4" s="1" t="s">
        <v>19</v>
      </c>
      <c r="D4" s="7">
        <v>1350</v>
      </c>
      <c r="E4" s="7">
        <v>0</v>
      </c>
      <c r="F4" s="11">
        <v>51386.74</v>
      </c>
      <c r="G4" s="7"/>
      <c r="H4" s="7">
        <v>51461.74</v>
      </c>
    </row>
    <row r="5" spans="1:8" ht="24.95" customHeight="1" x14ac:dyDescent="0.25">
      <c r="D5" s="7"/>
      <c r="E5" s="7"/>
      <c r="F5" s="11"/>
      <c r="G5" s="7"/>
      <c r="H5" s="7"/>
    </row>
    <row r="6" spans="1:8" ht="24.95" customHeight="1" x14ac:dyDescent="0.25">
      <c r="A6" s="1" t="s">
        <v>24</v>
      </c>
      <c r="C6" s="1" t="s">
        <v>19</v>
      </c>
      <c r="D6" s="7">
        <v>950</v>
      </c>
      <c r="E6" s="7">
        <v>0</v>
      </c>
      <c r="F6" s="11">
        <v>35999.56</v>
      </c>
      <c r="G6" s="7"/>
      <c r="H6" s="7">
        <v>36074.559999999998</v>
      </c>
    </row>
    <row r="7" spans="1:8" ht="24.95" customHeight="1" x14ac:dyDescent="0.25">
      <c r="D7" s="7"/>
      <c r="E7" s="7"/>
      <c r="F7" s="7"/>
      <c r="G7" s="7"/>
      <c r="H7" s="7"/>
    </row>
    <row r="8" spans="1:8" ht="24.95" customHeight="1" x14ac:dyDescent="0.25">
      <c r="A8" s="1" t="s">
        <v>29</v>
      </c>
      <c r="C8" s="1" t="s">
        <v>37</v>
      </c>
      <c r="D8" s="7">
        <v>1050</v>
      </c>
      <c r="E8" s="7">
        <v>0</v>
      </c>
      <c r="F8" s="7">
        <v>41990.5</v>
      </c>
      <c r="G8" s="7"/>
      <c r="H8" s="7">
        <v>42065.5</v>
      </c>
    </row>
    <row r="9" spans="1:8" ht="24.95" customHeight="1" x14ac:dyDescent="0.25">
      <c r="A9" s="1" t="s">
        <v>29</v>
      </c>
      <c r="C9" s="1" t="s">
        <v>19</v>
      </c>
      <c r="D9" s="7">
        <v>750</v>
      </c>
      <c r="E9" s="7">
        <v>0</v>
      </c>
      <c r="F9" s="7">
        <v>27290.44</v>
      </c>
      <c r="G9" s="11">
        <f>SUM(F8:F9)</f>
        <v>69280.94</v>
      </c>
      <c r="H9" s="7">
        <v>27365.439999999999</v>
      </c>
    </row>
    <row r="10" spans="1:8" ht="24.95" customHeight="1" x14ac:dyDescent="0.25">
      <c r="D10" s="7"/>
      <c r="E10" s="7"/>
      <c r="F10" s="7"/>
      <c r="G10" s="11"/>
      <c r="H10" s="7"/>
    </row>
    <row r="11" spans="1:8" ht="24.95" customHeight="1" x14ac:dyDescent="0.25">
      <c r="A11" s="1" t="s">
        <v>33</v>
      </c>
      <c r="C11" s="1" t="s">
        <v>19</v>
      </c>
      <c r="D11" s="7">
        <v>1050</v>
      </c>
      <c r="E11" s="7">
        <v>0</v>
      </c>
      <c r="F11" s="11">
        <v>39926.559999999998</v>
      </c>
      <c r="G11" s="7"/>
      <c r="H11" s="7">
        <v>40001.56</v>
      </c>
    </row>
    <row r="12" spans="1:8" ht="24.95" customHeight="1" x14ac:dyDescent="0.25">
      <c r="D12" s="7"/>
      <c r="E12" s="7"/>
      <c r="F12" s="11"/>
      <c r="G12" s="7"/>
      <c r="H12" s="7"/>
    </row>
    <row r="13" spans="1:8" ht="24.95" customHeight="1" x14ac:dyDescent="0.25">
      <c r="A13" s="1" t="s">
        <v>41</v>
      </c>
      <c r="B13" s="12" t="s">
        <v>59</v>
      </c>
      <c r="C13" s="1" t="s">
        <v>42</v>
      </c>
      <c r="D13" s="7">
        <v>0</v>
      </c>
      <c r="E13" s="7">
        <v>0</v>
      </c>
      <c r="F13" s="11">
        <v>6499.55</v>
      </c>
      <c r="G13" s="7"/>
      <c r="H13" s="7">
        <v>6574.55</v>
      </c>
    </row>
    <row r="14" spans="1:8" ht="24.95" customHeight="1" x14ac:dyDescent="0.25">
      <c r="D14" s="7"/>
      <c r="E14" s="7"/>
      <c r="F14" s="7"/>
      <c r="G14" s="7"/>
      <c r="H14" s="7"/>
    </row>
    <row r="15" spans="1:8" x14ac:dyDescent="0.25">
      <c r="A15" s="8"/>
      <c r="B15" s="8"/>
      <c r="C15" s="8"/>
      <c r="D15" s="9">
        <f>SUM(D4:D13)</f>
        <v>5150</v>
      </c>
      <c r="E15" s="9">
        <f>SUM(E4:E13)</f>
        <v>0</v>
      </c>
      <c r="F15" s="9">
        <f>SUM(F4:F13)</f>
        <v>203093.34999999998</v>
      </c>
      <c r="G15" s="9"/>
      <c r="H15" s="9">
        <f>SUM(H4:H13)</f>
        <v>203543.34999999998</v>
      </c>
    </row>
  </sheetData>
  <mergeCells count="2">
    <mergeCell ref="A2:D2"/>
    <mergeCell ref="E2:H2"/>
  </mergeCells>
  <pageMargins left="0.7" right="0" top="0.75" bottom="0.75" header="0.3" footer="0.3"/>
  <pageSetup scale="8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 Worksheet - Folder Vers</vt:lpstr>
      <vt:lpstr>Funding Worksheet - 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2025-06-17T18:26:53Z</cp:lastPrinted>
  <dcterms:created xsi:type="dcterms:W3CDTF">2025-06-17T18:10:10Z</dcterms:created>
  <dcterms:modified xsi:type="dcterms:W3CDTF">2025-06-17T18:39:47Z</dcterms:modified>
</cp:coreProperties>
</file>