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75CDC39F-B229-4778-8C56-C7ED38DC3500}" xr6:coauthVersionLast="47" xr6:coauthVersionMax="47" xr10:uidLastSave="{00000000-0000-0000-0000-000000000000}"/>
  <bookViews>
    <workbookView xWindow="29925" yWindow="150" windowWidth="23295" windowHeight="156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F13" i="2"/>
  <c r="E13" i="2"/>
  <c r="D13" i="2"/>
  <c r="H12" i="1"/>
</calcChain>
</file>

<file path=xl/sharedStrings.xml><?xml version="1.0" encoding="utf-8"?>
<sst xmlns="http://schemas.openxmlformats.org/spreadsheetml/2006/main" count="134" uniqueCount="80">
  <si>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</si>
  <si>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</si>
  <si>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</si>
  <si>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</si>
  <si>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</si>
  <si>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</si>
  <si>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</si>
  <si>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</si>
  <si>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</si>
  <si>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</si>
  <si>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</si>
  <si>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</si>
  <si>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</si>
  <si>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</si>
  <si>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</si>
  <si>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</si>
  <si>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GALLAGHER, RICHARD</t>
  </si>
  <si>
    <t>Patriot Auto Group Inc d/b/a</t>
  </si>
  <si>
    <t>Marlene Braganca</t>
  </si>
  <si>
    <t>rg0123@comcast.net</t>
  </si>
  <si>
    <t>MacFarlane</t>
  </si>
  <si>
    <t>DealerTrack</t>
  </si>
  <si>
    <t>YOUNG, JACQUELYN</t>
  </si>
  <si>
    <t>Herb Chambers Boston Turnpike Inc d/b/a</t>
  </si>
  <si>
    <t>SYOUNG1611@YAHOO.COM</t>
  </si>
  <si>
    <t>Kesner</t>
  </si>
  <si>
    <t>151201002</t>
  </si>
  <si>
    <t>Paper</t>
  </si>
  <si>
    <t>KELLERMAN, KEITH</t>
  </si>
  <si>
    <t>NARSA AMC LLC d/b/a</t>
  </si>
  <si>
    <t>Neli Oliveira</t>
  </si>
  <si>
    <t>KKELLER147@GMAIL.COM</t>
  </si>
  <si>
    <t>LYMAN</t>
  </si>
  <si>
    <t>EDWARDS, NOLAN</t>
  </si>
  <si>
    <t>Bourne Enterprises Inc</t>
  </si>
  <si>
    <t>NOLAN</t>
  </si>
  <si>
    <t>CONLEY, RICHARD</t>
  </si>
  <si>
    <t>CONLEY, KAREN</t>
  </si>
  <si>
    <t>T F Murphy Enterprises Inc</t>
  </si>
  <si>
    <t>Rachel Gorham</t>
  </si>
  <si>
    <t>KMCONLEY@BU.EDU</t>
  </si>
  <si>
    <t>FELSCH</t>
  </si>
  <si>
    <t>MCGREEHAN</t>
  </si>
  <si>
    <t>151201052</t>
  </si>
  <si>
    <t>MITCHELL, MARLENE</t>
  </si>
  <si>
    <t>Viti Mercedes</t>
  </si>
  <si>
    <t>MARCUNANAN10@GMAIL.COM</t>
  </si>
  <si>
    <t>SABADO</t>
  </si>
  <si>
    <t>151201086</t>
  </si>
  <si>
    <t>MCKEON, KERRY</t>
  </si>
  <si>
    <t>CARRABBA, KELSEY</t>
  </si>
  <si>
    <t>Planet Automotive Sales LLC</t>
  </si>
  <si>
    <t>KMC12354@GMAIL.COM</t>
  </si>
  <si>
    <t>CURSADEN</t>
  </si>
  <si>
    <t>MCKEON</t>
  </si>
  <si>
    <t>Laclair, Stephen</t>
  </si>
  <si>
    <t>Salvadore Chevrolet</t>
  </si>
  <si>
    <t>slaclair67@gmail.com</t>
  </si>
  <si>
    <t>Morin</t>
  </si>
  <si>
    <t># 8</t>
  </si>
  <si>
    <t>151200939 E</t>
  </si>
  <si>
    <t>151200947 E</t>
  </si>
  <si>
    <t>151201010 E</t>
  </si>
  <si>
    <t>151201044 E</t>
  </si>
  <si>
    <t>151201119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</si>
  <si>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</si>
  <si>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</si>
  <si>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</si>
  <si>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</si>
  <si>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</si>
  <si>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</si>
  <si>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</si>
  <si>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Auto Mall Coll-NARSA AMC LLC d/b/a</t>
  </si>
  <si>
    <t>Honda-Patriot Auto Group Inc d/b/a</t>
  </si>
  <si>
    <t>Funding Worksheet - Signoff Version</t>
  </si>
  <si>
    <t># 3</t>
  </si>
  <si>
    <t>Delivered by:</t>
  </si>
  <si>
    <t>Received by: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</si>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</sst>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0" fontId="2" fillId="0" borderId="0" xfId="0" applyFont="1"/>
    <xf numFmtId="7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164" fontId="1" fillId="0" borderId="0" xfId="0" applyNumberFormat="1" applyFont="1" applyAlignment="1">
      <alignment horizontal="right"/>
    </xf>
    <xf numFmtId="7" fontId="4" fillId="0" borderId="0" xfId="0" applyNumberFormat="1" applyFont="1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2" headerRowDxfId="13" dataDxfId="11" totalsRowDxfId="12">
  <tableColumns count="12">
    <tableColumn id="1" xr3:uid="{00000000-0010-0000-0000-000001000000}" name="Account Number" dataDxfId="25"/>
    <tableColumn id="2" xr3:uid="{00000000-0010-0000-0000-000002000000}" name="Portal" dataDxfId="24"/>
    <tableColumn id="3" xr3:uid="{00000000-0010-0000-0000-000003000000}" name="Contract Type" dataDxfId="23"/>
    <tableColumn id="4" xr3:uid="{00000000-0010-0000-0000-000004000000}" name="Applicant Name" dataDxfId="22"/>
    <tableColumn id="5" xr3:uid="{00000000-0010-0000-0000-000005000000}" name="Co-Applicant Name" dataDxfId="21"/>
    <tableColumn id="6" xr3:uid="{00000000-0010-0000-0000-000006000000}" name="Dealer Name" dataDxfId="20"/>
    <tableColumn id="7" xr3:uid="{00000000-0010-0000-0000-000007000000}" name="Funded by" dataDxfId="19"/>
    <tableColumn id="8" xr3:uid="{00000000-0010-0000-0000-000008000000}" name="Amount Financed" dataDxfId="18"/>
    <tableColumn id="9" xr3:uid="{00000000-0010-0000-0000-000009000000}" name="Applicant Email" dataDxfId="17"/>
    <tableColumn id="10" xr3:uid="{00000000-0010-0000-0000-00000A000000}" name="Co-Applicant Email" dataDxfId="16"/>
    <tableColumn id="11" xr3:uid="{00000000-0010-0000-0000-00000B000000}" name="App MMN" dataDxfId="15"/>
    <tableColumn id="12" xr3:uid="{00000000-0010-0000-0000-00000C000000}" name="Co-App MM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4DB549-9D07-42C7-8CDD-0086E5171231}" name="Table_14" displayName="Table_14" ref="A3:H13" headerRowDxfId="2" dataDxfId="0" totalsRowDxfId="1">
  <sortState xmlns:xlrd2="http://schemas.microsoft.com/office/spreadsheetml/2017/richdata2" ref="A4:H13">
    <sortCondition ref="A4:A13"/>
  </sortState>
  <tableColumns count="8">
    <tableColumn id="1" xr3:uid="{5BFFF71C-ABCD-4A0B-B452-C1F46FBEE94E}" name="Dealer Name" dataDxfId="10"/>
    <tableColumn id="7" xr3:uid="{65DC2E85-B569-4D73-9B45-77D0AAA7E380}" name="Column1" dataDxfId="9"/>
    <tableColumn id="2" xr3:uid="{D1036546-9BF5-4EC5-BD46-BBD85CD5B0AE}" name="Funded by" dataDxfId="8"/>
    <tableColumn id="3" xr3:uid="{2CB1A0F4-6B0E-4372-9791-84A34728E62B}" name="Dealer Flat" dataDxfId="7"/>
    <tableColumn id="4" xr3:uid="{C0E0F43F-3E28-4770-884B-719B208D5C58}" name="Dealer Split" dataDxfId="6"/>
    <tableColumn id="5" xr3:uid="{E7D89622-1F7C-4985-9B29-0F5003522B90}" name="Net to Dealer" dataDxfId="5"/>
    <tableColumn id="8" xr3:uid="{8488850B-9539-44B8-A468-DA7709FA36B6}" name="Column2" dataDxfId="4"/>
    <tableColumn id="6" xr3:uid="{1E6097A2-F235-4564-ACAB-F286A0223763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FF62B7-210D-4D50-A47B-8B93B6185B89}" name="Table_16" displayName="Table_16" ref="A3:E8">
  <tableColumns count="5">
    <tableColumn id="1" xr3:uid="{BFA50194-0F05-4BE5-8190-D3480A12B2DD}" name="Account Number"/>
    <tableColumn id="2" xr3:uid="{CA79982D-C6E6-4A94-A221-C6BBB70FC081}" name="Contract Type"/>
    <tableColumn id="3" xr3:uid="{4C496A40-4FBC-46B5-9585-7B3916A3187F}" name="Applicant Name"/>
    <tableColumn id="4" xr3:uid="{E4B9EF91-3D5A-4045-BEB0-AC2BD6F645AA}" name="Co-Applicant Name"/>
    <tableColumn id="5" xr3:uid="{5CA36F8A-94F6-49B4-AFE5-3DD2DC6A465A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workbookViewId="0">
      <pane ySplit="3" topLeftCell="A4" activePane="bottomLeft" state="frozen"/>
      <selection pane="bottomLeft" activeCell="B19" sqref="B19"/>
    </sheetView>
  </sheetViews>
  <sheetFormatPr defaultRowHeight="15.75" x14ac:dyDescent="0.25"/>
  <cols>
    <col min="1" max="1" width="13.28515625" style="3" customWidth="1"/>
    <col min="2" max="2" width="12.140625" style="3" bestFit="1" customWidth="1"/>
    <col min="3" max="3" width="11" style="3" customWidth="1"/>
    <col min="4" max="4" width="21.85546875" style="3" bestFit="1" customWidth="1"/>
    <col min="5" max="5" width="17.85546875" style="3" customWidth="1"/>
    <col min="6" max="6" width="38.7109375" style="3" customWidth="1"/>
    <col min="7" max="7" width="17.7109375" style="3" bestFit="1" customWidth="1"/>
    <col min="8" max="8" width="17.140625" style="3" bestFit="1" customWidth="1"/>
    <col min="9" max="9" width="29.28515625" style="3" bestFit="1" customWidth="1"/>
    <col min="10" max="10" width="23.42578125" style="3" bestFit="1" customWidth="1"/>
    <col min="11" max="11" width="13.140625" style="3" bestFit="1" customWidth="1"/>
    <col min="12" max="12" width="12.85546875" style="3" bestFit="1" customWidth="1"/>
    <col min="13" max="16384" width="9.140625" style="3"/>
  </cols>
  <sheetData>
    <row r="1" spans="1:12" x14ac:dyDescent="0.25">
      <c r="K1" s="4">
        <v>45848</v>
      </c>
      <c r="L1" s="5"/>
    </row>
    <row r="2" spans="1:12" x14ac:dyDescent="0.25">
      <c r="A2" s="6" t="s">
        <v>0</v>
      </c>
      <c r="B2" s="7"/>
      <c r="C2" s="7"/>
      <c r="D2" s="7"/>
      <c r="E2" s="7"/>
      <c r="F2" s="7"/>
      <c r="G2" s="8" t="s">
        <v>1</v>
      </c>
      <c r="H2" s="7"/>
      <c r="I2" s="7"/>
      <c r="J2" s="7"/>
      <c r="K2" s="7"/>
      <c r="L2" s="7"/>
    </row>
    <row r="3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" customHeight="1" x14ac:dyDescent="0.25">
      <c r="A4" s="3" t="s">
        <v>60</v>
      </c>
      <c r="B4" s="3" t="s">
        <v>14</v>
      </c>
      <c r="C4" s="3" t="s">
        <v>15</v>
      </c>
      <c r="D4" s="3" t="s">
        <v>16</v>
      </c>
      <c r="F4" s="3" t="s">
        <v>17</v>
      </c>
      <c r="G4" s="3" t="s">
        <v>18</v>
      </c>
      <c r="H4" s="9">
        <v>29924.94</v>
      </c>
      <c r="I4" s="3" t="s">
        <v>19</v>
      </c>
      <c r="K4" s="3" t="s">
        <v>20</v>
      </c>
    </row>
    <row r="5" spans="1:12" ht="33" customHeight="1" x14ac:dyDescent="0.25">
      <c r="A5" s="3" t="s">
        <v>61</v>
      </c>
      <c r="B5" s="3" t="s">
        <v>21</v>
      </c>
      <c r="C5" s="3" t="s">
        <v>15</v>
      </c>
      <c r="D5" s="3" t="s">
        <v>22</v>
      </c>
      <c r="F5" s="3" t="s">
        <v>23</v>
      </c>
      <c r="G5" s="3" t="s">
        <v>18</v>
      </c>
      <c r="H5" s="9">
        <v>43093.63</v>
      </c>
      <c r="I5" s="3" t="s">
        <v>24</v>
      </c>
      <c r="K5" s="3" t="s">
        <v>25</v>
      </c>
    </row>
    <row r="6" spans="1:12" ht="33" customHeight="1" x14ac:dyDescent="0.25">
      <c r="A6" s="3" t="s">
        <v>26</v>
      </c>
      <c r="B6" s="3" t="s">
        <v>21</v>
      </c>
      <c r="C6" s="3" t="s">
        <v>27</v>
      </c>
      <c r="D6" s="3" t="s">
        <v>28</v>
      </c>
      <c r="F6" s="3" t="s">
        <v>29</v>
      </c>
      <c r="G6" s="3" t="s">
        <v>30</v>
      </c>
      <c r="H6" s="9">
        <v>19960</v>
      </c>
      <c r="I6" s="3" t="s">
        <v>31</v>
      </c>
      <c r="K6" s="3" t="s">
        <v>32</v>
      </c>
    </row>
    <row r="7" spans="1:12" ht="33" customHeight="1" x14ac:dyDescent="0.25">
      <c r="A7" s="3" t="s">
        <v>62</v>
      </c>
      <c r="B7" s="3" t="s">
        <v>21</v>
      </c>
      <c r="C7" s="3" t="s">
        <v>15</v>
      </c>
      <c r="D7" s="3" t="s">
        <v>33</v>
      </c>
      <c r="F7" s="3" t="s">
        <v>34</v>
      </c>
      <c r="G7" s="3" t="s">
        <v>30</v>
      </c>
      <c r="H7" s="9">
        <v>15413.63</v>
      </c>
      <c r="K7" s="3" t="s">
        <v>35</v>
      </c>
    </row>
    <row r="8" spans="1:12" ht="33" customHeight="1" x14ac:dyDescent="0.25">
      <c r="A8" s="3" t="s">
        <v>63</v>
      </c>
      <c r="B8" s="3" t="s">
        <v>14</v>
      </c>
      <c r="C8" s="3" t="s">
        <v>15</v>
      </c>
      <c r="D8" s="3" t="s">
        <v>36</v>
      </c>
      <c r="E8" s="3" t="s">
        <v>37</v>
      </c>
      <c r="F8" s="3" t="s">
        <v>38</v>
      </c>
      <c r="G8" s="3" t="s">
        <v>39</v>
      </c>
      <c r="H8" s="9">
        <v>43258.06</v>
      </c>
      <c r="I8" s="3" t="s">
        <v>40</v>
      </c>
      <c r="J8" s="3" t="s">
        <v>40</v>
      </c>
      <c r="K8" s="3" t="s">
        <v>41</v>
      </c>
      <c r="L8" s="3" t="s">
        <v>42</v>
      </c>
    </row>
    <row r="9" spans="1:12" ht="33" customHeight="1" x14ac:dyDescent="0.25">
      <c r="A9" s="3" t="s">
        <v>43</v>
      </c>
      <c r="B9" s="3" t="s">
        <v>21</v>
      </c>
      <c r="C9" s="3" t="s">
        <v>27</v>
      </c>
      <c r="D9" s="3" t="s">
        <v>44</v>
      </c>
      <c r="F9" s="3" t="s">
        <v>45</v>
      </c>
      <c r="G9" s="3" t="s">
        <v>39</v>
      </c>
      <c r="H9" s="9">
        <v>25000</v>
      </c>
      <c r="I9" s="3" t="s">
        <v>46</v>
      </c>
      <c r="K9" s="3" t="s">
        <v>47</v>
      </c>
    </row>
    <row r="10" spans="1:12" ht="33" customHeight="1" x14ac:dyDescent="0.25">
      <c r="A10" s="3" t="s">
        <v>48</v>
      </c>
      <c r="B10" s="3" t="s">
        <v>21</v>
      </c>
      <c r="C10" s="3" t="s">
        <v>27</v>
      </c>
      <c r="D10" s="3" t="s">
        <v>49</v>
      </c>
      <c r="E10" s="3" t="s">
        <v>50</v>
      </c>
      <c r="F10" s="3" t="s">
        <v>51</v>
      </c>
      <c r="G10" s="3" t="s">
        <v>30</v>
      </c>
      <c r="H10" s="9">
        <v>25592.19</v>
      </c>
      <c r="J10" s="3" t="s">
        <v>52</v>
      </c>
      <c r="K10" s="3" t="s">
        <v>53</v>
      </c>
      <c r="L10" s="3" t="s">
        <v>54</v>
      </c>
    </row>
    <row r="11" spans="1:12" ht="33" customHeight="1" x14ac:dyDescent="0.25">
      <c r="A11" s="3" t="s">
        <v>64</v>
      </c>
      <c r="B11" s="3" t="s">
        <v>14</v>
      </c>
      <c r="C11" s="3" t="s">
        <v>15</v>
      </c>
      <c r="D11" s="3" t="s">
        <v>55</v>
      </c>
      <c r="F11" s="3" t="s">
        <v>56</v>
      </c>
      <c r="G11" s="3" t="s">
        <v>30</v>
      </c>
      <c r="H11" s="9">
        <v>50941.2</v>
      </c>
      <c r="I11" s="3" t="s">
        <v>57</v>
      </c>
      <c r="K11" s="3" t="s">
        <v>58</v>
      </c>
    </row>
    <row r="12" spans="1:12" x14ac:dyDescent="0.25">
      <c r="A12" s="10"/>
      <c r="B12" s="10"/>
      <c r="C12" s="10"/>
      <c r="D12" s="10" t="s">
        <v>59</v>
      </c>
      <c r="E12" s="10"/>
      <c r="F12" s="10"/>
      <c r="G12" s="10"/>
      <c r="H12" s="11">
        <f>SUM(H4:H11)</f>
        <v>253183.65000000002</v>
      </c>
      <c r="I12" s="10"/>
      <c r="J12" s="10"/>
      <c r="K12" s="10"/>
      <c r="L12" s="10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EEBF-E578-4DF6-B800-02B4415FD1BF}">
  <sheetPr>
    <pageSetUpPr fitToPage="1"/>
  </sheetPr>
  <dimension ref="A1:H13"/>
  <sheetViews>
    <sheetView workbookViewId="0">
      <selection activeCell="H21" sqref="H21"/>
    </sheetView>
  </sheetViews>
  <sheetFormatPr defaultRowHeight="15.75" x14ac:dyDescent="0.25"/>
  <cols>
    <col min="1" max="1" width="21.140625" style="3" customWidth="1"/>
    <col min="2" max="2" width="14.28515625" style="3" customWidth="1"/>
    <col min="3" max="3" width="18.28515625" style="3" customWidth="1"/>
    <col min="4" max="4" width="12.28515625" style="3" customWidth="1"/>
    <col min="5" max="5" width="11.28515625" style="3" customWidth="1"/>
    <col min="6" max="6" width="13.140625" style="3" customWidth="1"/>
    <col min="7" max="7" width="10.5703125" style="3" customWidth="1"/>
    <col min="8" max="8" width="19.42578125" style="3" customWidth="1"/>
    <col min="9" max="16384" width="9.140625" style="3"/>
  </cols>
  <sheetData>
    <row r="1" spans="1:8" x14ac:dyDescent="0.25">
      <c r="E1" s="15"/>
      <c r="H1" s="15">
        <v>45848.999988425923</v>
      </c>
    </row>
    <row r="2" spans="1:8" x14ac:dyDescent="0.25">
      <c r="A2" s="6" t="s">
        <v>0</v>
      </c>
      <c r="B2" s="6"/>
      <c r="C2" s="7"/>
      <c r="D2" s="7"/>
      <c r="E2" s="8" t="s">
        <v>65</v>
      </c>
      <c r="F2" s="7"/>
      <c r="G2" s="7"/>
      <c r="H2" s="7"/>
    </row>
    <row r="3" spans="1:8" x14ac:dyDescent="0.25">
      <c r="A3" s="3" t="s">
        <v>7</v>
      </c>
      <c r="B3" s="3" t="s">
        <v>70</v>
      </c>
      <c r="C3" s="3" t="s">
        <v>8</v>
      </c>
      <c r="D3" s="3" t="s">
        <v>66</v>
      </c>
      <c r="E3" s="3" t="s">
        <v>67</v>
      </c>
      <c r="F3" s="3" t="s">
        <v>68</v>
      </c>
      <c r="G3" s="3" t="s">
        <v>71</v>
      </c>
      <c r="H3" s="3" t="s">
        <v>69</v>
      </c>
    </row>
    <row r="4" spans="1:8" ht="27" customHeight="1" x14ac:dyDescent="0.25">
      <c r="A4" s="3" t="s">
        <v>72</v>
      </c>
      <c r="C4" s="3" t="s">
        <v>30</v>
      </c>
      <c r="D4" s="9">
        <v>500</v>
      </c>
      <c r="E4" s="9">
        <v>0</v>
      </c>
      <c r="F4" s="16">
        <v>19885</v>
      </c>
      <c r="G4" s="9"/>
      <c r="H4" s="9">
        <v>19960</v>
      </c>
    </row>
    <row r="5" spans="1:8" ht="27" customHeight="1" x14ac:dyDescent="0.25">
      <c r="A5" s="3" t="s">
        <v>34</v>
      </c>
      <c r="C5" s="3" t="s">
        <v>30</v>
      </c>
      <c r="D5" s="9">
        <v>500</v>
      </c>
      <c r="E5" s="9">
        <v>0</v>
      </c>
      <c r="F5" s="16">
        <v>15338.63</v>
      </c>
      <c r="G5" s="9"/>
      <c r="H5" s="9">
        <v>15413.63</v>
      </c>
    </row>
    <row r="6" spans="1:8" ht="27" customHeight="1" x14ac:dyDescent="0.25">
      <c r="A6" s="3" t="s">
        <v>23</v>
      </c>
      <c r="C6" s="3" t="s">
        <v>18</v>
      </c>
      <c r="D6" s="9">
        <v>1050</v>
      </c>
      <c r="E6" s="9">
        <v>0</v>
      </c>
      <c r="F6" s="16">
        <v>43018.63</v>
      </c>
      <c r="G6" s="9"/>
      <c r="H6" s="9">
        <v>43093.63</v>
      </c>
    </row>
    <row r="7" spans="1:8" ht="27" customHeight="1" x14ac:dyDescent="0.25">
      <c r="A7" s="3" t="s">
        <v>73</v>
      </c>
      <c r="C7" s="3" t="s">
        <v>18</v>
      </c>
      <c r="D7" s="9">
        <v>750</v>
      </c>
      <c r="E7" s="9">
        <v>0</v>
      </c>
      <c r="F7" s="16">
        <v>29849.94</v>
      </c>
      <c r="G7" s="9"/>
      <c r="H7" s="9">
        <v>29924.94</v>
      </c>
    </row>
    <row r="8" spans="1:8" ht="27" customHeight="1" x14ac:dyDescent="0.25">
      <c r="A8" s="3" t="s">
        <v>51</v>
      </c>
      <c r="C8" s="3" t="s">
        <v>30</v>
      </c>
      <c r="D8" s="9">
        <v>750</v>
      </c>
      <c r="E8" s="9">
        <v>0</v>
      </c>
      <c r="F8" s="16">
        <v>25517.19</v>
      </c>
      <c r="G8" s="9"/>
      <c r="H8" s="9">
        <v>25592.19</v>
      </c>
    </row>
    <row r="9" spans="1:8" ht="27" customHeight="1" x14ac:dyDescent="0.25">
      <c r="A9" s="3" t="s">
        <v>56</v>
      </c>
      <c r="C9" s="3" t="s">
        <v>30</v>
      </c>
      <c r="D9" s="9">
        <v>1350</v>
      </c>
      <c r="E9" s="9">
        <v>0</v>
      </c>
      <c r="F9" s="16">
        <v>50866.2</v>
      </c>
      <c r="G9" s="9"/>
      <c r="H9" s="9">
        <v>50941.2</v>
      </c>
    </row>
    <row r="10" spans="1:8" ht="27" customHeight="1" x14ac:dyDescent="0.25">
      <c r="A10" s="3" t="s">
        <v>38</v>
      </c>
      <c r="C10" s="3" t="s">
        <v>39</v>
      </c>
      <c r="D10" s="9">
        <v>1050</v>
      </c>
      <c r="E10" s="9">
        <v>0</v>
      </c>
      <c r="F10" s="16">
        <v>43183.06</v>
      </c>
      <c r="G10" s="9"/>
      <c r="H10" s="9">
        <v>43258.06</v>
      </c>
    </row>
    <row r="11" spans="1:8" ht="27" customHeight="1" x14ac:dyDescent="0.25">
      <c r="A11" s="3" t="s">
        <v>45</v>
      </c>
      <c r="C11" s="3" t="s">
        <v>39</v>
      </c>
      <c r="D11" s="9">
        <v>750</v>
      </c>
      <c r="E11" s="9">
        <v>0</v>
      </c>
      <c r="F11" s="16">
        <v>24925</v>
      </c>
      <c r="G11" s="9"/>
      <c r="H11" s="9">
        <v>25000</v>
      </c>
    </row>
    <row r="12" spans="1:8" ht="21" customHeight="1" x14ac:dyDescent="0.25">
      <c r="D12" s="9"/>
      <c r="E12" s="9"/>
      <c r="F12" s="16"/>
      <c r="G12" s="9"/>
      <c r="H12" s="9"/>
    </row>
    <row r="13" spans="1:8" x14ac:dyDescent="0.25">
      <c r="A13" s="10"/>
      <c r="B13" s="10"/>
      <c r="C13" s="10"/>
      <c r="D13" s="11">
        <f>SUM(D4:D11)</f>
        <v>6700</v>
      </c>
      <c r="E13" s="11">
        <f>SUM(E4:E11)</f>
        <v>0</v>
      </c>
      <c r="F13" s="11">
        <f>SUM(F4:F11)</f>
        <v>252583.64999999997</v>
      </c>
      <c r="G13" s="11"/>
      <c r="H13" s="11">
        <f>SUM(H4:H11)</f>
        <v>253183.64999999997</v>
      </c>
    </row>
  </sheetData>
  <mergeCells count="2">
    <mergeCell ref="A2:D2"/>
    <mergeCell ref="E2:H2"/>
  </mergeCells>
  <pageMargins left="0.7" right="0.7" top="0.75" bottom="0.75" header="0.3" footer="0.3"/>
  <pageSetup scale="9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A571-12D8-4C23-A2F4-6A6E7598D80F}">
  <sheetPr>
    <pageSetUpPr fitToPage="1"/>
  </sheetPr>
  <dimension ref="A1:E21"/>
  <sheetViews>
    <sheetView workbookViewId="0">
      <selection activeCell="H23" sqref="G23:H23"/>
    </sheetView>
  </sheetViews>
  <sheetFormatPr defaultRowHeight="15" x14ac:dyDescent="0.25"/>
  <cols>
    <col min="1" max="1" width="12.85546875" customWidth="1"/>
    <col min="2" max="2" width="11.140625" customWidth="1"/>
    <col min="3" max="3" width="20.85546875" customWidth="1"/>
    <col min="4" max="4" width="20.42578125" customWidth="1"/>
    <col min="5" max="5" width="26" customWidth="1"/>
  </cols>
  <sheetData>
    <row r="1" spans="1:5" x14ac:dyDescent="0.25">
      <c r="A1" t="s">
        <v>79</v>
      </c>
      <c r="D1" s="1"/>
      <c r="E1" s="17">
        <v>45848</v>
      </c>
    </row>
    <row r="2" spans="1:5" x14ac:dyDescent="0.25">
      <c r="A2" s="12" t="s">
        <v>0</v>
      </c>
      <c r="B2" s="2"/>
      <c r="C2" s="2"/>
      <c r="D2" s="13" t="s">
        <v>74</v>
      </c>
      <c r="E2" s="2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26</v>
      </c>
      <c r="B4" t="s">
        <v>27</v>
      </c>
      <c r="C4" t="s">
        <v>28</v>
      </c>
      <c r="E4" t="s">
        <v>29</v>
      </c>
    </row>
    <row r="5" spans="1:5" ht="24.95" customHeight="1" x14ac:dyDescent="0.25">
      <c r="A5" t="s">
        <v>43</v>
      </c>
      <c r="B5" t="s">
        <v>27</v>
      </c>
      <c r="C5" t="s">
        <v>44</v>
      </c>
      <c r="E5" t="s">
        <v>45</v>
      </c>
    </row>
    <row r="6" spans="1:5" ht="24.95" customHeight="1" x14ac:dyDescent="0.25">
      <c r="A6" t="s">
        <v>48</v>
      </c>
      <c r="B6" t="s">
        <v>27</v>
      </c>
      <c r="C6" t="s">
        <v>49</v>
      </c>
      <c r="D6" t="s">
        <v>50</v>
      </c>
      <c r="E6" t="s">
        <v>51</v>
      </c>
    </row>
    <row r="7" spans="1:5" ht="15.75" customHeight="1" x14ac:dyDescent="0.25"/>
    <row r="8" spans="1:5" x14ac:dyDescent="0.25">
      <c r="A8" s="14"/>
      <c r="B8" s="14"/>
      <c r="C8" s="14" t="s">
        <v>75</v>
      </c>
      <c r="D8" s="14"/>
      <c r="E8" s="14"/>
    </row>
    <row r="13" spans="1:5" x14ac:dyDescent="0.25">
      <c r="A13" t="s">
        <v>76</v>
      </c>
      <c r="B13" s="18"/>
      <c r="C13" s="18"/>
      <c r="D13" s="18"/>
    </row>
    <row r="17" spans="1:4" x14ac:dyDescent="0.25">
      <c r="A17" t="s">
        <v>77</v>
      </c>
      <c r="B17" s="18"/>
      <c r="C17" s="18"/>
      <c r="D17" s="18"/>
    </row>
    <row r="21" spans="1:4" x14ac:dyDescent="0.25">
      <c r="A21" t="s">
        <v>78</v>
      </c>
      <c r="B21" s="18"/>
      <c r="C21" s="18"/>
    </row>
  </sheetData>
  <mergeCells count="2">
    <mergeCell ref="A2:C2"/>
    <mergeCell ref="D2:E2"/>
  </mergeCells>
  <pageMargins left="0.7" right="0.7" top="0.75" bottom="0.75" header="0.3" footer="0.3"/>
  <pageSetup scale="9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2025-07-10T18:21:23Z</cp:lastPrinted>
  <dcterms:created xsi:type="dcterms:W3CDTF">2025-07-10T17:59:17Z</dcterms:created>
  <dcterms:modified xsi:type="dcterms:W3CDTF">2025-07-10T18:40:10Z</dcterms:modified>
</cp:coreProperties>
</file>