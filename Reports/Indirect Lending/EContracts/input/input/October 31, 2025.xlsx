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11323C89-BBD8-469B-B5BB-D133D39585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" l="1"/>
  <c r="F39" i="1"/>
  <c r="F33" i="1"/>
  <c r="F30" i="1"/>
  <c r="F27" i="1"/>
  <c r="F8" i="1"/>
  <c r="H43" i="1"/>
  <c r="H42" i="1"/>
  <c r="E42" i="1"/>
  <c r="D42" i="1"/>
  <c r="C42" i="1"/>
</calcChain>
</file>

<file path=xl/sharedStrings.xml><?xml version="1.0" encoding="utf-8"?>
<sst xmlns="http://schemas.openxmlformats.org/spreadsheetml/2006/main" count="292" uniqueCount="142">
  <si>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</si>
  <si>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</si>
  <si>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</si>
  <si>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</si>
  <si>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</si>
  <si>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</si>
  <si>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</si>
  <si>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</si>
  <si>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</si>
  <si>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</si>
  <si>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</si>
  <si>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</si>
  <si>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Battles Nissan, LLC</t>
  </si>
  <si>
    <t>Rachel Gorham</t>
  </si>
  <si>
    <t>Neli Oliveira</t>
  </si>
  <si>
    <t>Coastal Volkswagon</t>
  </si>
  <si>
    <t>Colonial South Chevrolet</t>
  </si>
  <si>
    <t>Colonial South Chrysler Dodge</t>
  </si>
  <si>
    <t>Hiller Co Inc</t>
  </si>
  <si>
    <t>Lucchettis Service Center Inc</t>
  </si>
  <si>
    <t>Metro Honda</t>
  </si>
  <si>
    <t>NARSA AMC LLC d/b/a</t>
  </si>
  <si>
    <t>Planet Automotive Sales LLC</t>
  </si>
  <si>
    <t>Planet Subaru</t>
  </si>
  <si>
    <t>RAH FALL RIVER VW, LLC</t>
  </si>
  <si>
    <t>S&amp;E Auto Services and Sales Inc</t>
  </si>
  <si>
    <t>Sandy Motors, Inc</t>
  </si>
  <si>
    <t>T F Murphy Enterprises Inc</t>
  </si>
  <si>
    <t>Tasca Ford Lincoln</t>
  </si>
  <si>
    <t>Column1</t>
  </si>
  <si>
    <t>Column2</t>
  </si>
  <si>
    <t># 23</t>
  </si>
  <si>
    <t>RAE</t>
  </si>
  <si>
    <t>MOFLIP@ICLOUD.COM</t>
  </si>
  <si>
    <t>ENGLAND, MAUREEN</t>
  </si>
  <si>
    <t>Paper</t>
  </si>
  <si>
    <t>DealerTrack</t>
  </si>
  <si>
    <t>151242379</t>
  </si>
  <si>
    <t>STRANG</t>
  </si>
  <si>
    <t>OLIVERSWEET6@GMAIL.COM</t>
  </si>
  <si>
    <t>SWEET, OLIVER</t>
  </si>
  <si>
    <t>E Contract</t>
  </si>
  <si>
    <t>Route One</t>
  </si>
  <si>
    <t>151242361E</t>
  </si>
  <si>
    <t>DOYEL</t>
  </si>
  <si>
    <t>TASHAMARIENTERIORS@GMAIL.COM</t>
  </si>
  <si>
    <t>BESSEMER, NATASHA</t>
  </si>
  <si>
    <t>151242353E</t>
  </si>
  <si>
    <t>PENALOZA</t>
  </si>
  <si>
    <t>19LINDA94@GMAIL.COM</t>
  </si>
  <si>
    <t>PENALOZA RESCH, LINDA</t>
  </si>
  <si>
    <t>151242345E</t>
  </si>
  <si>
    <t>WILMOT</t>
  </si>
  <si>
    <t>PROSKIER54@YAHOO.COM</t>
  </si>
  <si>
    <t>WELLS, DAVID</t>
  </si>
  <si>
    <t>151242337E</t>
  </si>
  <si>
    <t>PROCACCINI</t>
  </si>
  <si>
    <t>MPCHEEKS@AOL.COM</t>
  </si>
  <si>
    <t>PACHECO, MARK</t>
  </si>
  <si>
    <t>151242329</t>
  </si>
  <si>
    <t>ALLI</t>
  </si>
  <si>
    <t>VAN36OD@GMAIL.COM</t>
  </si>
  <si>
    <t>VELDANDI, ANKITH</t>
  </si>
  <si>
    <t>151242311E</t>
  </si>
  <si>
    <t>DE COSTA</t>
  </si>
  <si>
    <t>JOHNSON</t>
  </si>
  <si>
    <t>DANKSEWICZ0@GMAIL.COM</t>
  </si>
  <si>
    <t>DANKSEWICZ, JENNA</t>
  </si>
  <si>
    <t>DANKSEWICZ, CYNTHIA</t>
  </si>
  <si>
    <t>151242296E</t>
  </si>
  <si>
    <t>Harwood</t>
  </si>
  <si>
    <t>mromanuski@gmail.com</t>
  </si>
  <si>
    <t>ROMANUSKI, MATTHEW</t>
  </si>
  <si>
    <t>151242262E</t>
  </si>
  <si>
    <t>HENRIQUEZ</t>
  </si>
  <si>
    <t>gonvalev_gasmina@yahoo.com</t>
  </si>
  <si>
    <t>RODRIGUEZ, JASMINA</t>
  </si>
  <si>
    <t>151242254</t>
  </si>
  <si>
    <t>TRIANDIFILIF</t>
  </si>
  <si>
    <t>MOORE, TRESARA</t>
  </si>
  <si>
    <t>151242246EE</t>
  </si>
  <si>
    <t>POUDRIER</t>
  </si>
  <si>
    <t>ZAARONSON34@GMAIL.COM</t>
  </si>
  <si>
    <t>AARONSON, ZACHARY</t>
  </si>
  <si>
    <t>151242238</t>
  </si>
  <si>
    <t>TIMOTHY_ETHIER@YAHOO.COM</t>
  </si>
  <si>
    <t>ETHIER, TIMOTHY</t>
  </si>
  <si>
    <t>151242220E</t>
  </si>
  <si>
    <t>ASHLEYEMICI@GMAIL.COM</t>
  </si>
  <si>
    <t>MICI, ASHLEY</t>
  </si>
  <si>
    <t>151242212E</t>
  </si>
  <si>
    <t>HOEY</t>
  </si>
  <si>
    <t>FOX, SAMANTHA</t>
  </si>
  <si>
    <t>151242204</t>
  </si>
  <si>
    <t>WALSH</t>
  </si>
  <si>
    <t>RYAN_ENRIGHT@ME.COM</t>
  </si>
  <si>
    <t>ENRIGHT, RYAN</t>
  </si>
  <si>
    <t>151242189E</t>
  </si>
  <si>
    <t>Boyden</t>
  </si>
  <si>
    <t>sandywhite57@icloud.com</t>
  </si>
  <si>
    <t>WHITE, SANDRA</t>
  </si>
  <si>
    <t>151242171E</t>
  </si>
  <si>
    <t>BRISSETTE</t>
  </si>
  <si>
    <t>w.yarush937@gmail.com</t>
  </si>
  <si>
    <t>Yarush, Walker</t>
  </si>
  <si>
    <t>151242155E</t>
  </si>
  <si>
    <t>SYLVIA</t>
  </si>
  <si>
    <t>BOBS06623@GMAIL.COM</t>
  </si>
  <si>
    <t>PERRY, HENRY</t>
  </si>
  <si>
    <t>151242121E</t>
  </si>
  <si>
    <t>Kotovic</t>
  </si>
  <si>
    <t>CHRIS.BANHOLZER@GMAIL.COM</t>
  </si>
  <si>
    <t>BANHOLZER, CHRISTOPHER</t>
  </si>
  <si>
    <t>151242105E</t>
  </si>
  <si>
    <t>Bennett</t>
  </si>
  <si>
    <t>CMZIMMER@GMAIL.COM</t>
  </si>
  <si>
    <t>ZIMMER, COLIN</t>
  </si>
  <si>
    <t>151242064E</t>
  </si>
  <si>
    <t>Perry</t>
  </si>
  <si>
    <t>HWZIMMER@GMAIL.COM</t>
  </si>
  <si>
    <t>ZIMMER, HEATHER</t>
  </si>
  <si>
    <t>151242048E</t>
  </si>
  <si>
    <t>BAKER</t>
  </si>
  <si>
    <t>NOMUDNOLOTUS1073@GMAIL.COM</t>
  </si>
  <si>
    <t>FEGAN, DAVID</t>
  </si>
  <si>
    <t>151242022E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</si>
  <si>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</si>
  <si>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</si>
  <si>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</si>
  <si>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</si>
  <si>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</si>
  <si>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</si>
  <si>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</si>
  <si>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</si>
  <si>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</si>
  <si>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</si>
  <si>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</si>
  <si>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Received By________________________________________________________________________________</t>
  </si>
  <si>
    <t>Delivered BY________________________________________________________________________________</t>
  </si>
  <si>
    <t>Date Delivered______________________________________________________________</t>
  </si>
  <si>
    <t># 5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</si>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</sst>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4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2" fillId="2" borderId="0" xfId="2"/>
    <xf numFmtId="0" fontId="2" fillId="0" borderId="0" xfId="2" applyFill="1"/>
    <xf numFmtId="164" fontId="2" fillId="0" borderId="0" xfId="2" applyNumberFormat="1" applyFill="1" applyAlignment="1">
      <alignment horizontal="right"/>
    </xf>
    <xf numFmtId="0" fontId="1" fillId="0" borderId="0" xfId="2" applyFont="1" applyFill="1" applyAlignment="1">
      <alignment horizontal="left"/>
    </xf>
    <xf numFmtId="0" fontId="2" fillId="0" borderId="0" xfId="2" applyFill="1"/>
    <xf numFmtId="0" fontId="1" fillId="0" borderId="0" xfId="2" applyFont="1" applyFill="1" applyAlignment="1">
      <alignment horizontal="right"/>
    </xf>
    <xf numFmtId="0" fontId="1" fillId="0" borderId="0" xfId="2" applyFont="1" applyFill="1"/>
  </cellXfs>
  <cellStyles count="3">
    <cellStyle name="Normal" xfId="0" builtinId="0"/>
    <cellStyle name="Normal 2" xfId="1" xr:uid="{47414EA6-10BD-448A-91D9-4EEEB730DEC0}"/>
    <cellStyle name="Normal 3" xfId="2" xr:uid="{185BF87D-5BCE-4B57-9BC6-71B00B2555BB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43" totalsRowCount="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31984CD3-1F3E-4F98-9AD5-A9FD4D496EB5}" name="Column1" dataDxfId="23"/>
    <tableColumn id="8" xr3:uid="{852985B7-E1EF-48BA-88C9-53AC9FC5B5CF}" name="Column2" dataDxfId="24"/>
    <tableColumn id="6" xr3:uid="{00000000-0010-0000-0000-000006000000}" name="Contracted Amount Financed" totalsRowFunction="custom">
      <totalsRowFormula>COUNT(H4:H41)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632F82-5133-4640-A7C4-18209435B583}" name="Table_13" displayName="Table_13" ref="A3:L27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1E9BC2-53CA-42D5-AFBE-7341C8CFCEDD}" name="Table_14" displayName="Table_14" ref="A3:E9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workbookViewId="0">
      <pane ySplit="3" topLeftCell="A16" activePane="bottomLeft" state="frozen"/>
      <selection pane="bottomLeft" activeCell="I29" sqref="I29"/>
    </sheetView>
  </sheetViews>
  <sheetFormatPr defaultRowHeight="15" x14ac:dyDescent="0.25"/>
  <cols>
    <col min="1" max="1" width="30.7109375" bestFit="1" customWidth="1"/>
    <col min="2" max="2" width="17.7109375" bestFit="1" customWidth="1"/>
    <col min="3" max="3" width="11.140625" bestFit="1" customWidth="1"/>
    <col min="4" max="4" width="17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45961</v>
      </c>
      <c r="E1" t="s">
        <v>2</v>
      </c>
      <c r="H1" s="4">
        <v>45961.999988425923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29</v>
      </c>
      <c r="G3" t="s">
        <v>30</v>
      </c>
      <c r="H3" t="s">
        <v>9</v>
      </c>
    </row>
    <row r="4" spans="1:8" x14ac:dyDescent="0.25">
      <c r="A4" t="s">
        <v>10</v>
      </c>
      <c r="B4" t="s">
        <v>11</v>
      </c>
      <c r="C4" s="2">
        <v>1500</v>
      </c>
      <c r="D4" s="2">
        <v>0</v>
      </c>
      <c r="E4" s="2">
        <v>79929.25</v>
      </c>
      <c r="F4" s="2"/>
      <c r="G4" s="2"/>
      <c r="H4" s="2">
        <v>80004.25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750</v>
      </c>
      <c r="D6" s="2">
        <v>0</v>
      </c>
      <c r="E6" s="2">
        <v>26562.13</v>
      </c>
      <c r="F6" s="2"/>
      <c r="G6" s="2"/>
      <c r="H6" s="2">
        <v>26637.13</v>
      </c>
    </row>
    <row r="7" spans="1:8" x14ac:dyDescent="0.25">
      <c r="A7" t="s">
        <v>12</v>
      </c>
      <c r="B7" t="s">
        <v>13</v>
      </c>
      <c r="C7" s="2">
        <v>850</v>
      </c>
      <c r="D7" s="2">
        <v>0</v>
      </c>
      <c r="E7" s="2">
        <v>30295.38</v>
      </c>
      <c r="F7" s="2"/>
      <c r="G7" s="2"/>
      <c r="H7" s="2">
        <v>30370.38</v>
      </c>
    </row>
    <row r="8" spans="1:8" x14ac:dyDescent="0.25">
      <c r="A8" t="s">
        <v>12</v>
      </c>
      <c r="B8" t="s">
        <v>14</v>
      </c>
      <c r="C8" s="2">
        <v>300</v>
      </c>
      <c r="D8" s="2">
        <v>0</v>
      </c>
      <c r="E8" s="2">
        <v>9996.25</v>
      </c>
      <c r="F8" s="2">
        <f>SUM(E6:E8)</f>
        <v>66853.760000000009</v>
      </c>
      <c r="G8" s="2"/>
      <c r="H8" s="2">
        <v>10071.25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14</v>
      </c>
      <c r="C10" s="2">
        <v>750</v>
      </c>
      <c r="D10" s="2">
        <v>0</v>
      </c>
      <c r="E10" s="2">
        <v>28030.54</v>
      </c>
      <c r="F10" s="2"/>
      <c r="G10" s="2"/>
      <c r="H10" s="2">
        <v>28105.54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11</v>
      </c>
      <c r="C12" s="2">
        <v>300</v>
      </c>
      <c r="D12" s="2">
        <v>0</v>
      </c>
      <c r="E12" s="2">
        <v>11167.81</v>
      </c>
      <c r="F12" s="2"/>
      <c r="G12" s="2"/>
      <c r="H12" s="2">
        <v>11242.81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950</v>
      </c>
      <c r="D14" s="2">
        <v>0</v>
      </c>
      <c r="E14" s="2">
        <v>37118.22</v>
      </c>
      <c r="F14" s="2"/>
      <c r="G14" s="2"/>
      <c r="H14" s="2">
        <v>37193.22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11</v>
      </c>
      <c r="C16" s="2">
        <v>1350</v>
      </c>
      <c r="D16" s="2">
        <v>0</v>
      </c>
      <c r="E16" s="2">
        <v>64013.33</v>
      </c>
      <c r="F16" s="2"/>
      <c r="G16" s="2"/>
      <c r="H16" s="2">
        <v>64088.33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14</v>
      </c>
      <c r="C18" s="2">
        <v>950</v>
      </c>
      <c r="D18" s="2">
        <v>0</v>
      </c>
      <c r="E18" s="2">
        <v>39900.5</v>
      </c>
      <c r="F18" s="2"/>
      <c r="G18" s="2"/>
      <c r="H18" s="2">
        <v>39975.5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20</v>
      </c>
      <c r="B20" t="s">
        <v>13</v>
      </c>
      <c r="C20" s="2">
        <v>750</v>
      </c>
      <c r="D20" s="2">
        <v>0</v>
      </c>
      <c r="E20" s="2">
        <v>25509.55</v>
      </c>
      <c r="F20" s="2"/>
      <c r="G20" s="2"/>
      <c r="H20" s="2">
        <v>25584.55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21</v>
      </c>
      <c r="B22" t="s">
        <v>14</v>
      </c>
      <c r="C22" s="2">
        <v>850</v>
      </c>
      <c r="D22" s="2">
        <v>0</v>
      </c>
      <c r="E22" s="2">
        <v>29928.44</v>
      </c>
      <c r="F22" s="2"/>
      <c r="G22" s="2"/>
      <c r="H22" s="2">
        <v>30003.439999999999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22</v>
      </c>
      <c r="B24" t="s">
        <v>13</v>
      </c>
      <c r="C24" s="2">
        <v>850</v>
      </c>
      <c r="D24" s="2">
        <v>0</v>
      </c>
      <c r="E24" s="2">
        <v>30284.51</v>
      </c>
      <c r="F24" s="2"/>
      <c r="G24" s="2"/>
      <c r="H24" s="2">
        <v>30359.51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23</v>
      </c>
      <c r="B26" t="s">
        <v>11</v>
      </c>
      <c r="C26" s="2">
        <v>650</v>
      </c>
      <c r="D26" s="2">
        <v>0</v>
      </c>
      <c r="E26" s="2">
        <v>22938.25</v>
      </c>
      <c r="F26" s="2"/>
      <c r="G26" s="2"/>
      <c r="H26" s="2">
        <v>23013.25</v>
      </c>
    </row>
    <row r="27" spans="1:8" x14ac:dyDescent="0.25">
      <c r="A27" t="s">
        <v>23</v>
      </c>
      <c r="B27" t="s">
        <v>11</v>
      </c>
      <c r="C27" s="2">
        <v>650</v>
      </c>
      <c r="D27" s="2">
        <v>0</v>
      </c>
      <c r="E27" s="2">
        <v>23469.5</v>
      </c>
      <c r="F27" s="2">
        <f>SUM(E26:E27)</f>
        <v>46407.75</v>
      </c>
      <c r="G27" s="2"/>
      <c r="H27" s="2">
        <v>23544.5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24</v>
      </c>
      <c r="B29" t="s">
        <v>11</v>
      </c>
      <c r="C29" s="2">
        <v>650</v>
      </c>
      <c r="D29" s="2">
        <v>0</v>
      </c>
      <c r="E29" s="2">
        <v>24546.63</v>
      </c>
      <c r="F29" s="2"/>
      <c r="G29" s="2"/>
      <c r="H29" s="2">
        <v>24621.63</v>
      </c>
    </row>
    <row r="30" spans="1:8" x14ac:dyDescent="0.25">
      <c r="A30" t="s">
        <v>24</v>
      </c>
      <c r="B30" t="s">
        <v>14</v>
      </c>
      <c r="C30" s="2">
        <v>650</v>
      </c>
      <c r="D30" s="2">
        <v>0</v>
      </c>
      <c r="E30" s="2">
        <v>23470.19</v>
      </c>
      <c r="F30" s="2">
        <f>SUM(E29:E30)</f>
        <v>48016.82</v>
      </c>
      <c r="G30" s="2"/>
      <c r="H30" s="2">
        <v>23545.19</v>
      </c>
    </row>
    <row r="31" spans="1:8" x14ac:dyDescent="0.25">
      <c r="C31" s="2"/>
      <c r="D31" s="2"/>
      <c r="E31" s="2"/>
      <c r="F31" s="2"/>
      <c r="G31" s="2"/>
      <c r="H31" s="2"/>
    </row>
    <row r="32" spans="1:8" x14ac:dyDescent="0.25">
      <c r="A32" t="s">
        <v>25</v>
      </c>
      <c r="B32" t="s">
        <v>13</v>
      </c>
      <c r="C32" s="2">
        <v>750</v>
      </c>
      <c r="D32" s="2">
        <v>0</v>
      </c>
      <c r="E32" s="2">
        <v>27088.31</v>
      </c>
      <c r="F32" s="2"/>
      <c r="G32" s="2"/>
      <c r="H32" s="2">
        <v>27163.31</v>
      </c>
    </row>
    <row r="33" spans="1:8" x14ac:dyDescent="0.25">
      <c r="A33" t="s">
        <v>25</v>
      </c>
      <c r="B33" t="s">
        <v>14</v>
      </c>
      <c r="C33" s="2">
        <v>750</v>
      </c>
      <c r="D33" s="2">
        <v>0</v>
      </c>
      <c r="E33" s="2">
        <v>26421.06</v>
      </c>
      <c r="F33" s="2">
        <f>SUM(E32:E33)</f>
        <v>53509.37</v>
      </c>
      <c r="G33" s="2"/>
      <c r="H33" s="2">
        <v>26496.06</v>
      </c>
    </row>
    <row r="34" spans="1:8" x14ac:dyDescent="0.25">
      <c r="C34" s="2"/>
      <c r="D34" s="2"/>
      <c r="E34" s="2"/>
      <c r="F34" s="2"/>
      <c r="G34" s="2"/>
      <c r="H34" s="2"/>
    </row>
    <row r="35" spans="1:8" x14ac:dyDescent="0.25">
      <c r="A35" t="s">
        <v>26</v>
      </c>
      <c r="B35" t="s">
        <v>14</v>
      </c>
      <c r="C35" s="2">
        <v>500</v>
      </c>
      <c r="D35" s="2">
        <v>0</v>
      </c>
      <c r="E35" s="2">
        <v>16955.189999999999</v>
      </c>
      <c r="F35" s="2"/>
      <c r="G35" s="2"/>
      <c r="H35" s="2">
        <v>17030.189999999999</v>
      </c>
    </row>
    <row r="36" spans="1:8" x14ac:dyDescent="0.25">
      <c r="C36" s="2"/>
      <c r="D36" s="2"/>
      <c r="E36" s="2"/>
      <c r="F36" s="2"/>
      <c r="G36" s="2"/>
      <c r="H36" s="2"/>
    </row>
    <row r="37" spans="1:8" x14ac:dyDescent="0.25">
      <c r="A37" t="s">
        <v>27</v>
      </c>
      <c r="B37" t="s">
        <v>13</v>
      </c>
      <c r="C37" s="2">
        <v>950</v>
      </c>
      <c r="D37" s="2">
        <v>0</v>
      </c>
      <c r="E37" s="2">
        <v>35874.69</v>
      </c>
      <c r="F37" s="2"/>
      <c r="G37" s="2"/>
      <c r="H37" s="2">
        <v>35949.69</v>
      </c>
    </row>
    <row r="38" spans="1:8" x14ac:dyDescent="0.25">
      <c r="A38" t="s">
        <v>27</v>
      </c>
      <c r="B38" t="s">
        <v>13</v>
      </c>
      <c r="C38" s="2">
        <v>1050</v>
      </c>
      <c r="D38" s="2">
        <v>0</v>
      </c>
      <c r="E38" s="2">
        <v>41668.129999999997</v>
      </c>
      <c r="F38" s="2"/>
      <c r="G38" s="2"/>
      <c r="H38" s="2">
        <v>41743.129999999997</v>
      </c>
    </row>
    <row r="39" spans="1:8" x14ac:dyDescent="0.25">
      <c r="A39" t="s">
        <v>27</v>
      </c>
      <c r="B39" t="s">
        <v>13</v>
      </c>
      <c r="C39" s="2">
        <v>950</v>
      </c>
      <c r="D39" s="2">
        <v>0</v>
      </c>
      <c r="E39" s="2">
        <v>36899.379999999997</v>
      </c>
      <c r="F39" s="2">
        <f>SUM(E37:E39)</f>
        <v>114442.20000000001</v>
      </c>
      <c r="G39" s="2"/>
      <c r="H39" s="2">
        <v>36974.379999999997</v>
      </c>
    </row>
    <row r="40" spans="1:8" x14ac:dyDescent="0.25">
      <c r="C40" s="2"/>
      <c r="D40" s="2"/>
      <c r="E40" s="2"/>
      <c r="F40" s="2"/>
      <c r="G40" s="2"/>
      <c r="H40" s="2"/>
    </row>
    <row r="41" spans="1:8" x14ac:dyDescent="0.25">
      <c r="A41" t="s">
        <v>28</v>
      </c>
      <c r="B41" t="s">
        <v>13</v>
      </c>
      <c r="C41" s="2">
        <v>750</v>
      </c>
      <c r="D41" s="2">
        <v>0</v>
      </c>
      <c r="E41" s="2">
        <v>27171.79</v>
      </c>
      <c r="F41" s="2"/>
      <c r="G41" s="2"/>
      <c r="H41" s="2">
        <v>27246.79</v>
      </c>
    </row>
    <row r="42" spans="1:8" x14ac:dyDescent="0.25">
      <c r="A42" s="1"/>
      <c r="B42" s="1"/>
      <c r="C42" s="3">
        <f>SUM(C4:C41)</f>
        <v>18450</v>
      </c>
      <c r="D42" s="3">
        <f>SUM(D4:D41)</f>
        <v>0</v>
      </c>
      <c r="E42" s="3">
        <f>SUM(E4:E41)</f>
        <v>719239.03</v>
      </c>
      <c r="F42" s="3"/>
      <c r="G42" s="3"/>
      <c r="H42" s="3">
        <f>SUM(H4:H41)</f>
        <v>720964.03</v>
      </c>
    </row>
    <row r="43" spans="1:8" x14ac:dyDescent="0.25">
      <c r="H43">
        <f>COUNT(H4:H41)</f>
        <v>23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1537-0F2A-416F-B448-8C19966DD225}">
  <dimension ref="A1:M31"/>
  <sheetViews>
    <sheetView workbookViewId="0">
      <pane ySplit="3" topLeftCell="A18" activePane="bottomLeft" state="frozen"/>
      <selection pane="bottomLeft" activeCell="A4" sqref="A4:A26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6.7109375" style="8" bestFit="1" customWidth="1"/>
    <col min="5" max="5" width="20.28515625" style="8" bestFit="1" customWidth="1"/>
    <col min="6" max="6" width="30.7109375" style="8" bestFit="1" customWidth="1"/>
    <col min="7" max="7" width="17.7109375" style="8" bestFit="1" customWidth="1"/>
    <col min="8" max="8" width="17.140625" style="8" bestFit="1" customWidth="1"/>
    <col min="9" max="9" width="34.85546875" style="8" bestFit="1" customWidth="1"/>
    <col min="10" max="10" width="18.42578125" style="8" bestFit="1" customWidth="1"/>
    <col min="11" max="11" width="17.14062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45961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136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135</v>
      </c>
      <c r="B3" s="9" t="s">
        <v>134</v>
      </c>
      <c r="C3" s="9" t="s">
        <v>133</v>
      </c>
      <c r="D3" s="9" t="s">
        <v>132</v>
      </c>
      <c r="E3" s="9" t="s">
        <v>131</v>
      </c>
      <c r="F3" s="9" t="s">
        <v>4</v>
      </c>
      <c r="G3" s="9" t="s">
        <v>5</v>
      </c>
      <c r="H3" s="9" t="s">
        <v>130</v>
      </c>
      <c r="I3" s="9" t="s">
        <v>129</v>
      </c>
      <c r="J3" s="9" t="s">
        <v>128</v>
      </c>
      <c r="K3" s="9" t="s">
        <v>127</v>
      </c>
      <c r="L3" s="9" t="s">
        <v>126</v>
      </c>
      <c r="M3" s="9"/>
    </row>
    <row r="4" spans="1:13" ht="35.1" customHeight="1" x14ac:dyDescent="0.25">
      <c r="A4" s="9" t="s">
        <v>125</v>
      </c>
      <c r="B4" s="9" t="s">
        <v>36</v>
      </c>
      <c r="C4" s="9" t="s">
        <v>41</v>
      </c>
      <c r="D4" s="9" t="s">
        <v>124</v>
      </c>
      <c r="E4" s="9"/>
      <c r="F4" s="9" t="s">
        <v>12</v>
      </c>
      <c r="G4" s="9" t="s">
        <v>11</v>
      </c>
      <c r="H4" s="14">
        <v>26637.13</v>
      </c>
      <c r="I4" s="9" t="s">
        <v>123</v>
      </c>
      <c r="J4" s="9"/>
      <c r="K4" s="9" t="s">
        <v>122</v>
      </c>
      <c r="L4" s="9"/>
      <c r="M4" s="9"/>
    </row>
    <row r="5" spans="1:13" ht="35.1" customHeight="1" x14ac:dyDescent="0.25">
      <c r="A5" s="9" t="s">
        <v>121</v>
      </c>
      <c r="B5" s="9" t="s">
        <v>36</v>
      </c>
      <c r="C5" s="9" t="s">
        <v>41</v>
      </c>
      <c r="D5" s="9" t="s">
        <v>120</v>
      </c>
      <c r="E5" s="9"/>
      <c r="F5" s="9" t="s">
        <v>23</v>
      </c>
      <c r="G5" s="9" t="s">
        <v>11</v>
      </c>
      <c r="H5" s="14">
        <v>23544.5</v>
      </c>
      <c r="I5" s="9" t="s">
        <v>119</v>
      </c>
      <c r="J5" s="9"/>
      <c r="K5" s="9" t="s">
        <v>118</v>
      </c>
      <c r="L5" s="9"/>
      <c r="M5" s="9"/>
    </row>
    <row r="6" spans="1:13" ht="35.1" customHeight="1" x14ac:dyDescent="0.25">
      <c r="A6" s="9" t="s">
        <v>117</v>
      </c>
      <c r="B6" s="9" t="s">
        <v>36</v>
      </c>
      <c r="C6" s="9" t="s">
        <v>41</v>
      </c>
      <c r="D6" s="9" t="s">
        <v>116</v>
      </c>
      <c r="E6" s="9"/>
      <c r="F6" s="9" t="s">
        <v>23</v>
      </c>
      <c r="G6" s="9" t="s">
        <v>11</v>
      </c>
      <c r="H6" s="14">
        <v>23013.25</v>
      </c>
      <c r="I6" s="9" t="s">
        <v>115</v>
      </c>
      <c r="J6" s="9"/>
      <c r="K6" s="9" t="s">
        <v>114</v>
      </c>
      <c r="L6" s="9"/>
      <c r="M6" s="9"/>
    </row>
    <row r="7" spans="1:13" ht="35.1" customHeight="1" x14ac:dyDescent="0.25">
      <c r="A7" s="9" t="s">
        <v>113</v>
      </c>
      <c r="B7" s="9" t="s">
        <v>36</v>
      </c>
      <c r="C7" s="9" t="s">
        <v>41</v>
      </c>
      <c r="D7" s="9" t="s">
        <v>112</v>
      </c>
      <c r="E7" s="9"/>
      <c r="F7" s="9" t="s">
        <v>24</v>
      </c>
      <c r="G7" s="9" t="s">
        <v>11</v>
      </c>
      <c r="H7" s="14">
        <v>24621.63</v>
      </c>
      <c r="I7" s="9" t="s">
        <v>111</v>
      </c>
      <c r="J7" s="9"/>
      <c r="K7" s="9" t="s">
        <v>110</v>
      </c>
      <c r="L7" s="9"/>
      <c r="M7" s="9"/>
    </row>
    <row r="8" spans="1:13" ht="35.1" customHeight="1" x14ac:dyDescent="0.25">
      <c r="A8" s="9" t="s">
        <v>109</v>
      </c>
      <c r="B8" s="9" t="s">
        <v>42</v>
      </c>
      <c r="C8" s="9" t="s">
        <v>41</v>
      </c>
      <c r="D8" s="9" t="s">
        <v>108</v>
      </c>
      <c r="E8" s="9"/>
      <c r="F8" s="9" t="s">
        <v>16</v>
      </c>
      <c r="G8" s="9" t="s">
        <v>11</v>
      </c>
      <c r="H8" s="14">
        <v>11242.81</v>
      </c>
      <c r="I8" s="9" t="s">
        <v>107</v>
      </c>
      <c r="J8" s="9"/>
      <c r="K8" s="9" t="s">
        <v>106</v>
      </c>
      <c r="L8" s="9"/>
      <c r="M8" s="9"/>
    </row>
    <row r="9" spans="1:13" ht="35.1" customHeight="1" x14ac:dyDescent="0.25">
      <c r="A9" s="9" t="s">
        <v>105</v>
      </c>
      <c r="B9" s="9" t="s">
        <v>42</v>
      </c>
      <c r="C9" s="9" t="s">
        <v>41</v>
      </c>
      <c r="D9" s="9" t="s">
        <v>104</v>
      </c>
      <c r="E9" s="9"/>
      <c r="F9" s="9" t="s">
        <v>10</v>
      </c>
      <c r="G9" s="9" t="s">
        <v>11</v>
      </c>
      <c r="H9" s="14">
        <v>80004.25</v>
      </c>
      <c r="I9" s="9" t="s">
        <v>103</v>
      </c>
      <c r="J9" s="9"/>
      <c r="K9" s="9" t="s">
        <v>102</v>
      </c>
      <c r="L9" s="9"/>
      <c r="M9" s="9"/>
    </row>
    <row r="10" spans="1:13" ht="35.1" customHeight="1" x14ac:dyDescent="0.25">
      <c r="A10" s="9" t="s">
        <v>101</v>
      </c>
      <c r="B10" s="9" t="s">
        <v>42</v>
      </c>
      <c r="C10" s="9" t="s">
        <v>41</v>
      </c>
      <c r="D10" s="9" t="s">
        <v>100</v>
      </c>
      <c r="E10" s="9"/>
      <c r="F10" s="9" t="s">
        <v>18</v>
      </c>
      <c r="G10" s="9" t="s">
        <v>11</v>
      </c>
      <c r="H10" s="14">
        <v>64088.33</v>
      </c>
      <c r="I10" s="9" t="s">
        <v>99</v>
      </c>
      <c r="J10" s="9"/>
      <c r="K10" s="9" t="s">
        <v>98</v>
      </c>
      <c r="L10" s="9"/>
      <c r="M10" s="9"/>
    </row>
    <row r="11" spans="1:13" ht="35.1" customHeight="1" x14ac:dyDescent="0.25">
      <c r="A11" s="9" t="s">
        <v>97</v>
      </c>
      <c r="B11" s="9" t="s">
        <v>36</v>
      </c>
      <c r="C11" s="9" t="s">
        <v>41</v>
      </c>
      <c r="D11" s="9" t="s">
        <v>96</v>
      </c>
      <c r="E11" s="9"/>
      <c r="F11" s="9" t="s">
        <v>15</v>
      </c>
      <c r="G11" s="9" t="s">
        <v>14</v>
      </c>
      <c r="H11" s="14">
        <v>28105.54</v>
      </c>
      <c r="I11" s="9" t="s">
        <v>95</v>
      </c>
      <c r="J11" s="9"/>
      <c r="K11" s="9" t="s">
        <v>94</v>
      </c>
      <c r="L11" s="9"/>
      <c r="M11" s="9"/>
    </row>
    <row r="12" spans="1:13" ht="35.1" customHeight="1" x14ac:dyDescent="0.25">
      <c r="A12" s="9" t="s">
        <v>93</v>
      </c>
      <c r="B12" s="9" t="s">
        <v>36</v>
      </c>
      <c r="C12" s="9" t="s">
        <v>35</v>
      </c>
      <c r="D12" s="9" t="s">
        <v>92</v>
      </c>
      <c r="E12" s="9"/>
      <c r="F12" s="9" t="s">
        <v>25</v>
      </c>
      <c r="G12" s="9" t="s">
        <v>14</v>
      </c>
      <c r="H12" s="14">
        <v>26496.06</v>
      </c>
      <c r="I12" s="9"/>
      <c r="J12" s="9"/>
      <c r="K12" s="9" t="s">
        <v>91</v>
      </c>
      <c r="L12" s="9"/>
      <c r="M12" s="9"/>
    </row>
    <row r="13" spans="1:13" ht="35.1" customHeight="1" x14ac:dyDescent="0.25">
      <c r="A13" s="9" t="s">
        <v>90</v>
      </c>
      <c r="B13" s="9" t="s">
        <v>42</v>
      </c>
      <c r="C13" s="9" t="s">
        <v>41</v>
      </c>
      <c r="D13" s="9" t="s">
        <v>89</v>
      </c>
      <c r="E13" s="9"/>
      <c r="F13" s="9" t="s">
        <v>19</v>
      </c>
      <c r="G13" s="9" t="s">
        <v>14</v>
      </c>
      <c r="H13" s="14">
        <v>39975.5</v>
      </c>
      <c r="I13" s="9" t="s">
        <v>88</v>
      </c>
      <c r="J13" s="9"/>
      <c r="K13" s="9" t="s">
        <v>65</v>
      </c>
      <c r="L13" s="9"/>
      <c r="M13" s="9"/>
    </row>
    <row r="14" spans="1:13" ht="35.1" customHeight="1" x14ac:dyDescent="0.25">
      <c r="A14" s="9" t="s">
        <v>87</v>
      </c>
      <c r="B14" s="9" t="s">
        <v>36</v>
      </c>
      <c r="C14" s="9" t="s">
        <v>41</v>
      </c>
      <c r="D14" s="9" t="s">
        <v>86</v>
      </c>
      <c r="E14" s="9"/>
      <c r="F14" s="9" t="s">
        <v>12</v>
      </c>
      <c r="G14" s="9" t="s">
        <v>14</v>
      </c>
      <c r="H14" s="14">
        <v>10071.25</v>
      </c>
      <c r="I14" s="9" t="s">
        <v>85</v>
      </c>
      <c r="J14" s="9"/>
      <c r="K14" s="9" t="s">
        <v>65</v>
      </c>
      <c r="L14" s="9"/>
      <c r="M14" s="9"/>
    </row>
    <row r="15" spans="1:13" ht="35.1" customHeight="1" x14ac:dyDescent="0.25">
      <c r="A15" s="9" t="s">
        <v>84</v>
      </c>
      <c r="B15" s="9" t="s">
        <v>36</v>
      </c>
      <c r="C15" s="9" t="s">
        <v>35</v>
      </c>
      <c r="D15" s="9" t="s">
        <v>83</v>
      </c>
      <c r="E15" s="9"/>
      <c r="F15" s="9" t="s">
        <v>26</v>
      </c>
      <c r="G15" s="9" t="s">
        <v>14</v>
      </c>
      <c r="H15" s="14">
        <v>17030.189999999999</v>
      </c>
      <c r="I15" s="9" t="s">
        <v>82</v>
      </c>
      <c r="J15" s="9"/>
      <c r="K15" s="9" t="s">
        <v>81</v>
      </c>
      <c r="L15" s="9"/>
      <c r="M15" s="9"/>
    </row>
    <row r="16" spans="1:13" ht="35.1" customHeight="1" x14ac:dyDescent="0.25">
      <c r="A16" s="9" t="s">
        <v>80</v>
      </c>
      <c r="B16" s="9" t="s">
        <v>36</v>
      </c>
      <c r="C16" s="9" t="s">
        <v>41</v>
      </c>
      <c r="D16" s="9" t="s">
        <v>79</v>
      </c>
      <c r="E16" s="9"/>
      <c r="F16" s="9" t="s">
        <v>24</v>
      </c>
      <c r="G16" s="9" t="s">
        <v>14</v>
      </c>
      <c r="H16" s="14">
        <v>23545.19</v>
      </c>
      <c r="I16" s="9"/>
      <c r="J16" s="9"/>
      <c r="K16" s="9" t="s">
        <v>78</v>
      </c>
      <c r="L16" s="9"/>
      <c r="M16" s="9"/>
    </row>
    <row r="17" spans="1:13" ht="35.1" customHeight="1" x14ac:dyDescent="0.25">
      <c r="A17" s="9" t="s">
        <v>77</v>
      </c>
      <c r="B17" s="9" t="s">
        <v>36</v>
      </c>
      <c r="C17" s="9" t="s">
        <v>35</v>
      </c>
      <c r="D17" s="9" t="s">
        <v>76</v>
      </c>
      <c r="E17" s="9"/>
      <c r="F17" s="9" t="s">
        <v>21</v>
      </c>
      <c r="G17" s="9" t="s">
        <v>14</v>
      </c>
      <c r="H17" s="14">
        <v>30003.439999999999</v>
      </c>
      <c r="I17" s="9" t="s">
        <v>75</v>
      </c>
      <c r="J17" s="9"/>
      <c r="K17" s="9" t="s">
        <v>74</v>
      </c>
      <c r="L17" s="9"/>
      <c r="M17" s="9"/>
    </row>
    <row r="18" spans="1:13" ht="35.1" customHeight="1" x14ac:dyDescent="0.25">
      <c r="A18" s="9" t="s">
        <v>73</v>
      </c>
      <c r="B18" s="9" t="s">
        <v>42</v>
      </c>
      <c r="C18" s="9" t="s">
        <v>41</v>
      </c>
      <c r="D18" s="9" t="s">
        <v>72</v>
      </c>
      <c r="E18" s="9"/>
      <c r="F18" s="9" t="s">
        <v>17</v>
      </c>
      <c r="G18" s="9" t="s">
        <v>11</v>
      </c>
      <c r="H18" s="14">
        <v>37193.22</v>
      </c>
      <c r="I18" s="9" t="s">
        <v>71</v>
      </c>
      <c r="J18" s="9"/>
      <c r="K18" s="9" t="s">
        <v>70</v>
      </c>
      <c r="L18" s="9"/>
      <c r="M18" s="9"/>
    </row>
    <row r="19" spans="1:13" ht="35.1" customHeight="1" x14ac:dyDescent="0.25">
      <c r="A19" s="9" t="s">
        <v>69</v>
      </c>
      <c r="B19" s="9" t="s">
        <v>42</v>
      </c>
      <c r="C19" s="9" t="s">
        <v>41</v>
      </c>
      <c r="D19" s="9" t="s">
        <v>68</v>
      </c>
      <c r="E19" s="9" t="s">
        <v>67</v>
      </c>
      <c r="F19" s="9" t="s">
        <v>27</v>
      </c>
      <c r="G19" s="9" t="s">
        <v>13</v>
      </c>
      <c r="H19" s="14">
        <v>41743.129999999997</v>
      </c>
      <c r="I19" s="9" t="s">
        <v>66</v>
      </c>
      <c r="J19" s="9"/>
      <c r="K19" s="9" t="s">
        <v>65</v>
      </c>
      <c r="L19" s="9" t="s">
        <v>64</v>
      </c>
      <c r="M19" s="9"/>
    </row>
    <row r="20" spans="1:13" ht="35.1" customHeight="1" x14ac:dyDescent="0.25">
      <c r="A20" s="9" t="s">
        <v>63</v>
      </c>
      <c r="B20" s="9" t="s">
        <v>36</v>
      </c>
      <c r="C20" s="9" t="s">
        <v>41</v>
      </c>
      <c r="D20" s="9" t="s">
        <v>62</v>
      </c>
      <c r="E20" s="9"/>
      <c r="F20" s="9" t="s">
        <v>20</v>
      </c>
      <c r="G20" s="9" t="s">
        <v>13</v>
      </c>
      <c r="H20" s="14">
        <v>25584.55</v>
      </c>
      <c r="I20" s="9" t="s">
        <v>61</v>
      </c>
      <c r="J20" s="9"/>
      <c r="K20" s="9" t="s">
        <v>60</v>
      </c>
      <c r="L20" s="9"/>
      <c r="M20" s="9"/>
    </row>
    <row r="21" spans="1:13" ht="35.1" customHeight="1" x14ac:dyDescent="0.25">
      <c r="A21" s="9" t="s">
        <v>59</v>
      </c>
      <c r="B21" s="9" t="s">
        <v>36</v>
      </c>
      <c r="C21" s="9" t="s">
        <v>35</v>
      </c>
      <c r="D21" s="9" t="s">
        <v>58</v>
      </c>
      <c r="E21" s="9"/>
      <c r="F21" s="9" t="s">
        <v>22</v>
      </c>
      <c r="G21" s="9" t="s">
        <v>13</v>
      </c>
      <c r="H21" s="14">
        <v>30359.51</v>
      </c>
      <c r="I21" s="9" t="s">
        <v>57</v>
      </c>
      <c r="J21" s="9"/>
      <c r="K21" s="9" t="s">
        <v>56</v>
      </c>
      <c r="L21" s="9"/>
      <c r="M21" s="9"/>
    </row>
    <row r="22" spans="1:13" ht="35.1" customHeight="1" x14ac:dyDescent="0.25">
      <c r="A22" s="9" t="s">
        <v>55</v>
      </c>
      <c r="B22" s="9" t="s">
        <v>36</v>
      </c>
      <c r="C22" s="9" t="s">
        <v>41</v>
      </c>
      <c r="D22" s="9" t="s">
        <v>54</v>
      </c>
      <c r="E22" s="9"/>
      <c r="F22" s="9" t="s">
        <v>12</v>
      </c>
      <c r="G22" s="9" t="s">
        <v>13</v>
      </c>
      <c r="H22" s="14">
        <v>30370.38</v>
      </c>
      <c r="I22" s="9" t="s">
        <v>53</v>
      </c>
      <c r="J22" s="9"/>
      <c r="K22" s="9" t="s">
        <v>52</v>
      </c>
      <c r="L22" s="9"/>
      <c r="M22" s="9"/>
    </row>
    <row r="23" spans="1:13" ht="35.1" customHeight="1" x14ac:dyDescent="0.25">
      <c r="A23" s="9" t="s">
        <v>51</v>
      </c>
      <c r="B23" s="9" t="s">
        <v>42</v>
      </c>
      <c r="C23" s="9" t="s">
        <v>41</v>
      </c>
      <c r="D23" s="9" t="s">
        <v>50</v>
      </c>
      <c r="E23" s="9"/>
      <c r="F23" s="9" t="s">
        <v>28</v>
      </c>
      <c r="G23" s="9" t="s">
        <v>13</v>
      </c>
      <c r="H23" s="14">
        <v>27246.79</v>
      </c>
      <c r="I23" s="9" t="s">
        <v>49</v>
      </c>
      <c r="J23" s="9"/>
      <c r="K23" s="9" t="s">
        <v>48</v>
      </c>
      <c r="L23" s="9"/>
      <c r="M23" s="9"/>
    </row>
    <row r="24" spans="1:13" ht="35.1" customHeight="1" x14ac:dyDescent="0.25">
      <c r="A24" s="9" t="s">
        <v>47</v>
      </c>
      <c r="B24" s="9" t="s">
        <v>42</v>
      </c>
      <c r="C24" s="9" t="s">
        <v>41</v>
      </c>
      <c r="D24" s="9" t="s">
        <v>46</v>
      </c>
      <c r="E24" s="9"/>
      <c r="F24" s="9" t="s">
        <v>27</v>
      </c>
      <c r="G24" s="9" t="s">
        <v>13</v>
      </c>
      <c r="H24" s="14">
        <v>35949.69</v>
      </c>
      <c r="I24" s="9" t="s">
        <v>45</v>
      </c>
      <c r="J24" s="9"/>
      <c r="K24" s="9" t="s">
        <v>44</v>
      </c>
      <c r="L24" s="9"/>
      <c r="M24" s="9"/>
    </row>
    <row r="25" spans="1:13" ht="35.1" customHeight="1" x14ac:dyDescent="0.25">
      <c r="A25" s="9" t="s">
        <v>43</v>
      </c>
      <c r="B25" s="9" t="s">
        <v>42</v>
      </c>
      <c r="C25" s="9" t="s">
        <v>41</v>
      </c>
      <c r="D25" s="9" t="s">
        <v>40</v>
      </c>
      <c r="E25" s="9"/>
      <c r="F25" s="9" t="s">
        <v>27</v>
      </c>
      <c r="G25" s="9" t="s">
        <v>13</v>
      </c>
      <c r="H25" s="14">
        <v>36974.379999999997</v>
      </c>
      <c r="I25" s="9" t="s">
        <v>39</v>
      </c>
      <c r="J25" s="9"/>
      <c r="K25" s="9" t="s">
        <v>38</v>
      </c>
      <c r="L25" s="9"/>
      <c r="M25" s="9"/>
    </row>
    <row r="26" spans="1:13" ht="35.1" customHeight="1" x14ac:dyDescent="0.25">
      <c r="A26" s="9" t="s">
        <v>37</v>
      </c>
      <c r="B26" s="9" t="s">
        <v>36</v>
      </c>
      <c r="C26" s="9" t="s">
        <v>35</v>
      </c>
      <c r="D26" s="9" t="s">
        <v>34</v>
      </c>
      <c r="E26" s="9"/>
      <c r="F26" s="9" t="s">
        <v>25</v>
      </c>
      <c r="G26" s="9" t="s">
        <v>13</v>
      </c>
      <c r="H26" s="14">
        <v>27163.31</v>
      </c>
      <c r="I26" s="9" t="s">
        <v>33</v>
      </c>
      <c r="J26" s="9"/>
      <c r="K26" s="9" t="s">
        <v>32</v>
      </c>
      <c r="L26" s="9"/>
      <c r="M26" s="9"/>
    </row>
    <row r="27" spans="1:13" ht="35.1" customHeight="1" x14ac:dyDescent="0.25">
      <c r="A27" s="15"/>
      <c r="B27" s="15"/>
      <c r="C27" s="15"/>
      <c r="D27" s="15" t="s">
        <v>31</v>
      </c>
      <c r="E27" s="15"/>
      <c r="F27" s="15"/>
      <c r="G27" s="15"/>
      <c r="H27" s="16">
        <f>SUM(H4:H26)</f>
        <v>720964.03000000014</v>
      </c>
      <c r="I27" s="15"/>
      <c r="J27" s="15"/>
      <c r="K27" s="15"/>
      <c r="L27" s="15"/>
      <c r="M27" s="9"/>
    </row>
    <row r="28" spans="1:13" ht="35.1" customHeight="1" x14ac:dyDescent="0.25"/>
    <row r="29" spans="1:13" ht="35.1" customHeight="1" x14ac:dyDescent="0.25"/>
    <row r="30" spans="1:13" ht="35.1" customHeight="1" x14ac:dyDescent="0.25"/>
    <row r="31" spans="1:13" ht="35.1" customHeight="1" x14ac:dyDescent="0.25"/>
  </sheetData>
  <mergeCells count="2">
    <mergeCell ref="A2:F2"/>
    <mergeCell ref="G2:L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3D8-7D89-4086-B530-589291AF81F0}">
  <sheetPr>
    <pageSetUpPr fitToPage="1"/>
  </sheetPr>
  <dimension ref="A1:E27"/>
  <sheetViews>
    <sheetView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6.42578125" style="17" bestFit="1" customWidth="1"/>
    <col min="2" max="2" width="14" style="17" bestFit="1" customWidth="1"/>
    <col min="3" max="3" width="26.7109375" style="17" bestFit="1" customWidth="1"/>
    <col min="4" max="4" width="20.28515625" style="17" bestFit="1" customWidth="1"/>
    <col min="5" max="5" width="30.7109375" style="17" bestFit="1" customWidth="1"/>
    <col min="6" max="16384" width="9.140625" style="17"/>
  </cols>
  <sheetData>
    <row r="1" spans="1:5" x14ac:dyDescent="0.25">
      <c r="A1" s="18"/>
      <c r="B1" s="18"/>
      <c r="C1" s="18" t="s">
        <v>3</v>
      </c>
      <c r="D1" s="19">
        <v>45961</v>
      </c>
      <c r="E1" s="18" t="s">
        <v>2</v>
      </c>
    </row>
    <row r="2" spans="1:5" x14ac:dyDescent="0.25">
      <c r="A2" s="20" t="s">
        <v>0</v>
      </c>
      <c r="B2" s="21"/>
      <c r="C2" s="21"/>
      <c r="D2" s="22" t="s">
        <v>141</v>
      </c>
      <c r="E2" s="21"/>
    </row>
    <row r="3" spans="1:5" x14ac:dyDescent="0.25">
      <c r="A3" s="18" t="s">
        <v>135</v>
      </c>
      <c r="B3" s="18" t="s">
        <v>133</v>
      </c>
      <c r="C3" s="18" t="s">
        <v>132</v>
      </c>
      <c r="D3" s="18" t="s">
        <v>131</v>
      </c>
      <c r="E3" s="18" t="s">
        <v>4</v>
      </c>
    </row>
    <row r="4" spans="1:5" x14ac:dyDescent="0.25">
      <c r="A4" s="18" t="s">
        <v>93</v>
      </c>
      <c r="B4" s="18" t="s">
        <v>35</v>
      </c>
      <c r="C4" s="18" t="s">
        <v>92</v>
      </c>
      <c r="D4" s="18"/>
      <c r="E4" s="18" t="s">
        <v>25</v>
      </c>
    </row>
    <row r="5" spans="1:5" x14ac:dyDescent="0.25">
      <c r="A5" s="18" t="s">
        <v>84</v>
      </c>
      <c r="B5" s="18" t="s">
        <v>35</v>
      </c>
      <c r="C5" s="18" t="s">
        <v>83</v>
      </c>
      <c r="D5" s="18"/>
      <c r="E5" s="18" t="s">
        <v>26</v>
      </c>
    </row>
    <row r="6" spans="1:5" x14ac:dyDescent="0.25">
      <c r="A6" s="18" t="s">
        <v>77</v>
      </c>
      <c r="B6" s="18" t="s">
        <v>35</v>
      </c>
      <c r="C6" s="18" t="s">
        <v>76</v>
      </c>
      <c r="D6" s="18"/>
      <c r="E6" s="18" t="s">
        <v>21</v>
      </c>
    </row>
    <row r="7" spans="1:5" x14ac:dyDescent="0.25">
      <c r="A7" s="18" t="s">
        <v>59</v>
      </c>
      <c r="B7" s="18" t="s">
        <v>35</v>
      </c>
      <c r="C7" s="18" t="s">
        <v>58</v>
      </c>
      <c r="D7" s="18"/>
      <c r="E7" s="18" t="s">
        <v>22</v>
      </c>
    </row>
    <row r="8" spans="1:5" x14ac:dyDescent="0.25">
      <c r="A8" s="18" t="s">
        <v>37</v>
      </c>
      <c r="B8" s="18" t="s">
        <v>35</v>
      </c>
      <c r="C8" s="18" t="s">
        <v>34</v>
      </c>
      <c r="D8" s="18"/>
      <c r="E8" s="18" t="s">
        <v>25</v>
      </c>
    </row>
    <row r="9" spans="1:5" x14ac:dyDescent="0.25">
      <c r="A9" s="23"/>
      <c r="B9" s="23"/>
      <c r="C9" s="23" t="s">
        <v>140</v>
      </c>
      <c r="D9" s="23"/>
      <c r="E9" s="23"/>
    </row>
    <row r="10" spans="1:5" x14ac:dyDescent="0.25">
      <c r="A10" s="18"/>
      <c r="B10" s="18"/>
      <c r="C10" s="18"/>
      <c r="D10" s="18"/>
      <c r="E10" s="18"/>
    </row>
    <row r="11" spans="1:5" x14ac:dyDescent="0.25">
      <c r="A11" s="18"/>
      <c r="B11" s="18"/>
      <c r="C11" s="18"/>
      <c r="D11" s="18"/>
      <c r="E11" s="18"/>
    </row>
    <row r="12" spans="1:5" x14ac:dyDescent="0.25">
      <c r="A12" s="18" t="s">
        <v>139</v>
      </c>
      <c r="B12" s="18"/>
      <c r="C12" s="18"/>
      <c r="D12" s="18"/>
      <c r="E12" s="18"/>
    </row>
    <row r="13" spans="1:5" x14ac:dyDescent="0.25">
      <c r="A13" s="18"/>
      <c r="B13" s="18"/>
      <c r="C13" s="18"/>
      <c r="D13" s="18"/>
      <c r="E13" s="18"/>
    </row>
    <row r="14" spans="1:5" x14ac:dyDescent="0.25">
      <c r="A14" s="18"/>
      <c r="B14" s="18"/>
      <c r="C14" s="18"/>
      <c r="D14" s="18"/>
      <c r="E14" s="18"/>
    </row>
    <row r="15" spans="1:5" x14ac:dyDescent="0.25">
      <c r="A15" s="18" t="s">
        <v>138</v>
      </c>
      <c r="B15" s="18"/>
      <c r="C15" s="18"/>
      <c r="D15" s="18"/>
      <c r="E15" s="18"/>
    </row>
    <row r="16" spans="1:5" x14ac:dyDescent="0.25">
      <c r="A16" s="18"/>
      <c r="B16" s="18"/>
      <c r="C16" s="18"/>
      <c r="D16" s="18"/>
      <c r="E16" s="18"/>
    </row>
    <row r="17" spans="1:5" x14ac:dyDescent="0.25">
      <c r="A17" s="18"/>
      <c r="B17" s="18"/>
      <c r="C17" s="18"/>
      <c r="D17" s="18"/>
      <c r="E17" s="18"/>
    </row>
    <row r="18" spans="1:5" x14ac:dyDescent="0.25">
      <c r="A18" s="18" t="s">
        <v>137</v>
      </c>
      <c r="B18" s="18"/>
      <c r="C18" s="18"/>
      <c r="D18" s="18"/>
      <c r="E18" s="18"/>
    </row>
    <row r="19" spans="1:5" x14ac:dyDescent="0.25">
      <c r="A19" s="18"/>
      <c r="B19" s="18"/>
      <c r="C19" s="18"/>
      <c r="D19" s="18"/>
      <c r="E19" s="18"/>
    </row>
    <row r="20" spans="1:5" x14ac:dyDescent="0.25">
      <c r="A20" s="18"/>
      <c r="B20" s="18"/>
      <c r="C20" s="18"/>
      <c r="D20" s="18"/>
      <c r="E20" s="18"/>
    </row>
    <row r="21" spans="1:5" x14ac:dyDescent="0.25">
      <c r="A21" s="18"/>
      <c r="B21" s="18"/>
      <c r="C21" s="18"/>
      <c r="D21" s="18"/>
      <c r="E21" s="18"/>
    </row>
    <row r="22" spans="1:5" x14ac:dyDescent="0.25">
      <c r="A22" s="18"/>
      <c r="B22" s="18"/>
      <c r="C22" s="18"/>
      <c r="D22" s="18"/>
      <c r="E22" s="18"/>
    </row>
    <row r="23" spans="1:5" x14ac:dyDescent="0.25">
      <c r="A23" s="18"/>
      <c r="B23" s="18"/>
      <c r="C23" s="18"/>
      <c r="D23" s="18"/>
      <c r="E23" s="18"/>
    </row>
    <row r="24" spans="1:5" x14ac:dyDescent="0.25">
      <c r="A24" s="18"/>
      <c r="B24" s="18"/>
      <c r="C24" s="18"/>
      <c r="D24" s="18"/>
      <c r="E24" s="18"/>
    </row>
    <row r="25" spans="1:5" x14ac:dyDescent="0.25">
      <c r="A25" s="18"/>
      <c r="B25" s="18"/>
      <c r="C25" s="18"/>
      <c r="D25" s="18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18"/>
      <c r="C27" s="18"/>
      <c r="D27" s="18"/>
      <c r="E27" s="18"/>
    </row>
  </sheetData>
  <mergeCells count="2">
    <mergeCell ref="A2:C2"/>
    <mergeCell ref="D2:E2"/>
  </mergeCells>
  <pageMargins left="0.7" right="0.7" top="0.75" bottom="0.75" header="0.3" footer="0.3"/>
  <pageSetup scale="83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2025-10-31T18:48:28Z</cp:lastPrinted>
  <dcterms:created xsi:type="dcterms:W3CDTF">2025-10-31T18:29:25Z</dcterms:created>
  <dcterms:modified xsi:type="dcterms:W3CDTF">2025-10-31T19:04:39Z</dcterms:modified>
</cp:coreProperties>
</file>