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7643C15A-B4CC-47A3-A542-BE61BB0C975F}" xr6:coauthVersionLast="47" xr6:coauthVersionMax="47" xr10:uidLastSave="{00000000-0000-0000-0000-000000000000}"/>
  <bookViews>
    <workbookView xWindow="33210" yWindow="1050" windowWidth="24060" windowHeight="14280" activeTab="1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G8" i="2"/>
  <c r="H33" i="2"/>
  <c r="F33" i="2"/>
  <c r="E33" i="2"/>
  <c r="D33" i="2"/>
  <c r="H20" i="1"/>
</calcChain>
</file>

<file path=xl/sharedStrings.xml><?xml version="1.0" encoding="utf-8"?>
<sst xmlns="http://schemas.openxmlformats.org/spreadsheetml/2006/main" count="230" uniqueCount="119">
  <si>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</si>
  <si>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</si>
  <si>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</si>
  <si>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</si>
  <si>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</si>
  <si>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</si>
  <si>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</si>
  <si>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</si>
  <si>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</si>
  <si>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</si>
  <si>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</si>
  <si>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</si>
  <si>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</si>
  <si>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</si>
  <si>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</si>
  <si>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</si>
  <si>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WOODRING, DYLAN</t>
  </si>
  <si>
    <t>New England Automax Inc (marlborough)</t>
  </si>
  <si>
    <t>Marlene Braganca</t>
  </si>
  <si>
    <t>ABCPENS10@YAHOO.COM</t>
  </si>
  <si>
    <t>Worbois</t>
  </si>
  <si>
    <t>151238972</t>
  </si>
  <si>
    <t>Paper</t>
  </si>
  <si>
    <t>BRUMMETT, COURTNEY</t>
  </si>
  <si>
    <t>Richard M. Ryan, Inc</t>
  </si>
  <si>
    <t>courtneybrummett16@gmail.com</t>
  </si>
  <si>
    <t>CAVANAUGH</t>
  </si>
  <si>
    <t>151239003</t>
  </si>
  <si>
    <t>HAMIZANE, INCHIRAH</t>
  </si>
  <si>
    <t>NARSA AMC LLC d/b/a</t>
  </si>
  <si>
    <t>Rachel Gorham</t>
  </si>
  <si>
    <t>INCHIRAHH11@GMAIL.COM</t>
  </si>
  <si>
    <t>ILHAMEL HAMARI</t>
  </si>
  <si>
    <t>151239045</t>
  </si>
  <si>
    <t>KIM, SUNGHYUN</t>
  </si>
  <si>
    <t>Planet Subaru</t>
  </si>
  <si>
    <t>KOISHKIM@GMAIL.COM</t>
  </si>
  <si>
    <t>BAE</t>
  </si>
  <si>
    <t>151239061</t>
  </si>
  <si>
    <t>PACHECO, DINARTE</t>
  </si>
  <si>
    <t>KAYAKFRKS@COMCAST.NET</t>
  </si>
  <si>
    <t>PACHECO</t>
  </si>
  <si>
    <t>Route One</t>
  </si>
  <si>
    <t>KUSZA, ARDEN</t>
  </si>
  <si>
    <t>Patriot Auto Group Inc d/b/a</t>
  </si>
  <si>
    <t>ardenkequestrian@gmail.com</t>
  </si>
  <si>
    <t>REESE</t>
  </si>
  <si>
    <t>151239102</t>
  </si>
  <si>
    <t>MEEGAN, ANDREW</t>
  </si>
  <si>
    <t>ANDREWMEEGAN@GMAIL.COM</t>
  </si>
  <si>
    <t>PANADIS</t>
  </si>
  <si>
    <t>MASON, CARL</t>
  </si>
  <si>
    <t>Paul Masse Buick GMC South, Inc</t>
  </si>
  <si>
    <t>CARLMMASON@GMAIL.COM</t>
  </si>
  <si>
    <t>NETTO</t>
  </si>
  <si>
    <t>GRAVIT, ADAM</t>
  </si>
  <si>
    <t>Priority Automotive LLC</t>
  </si>
  <si>
    <t>AGRAVIT171@GMAIL.COM</t>
  </si>
  <si>
    <t>Porto</t>
  </si>
  <si>
    <t>MEDAS, MATTHEW</t>
  </si>
  <si>
    <t>Alden Mazda</t>
  </si>
  <si>
    <t>MATTHEW.MEDAS@GMAIL.COM</t>
  </si>
  <si>
    <t>Vikre</t>
  </si>
  <si>
    <t>151239186</t>
  </si>
  <si>
    <t>CESTODIO, KRISTEN</t>
  </si>
  <si>
    <t>Volvo of Tiverton</t>
  </si>
  <si>
    <t>K636RN@CHARTER.NET</t>
  </si>
  <si>
    <t>Rouleau</t>
  </si>
  <si>
    <t>CESARONI, MICHAEL</t>
  </si>
  <si>
    <t>Colonial South Chrysler Dodge</t>
  </si>
  <si>
    <t>stephanie@horizonhvacinc.com</t>
  </si>
  <si>
    <t>SaciloHo</t>
  </si>
  <si>
    <t>HORIZON HVAC LLC</t>
  </si>
  <si>
    <t>151239251</t>
  </si>
  <si>
    <t>SHEA, KEVIN</t>
  </si>
  <si>
    <t>Saccucci Honda</t>
  </si>
  <si>
    <t>KSHEA001@GMAIL.COM</t>
  </si>
  <si>
    <t>DRAKE</t>
  </si>
  <si>
    <t>TRAN, BINH</t>
  </si>
  <si>
    <t>TRAN, ISABELLA</t>
  </si>
  <si>
    <t>ZANIME12@YAHOO.COM</t>
  </si>
  <si>
    <t>ISABELLAT2023@GMAIL.COM</t>
  </si>
  <si>
    <t>NHUONG</t>
  </si>
  <si>
    <t>LAM</t>
  </si>
  <si>
    <t>BELL, MADISON</t>
  </si>
  <si>
    <t>Mastria Mazda</t>
  </si>
  <si>
    <t>MADIBELL1030@GMAIL.COM</t>
  </si>
  <si>
    <t>PIERCE</t>
  </si>
  <si>
    <t>CURRAN, MICHELLE</t>
  </si>
  <si>
    <t>Coastal Volkswagon</t>
  </si>
  <si>
    <t>MICHELLEYCURRAN@GMAIL.COM</t>
  </si>
  <si>
    <t>GILLARD</t>
  </si>
  <si>
    <t># 16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</si>
  <si>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</si>
  <si>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</si>
  <si>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</si>
  <si>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</si>
  <si>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</si>
  <si>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</si>
  <si>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</si>
  <si>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151238956 E</t>
  </si>
  <si>
    <t>151239095 E</t>
  </si>
  <si>
    <t>151239110 E</t>
  </si>
  <si>
    <t>151239128 E</t>
  </si>
  <si>
    <t>151239144 E</t>
  </si>
  <si>
    <t>151239219 E</t>
  </si>
  <si>
    <t>151239285 E</t>
  </si>
  <si>
    <t>151239318 E</t>
  </si>
  <si>
    <t>151239342 E</t>
  </si>
  <si>
    <t>Funding Worksheet - Signoff Version</t>
  </si>
  <si>
    <t># 7</t>
  </si>
  <si>
    <t>Original Notes Delivered</t>
  </si>
  <si>
    <t>Delivered by:</t>
  </si>
  <si>
    <t>Received by:</t>
  </si>
  <si>
    <t>Date Signed:</t>
  </si>
  <si>
    <t>Auto-NARSA AMC LLC d/b/a</t>
  </si>
  <si>
    <t>NE- Automax Inc (marlborough)</t>
  </si>
  <si>
    <t>Honda-Patriot Auto Group Inc d/b/a</t>
  </si>
  <si>
    <t>5900-6390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</si>
</sst>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7" fontId="1" fillId="0" borderId="0" xfId="0" applyNumberFormat="1" applyFont="1"/>
    <xf numFmtId="0" fontId="2" fillId="0" borderId="0" xfId="0" applyFont="1"/>
    <xf numFmtId="7" fontId="2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1" xfId="0" applyFont="1" applyBorder="1"/>
    <xf numFmtId="7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0" headerRowDxfId="21" dataDxfId="19" totalsRowDxfId="20">
  <tableColumns count="12">
    <tableColumn id="1" xr3:uid="{00000000-0010-0000-0000-000001000000}" name="Account Number" dataDxfId="33"/>
    <tableColumn id="2" xr3:uid="{00000000-0010-0000-0000-000002000000}" name="Portal" dataDxfId="32"/>
    <tableColumn id="3" xr3:uid="{00000000-0010-0000-0000-000003000000}" name="Contract Type" dataDxfId="31"/>
    <tableColumn id="4" xr3:uid="{00000000-0010-0000-0000-000004000000}" name="Applicant Name" dataDxfId="30"/>
    <tableColumn id="5" xr3:uid="{00000000-0010-0000-0000-000005000000}" name="Co-Applicant Name" dataDxfId="29"/>
    <tableColumn id="6" xr3:uid="{00000000-0010-0000-0000-000006000000}" name="Dealer Name" dataDxfId="28"/>
    <tableColumn id="7" xr3:uid="{00000000-0010-0000-0000-000007000000}" name="Funded by" dataDxfId="27"/>
    <tableColumn id="8" xr3:uid="{00000000-0010-0000-0000-000008000000}" name="Amount Financed" dataDxfId="26"/>
    <tableColumn id="9" xr3:uid="{00000000-0010-0000-0000-000009000000}" name="Applicant Email" dataDxfId="25"/>
    <tableColumn id="10" xr3:uid="{00000000-0010-0000-0000-00000A000000}" name="Co-Applicant Email" dataDxfId="24"/>
    <tableColumn id="11" xr3:uid="{00000000-0010-0000-0000-00000B000000}" name="App MMN" dataDxfId="23"/>
    <tableColumn id="12" xr3:uid="{00000000-0010-0000-0000-00000C000000}" name="Co-App MMN" dataDxfId="2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B0C07C-B79A-4147-8D97-58DB4F57424E}" name="Table_14" displayName="Table_14" ref="A3:H33" headerRowDxfId="2" dataDxfId="0" totalsRowDxfId="1">
  <sortState xmlns:xlrd2="http://schemas.microsoft.com/office/spreadsheetml/2017/richdata2" ref="A4:H33">
    <sortCondition ref="A4:A33"/>
  </sortState>
  <tableColumns count="8">
    <tableColumn id="1" xr3:uid="{5F5B451D-80C9-47FC-BE17-1EE08F250865}" name="Dealer Name" dataDxfId="10"/>
    <tableColumn id="8" xr3:uid="{986F55F6-7573-4A01-BFB8-DD267E8E9F45}" name="Column2" dataDxfId="9"/>
    <tableColumn id="2" xr3:uid="{AB0D5A34-EE33-4505-91CF-EBEAF8007268}" name="Funded by" dataDxfId="8"/>
    <tableColumn id="3" xr3:uid="{ACBAEAA2-67F3-4854-9ADD-F12D75DDA01A}" name="Dealer Flat" dataDxfId="7"/>
    <tableColumn id="4" xr3:uid="{9B5702D6-DBB0-4635-B7C3-2C39E94D0703}" name="Dealer Split" dataDxfId="6"/>
    <tableColumn id="5" xr3:uid="{8DDF40DB-9CF9-44B9-9527-331CC4D4A809}" name="Net to Dealer" dataDxfId="5"/>
    <tableColumn id="7" xr3:uid="{21EB794E-EB22-40CC-995F-448C66AAD2A5}" name="Column1" dataDxfId="4"/>
    <tableColumn id="6" xr3:uid="{935111B9-EDE2-48A4-8C22-892F300294E6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2724B7-4D42-4AE4-A46E-6F82C5BF8FC6}" name="Table_15" displayName="Table_15" ref="A3:E11" headerRowDxfId="13" dataDxfId="11" totalsRowDxfId="12">
  <tableColumns count="5">
    <tableColumn id="1" xr3:uid="{568A83D7-193D-4E52-AFD8-8DDA90C607C1}" name="Account Number" dataDxfId="18"/>
    <tableColumn id="2" xr3:uid="{69647D63-7BB7-405A-8835-3A87D883B24D}" name="Contract Type" dataDxfId="17"/>
    <tableColumn id="3" xr3:uid="{4D629B7A-9E69-4E20-A74A-896B0D530697}" name="Applicant Name" dataDxfId="16"/>
    <tableColumn id="4" xr3:uid="{003F494E-A241-4910-A97B-F60303594349}" name="Co-Applicant Name" dataDxfId="15"/>
    <tableColumn id="5" xr3:uid="{62D3B9C7-A714-4D0D-9CA0-7BA4A3B712BF}" name="Dealer Name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"/>
  <sheetViews>
    <sheetView workbookViewId="0">
      <pane ySplit="3" topLeftCell="A8" activePane="bottomLeft" state="frozen"/>
      <selection pane="bottomLeft" activeCell="D16" sqref="D16:E19"/>
    </sheetView>
  </sheetViews>
  <sheetFormatPr defaultRowHeight="15.75" x14ac:dyDescent="0.25"/>
  <cols>
    <col min="1" max="1" width="13.42578125" style="1" customWidth="1"/>
    <col min="2" max="2" width="12.140625" style="1" bestFit="1" customWidth="1"/>
    <col min="3" max="3" width="14" style="1" bestFit="1" customWidth="1"/>
    <col min="4" max="4" width="22.7109375" style="1" bestFit="1" customWidth="1"/>
    <col min="5" max="5" width="18.7109375" style="1" bestFit="1" customWidth="1"/>
    <col min="6" max="6" width="39" style="1" bestFit="1" customWidth="1"/>
    <col min="7" max="7" width="17.7109375" style="1" bestFit="1" customWidth="1"/>
    <col min="8" max="8" width="17.140625" style="1" bestFit="1" customWidth="1"/>
    <col min="9" max="9" width="32.140625" style="1" bestFit="1" customWidth="1"/>
    <col min="10" max="10" width="26" style="1" customWidth="1"/>
    <col min="11" max="11" width="17.140625" style="1" bestFit="1" customWidth="1"/>
    <col min="12" max="12" width="6.7109375" style="1" customWidth="1"/>
    <col min="13" max="16384" width="9.140625" style="1"/>
  </cols>
  <sheetData>
    <row r="1" spans="1:12" x14ac:dyDescent="0.25">
      <c r="K1" s="2">
        <v>45953</v>
      </c>
      <c r="L1" s="3"/>
    </row>
    <row r="2" spans="1:12" x14ac:dyDescent="0.25">
      <c r="A2" s="4" t="s">
        <v>0</v>
      </c>
      <c r="B2" s="5"/>
      <c r="C2" s="5"/>
      <c r="D2" s="5"/>
      <c r="E2" s="5"/>
      <c r="F2" s="5"/>
      <c r="G2" s="6" t="s">
        <v>1</v>
      </c>
      <c r="H2" s="5"/>
      <c r="I2" s="5"/>
      <c r="J2" s="5"/>
      <c r="K2" s="5"/>
      <c r="L2" s="5"/>
    </row>
    <row r="3" spans="1:12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30" customHeight="1" x14ac:dyDescent="0.25">
      <c r="A4" s="1" t="s">
        <v>100</v>
      </c>
      <c r="B4" s="1" t="s">
        <v>14</v>
      </c>
      <c r="C4" s="1" t="s">
        <v>15</v>
      </c>
      <c r="D4" s="1" t="s">
        <v>16</v>
      </c>
      <c r="F4" s="1" t="s">
        <v>17</v>
      </c>
      <c r="G4" s="1" t="s">
        <v>18</v>
      </c>
      <c r="H4" s="7">
        <v>41904.69</v>
      </c>
      <c r="I4" s="1" t="s">
        <v>19</v>
      </c>
      <c r="K4" s="1" t="s">
        <v>20</v>
      </c>
    </row>
    <row r="5" spans="1:12" ht="30" customHeight="1" x14ac:dyDescent="0.25">
      <c r="A5" s="1" t="s">
        <v>21</v>
      </c>
      <c r="B5" s="1" t="s">
        <v>14</v>
      </c>
      <c r="C5" s="1" t="s">
        <v>22</v>
      </c>
      <c r="D5" s="1" t="s">
        <v>23</v>
      </c>
      <c r="F5" s="1" t="s">
        <v>24</v>
      </c>
      <c r="G5" s="1" t="s">
        <v>18</v>
      </c>
      <c r="H5" s="7">
        <v>20186.689999999999</v>
      </c>
      <c r="I5" s="1" t="s">
        <v>25</v>
      </c>
      <c r="K5" s="1" t="s">
        <v>26</v>
      </c>
    </row>
    <row r="6" spans="1:12" ht="30" customHeight="1" x14ac:dyDescent="0.25">
      <c r="A6" s="1" t="s">
        <v>27</v>
      </c>
      <c r="B6" s="1" t="s">
        <v>14</v>
      </c>
      <c r="C6" s="1" t="s">
        <v>22</v>
      </c>
      <c r="D6" s="1" t="s">
        <v>28</v>
      </c>
      <c r="F6" s="1" t="s">
        <v>29</v>
      </c>
      <c r="G6" s="1" t="s">
        <v>30</v>
      </c>
      <c r="H6" s="7">
        <v>17843.439999999999</v>
      </c>
      <c r="I6" s="1" t="s">
        <v>31</v>
      </c>
      <c r="K6" s="1" t="s">
        <v>32</v>
      </c>
    </row>
    <row r="7" spans="1:12" ht="30" customHeight="1" x14ac:dyDescent="0.25">
      <c r="A7" s="1" t="s">
        <v>33</v>
      </c>
      <c r="B7" s="1" t="s">
        <v>14</v>
      </c>
      <c r="C7" s="1" t="s">
        <v>22</v>
      </c>
      <c r="D7" s="1" t="s">
        <v>34</v>
      </c>
      <c r="F7" s="1" t="s">
        <v>35</v>
      </c>
      <c r="G7" s="1" t="s">
        <v>30</v>
      </c>
      <c r="H7" s="7">
        <v>33199.5</v>
      </c>
      <c r="I7" s="1" t="s">
        <v>36</v>
      </c>
      <c r="K7" s="1" t="s">
        <v>37</v>
      </c>
    </row>
    <row r="8" spans="1:12" ht="30" customHeight="1" x14ac:dyDescent="0.25">
      <c r="A8" s="1" t="s">
        <v>38</v>
      </c>
      <c r="B8" s="1" t="s">
        <v>14</v>
      </c>
      <c r="C8" s="1" t="s">
        <v>22</v>
      </c>
      <c r="D8" s="1" t="s">
        <v>39</v>
      </c>
      <c r="F8" s="1" t="s">
        <v>29</v>
      </c>
      <c r="G8" s="1" t="s">
        <v>18</v>
      </c>
      <c r="H8" s="7">
        <v>28878.44</v>
      </c>
      <c r="I8" s="1" t="s">
        <v>40</v>
      </c>
      <c r="K8" s="1" t="s">
        <v>41</v>
      </c>
    </row>
    <row r="9" spans="1:12" ht="30" customHeight="1" x14ac:dyDescent="0.25">
      <c r="A9" s="1" t="s">
        <v>101</v>
      </c>
      <c r="B9" s="1" t="s">
        <v>42</v>
      </c>
      <c r="C9" s="1" t="s">
        <v>15</v>
      </c>
      <c r="D9" s="1" t="s">
        <v>43</v>
      </c>
      <c r="F9" s="1" t="s">
        <v>44</v>
      </c>
      <c r="G9" s="1" t="s">
        <v>18</v>
      </c>
      <c r="H9" s="7">
        <v>23037</v>
      </c>
      <c r="I9" s="1" t="s">
        <v>45</v>
      </c>
      <c r="K9" s="1" t="s">
        <v>46</v>
      </c>
    </row>
    <row r="10" spans="1:12" ht="30" customHeight="1" x14ac:dyDescent="0.25">
      <c r="A10" s="1" t="s">
        <v>47</v>
      </c>
      <c r="B10" s="1" t="s">
        <v>14</v>
      </c>
      <c r="C10" s="1" t="s">
        <v>22</v>
      </c>
      <c r="D10" s="1" t="s">
        <v>48</v>
      </c>
      <c r="F10" s="1" t="s">
        <v>29</v>
      </c>
      <c r="G10" s="1" t="s">
        <v>18</v>
      </c>
      <c r="H10" s="7">
        <v>32447.19</v>
      </c>
      <c r="I10" s="1" t="s">
        <v>49</v>
      </c>
      <c r="K10" s="1" t="s">
        <v>50</v>
      </c>
    </row>
    <row r="11" spans="1:12" ht="30" customHeight="1" x14ac:dyDescent="0.25">
      <c r="A11" s="1" t="s">
        <v>102</v>
      </c>
      <c r="B11" s="1" t="s">
        <v>42</v>
      </c>
      <c r="C11" s="1" t="s">
        <v>15</v>
      </c>
      <c r="D11" s="1" t="s">
        <v>51</v>
      </c>
      <c r="F11" s="1" t="s">
        <v>52</v>
      </c>
      <c r="G11" s="1" t="s">
        <v>30</v>
      </c>
      <c r="H11" s="7">
        <v>76891.23</v>
      </c>
      <c r="I11" s="1" t="s">
        <v>53</v>
      </c>
      <c r="K11" s="1" t="s">
        <v>54</v>
      </c>
    </row>
    <row r="12" spans="1:12" ht="30" customHeight="1" x14ac:dyDescent="0.25">
      <c r="A12" s="1" t="s">
        <v>103</v>
      </c>
      <c r="B12" s="1" t="s">
        <v>14</v>
      </c>
      <c r="C12" s="1" t="s">
        <v>15</v>
      </c>
      <c r="D12" s="1" t="s">
        <v>55</v>
      </c>
      <c r="F12" s="1" t="s">
        <v>56</v>
      </c>
      <c r="G12" s="1" t="s">
        <v>18</v>
      </c>
      <c r="H12" s="7">
        <v>17958.5</v>
      </c>
      <c r="I12" s="1" t="s">
        <v>57</v>
      </c>
      <c r="K12" s="1" t="s">
        <v>58</v>
      </c>
    </row>
    <row r="13" spans="1:12" ht="30" customHeight="1" x14ac:dyDescent="0.25">
      <c r="A13" s="1" t="s">
        <v>104</v>
      </c>
      <c r="B13" s="1" t="s">
        <v>42</v>
      </c>
      <c r="C13" s="1" t="s">
        <v>15</v>
      </c>
      <c r="D13" s="1" t="s">
        <v>59</v>
      </c>
      <c r="F13" s="1" t="s">
        <v>60</v>
      </c>
      <c r="G13" s="1" t="s">
        <v>18</v>
      </c>
      <c r="H13" s="7">
        <v>20481.560000000001</v>
      </c>
      <c r="I13" s="1" t="s">
        <v>61</v>
      </c>
      <c r="K13" s="1" t="s">
        <v>62</v>
      </c>
    </row>
    <row r="14" spans="1:12" ht="30" customHeight="1" x14ac:dyDescent="0.25">
      <c r="A14" s="1" t="s">
        <v>63</v>
      </c>
      <c r="B14" s="1" t="s">
        <v>14</v>
      </c>
      <c r="C14" s="1" t="s">
        <v>22</v>
      </c>
      <c r="D14" s="1" t="s">
        <v>64</v>
      </c>
      <c r="F14" s="1" t="s">
        <v>65</v>
      </c>
      <c r="G14" s="1" t="s">
        <v>18</v>
      </c>
      <c r="H14" s="7">
        <v>33955.129999999997</v>
      </c>
      <c r="I14" s="1" t="s">
        <v>66</v>
      </c>
      <c r="K14" s="1" t="s">
        <v>67</v>
      </c>
    </row>
    <row r="15" spans="1:12" ht="30" customHeight="1" x14ac:dyDescent="0.25">
      <c r="A15" s="1" t="s">
        <v>105</v>
      </c>
      <c r="B15" s="1" t="s">
        <v>42</v>
      </c>
      <c r="C15" s="1" t="s">
        <v>15</v>
      </c>
      <c r="D15" s="1" t="s">
        <v>68</v>
      </c>
      <c r="E15" s="1" t="s">
        <v>72</v>
      </c>
      <c r="F15" s="1" t="s">
        <v>69</v>
      </c>
      <c r="G15" s="1" t="s">
        <v>18</v>
      </c>
      <c r="H15" s="7">
        <v>56299.08</v>
      </c>
      <c r="I15" s="1" t="s">
        <v>70</v>
      </c>
      <c r="K15" s="1" t="s">
        <v>71</v>
      </c>
    </row>
    <row r="16" spans="1:12" ht="30" customHeight="1" x14ac:dyDescent="0.25">
      <c r="A16" s="1" t="s">
        <v>73</v>
      </c>
      <c r="B16" s="1" t="s">
        <v>14</v>
      </c>
      <c r="C16" s="1" t="s">
        <v>22</v>
      </c>
      <c r="D16" s="1" t="s">
        <v>74</v>
      </c>
      <c r="F16" s="1" t="s">
        <v>75</v>
      </c>
      <c r="G16" s="1" t="s">
        <v>30</v>
      </c>
      <c r="H16" s="7">
        <v>30641.56</v>
      </c>
      <c r="I16" s="1" t="s">
        <v>76</v>
      </c>
      <c r="K16" s="1" t="s">
        <v>77</v>
      </c>
    </row>
    <row r="17" spans="1:12" ht="30" customHeight="1" x14ac:dyDescent="0.25">
      <c r="A17" s="1" t="s">
        <v>106</v>
      </c>
      <c r="B17" s="1" t="s">
        <v>14</v>
      </c>
      <c r="C17" s="1" t="s">
        <v>15</v>
      </c>
      <c r="D17" s="1" t="s">
        <v>78</v>
      </c>
      <c r="E17" s="1" t="s">
        <v>79</v>
      </c>
      <c r="F17" s="1" t="s">
        <v>35</v>
      </c>
      <c r="G17" s="1" t="s">
        <v>30</v>
      </c>
      <c r="H17" s="7">
        <v>34122.94</v>
      </c>
      <c r="I17" s="1" t="s">
        <v>80</v>
      </c>
      <c r="J17" s="1" t="s">
        <v>81</v>
      </c>
      <c r="K17" s="1" t="s">
        <v>82</v>
      </c>
      <c r="L17" s="1" t="s">
        <v>83</v>
      </c>
    </row>
    <row r="18" spans="1:12" ht="30" customHeight="1" x14ac:dyDescent="0.25">
      <c r="A18" s="1" t="s">
        <v>107</v>
      </c>
      <c r="B18" s="1" t="s">
        <v>42</v>
      </c>
      <c r="C18" s="1" t="s">
        <v>15</v>
      </c>
      <c r="D18" s="1" t="s">
        <v>84</v>
      </c>
      <c r="F18" s="1" t="s">
        <v>85</v>
      </c>
      <c r="G18" s="1" t="s">
        <v>30</v>
      </c>
      <c r="H18" s="7">
        <v>14511.36</v>
      </c>
      <c r="I18" s="1" t="s">
        <v>86</v>
      </c>
      <c r="K18" s="1" t="s">
        <v>87</v>
      </c>
    </row>
    <row r="19" spans="1:12" ht="30" customHeight="1" x14ac:dyDescent="0.25">
      <c r="A19" s="1" t="s">
        <v>108</v>
      </c>
      <c r="B19" s="1" t="s">
        <v>14</v>
      </c>
      <c r="C19" s="1" t="s">
        <v>15</v>
      </c>
      <c r="D19" s="1" t="s">
        <v>88</v>
      </c>
      <c r="F19" s="1" t="s">
        <v>89</v>
      </c>
      <c r="G19" s="1" t="s">
        <v>30</v>
      </c>
      <c r="H19" s="7">
        <v>10020.06</v>
      </c>
      <c r="I19" s="1" t="s">
        <v>90</v>
      </c>
      <c r="K19" s="1" t="s">
        <v>91</v>
      </c>
    </row>
    <row r="20" spans="1:12" x14ac:dyDescent="0.25">
      <c r="A20" s="8"/>
      <c r="B20" s="8"/>
      <c r="C20" s="8"/>
      <c r="D20" s="8" t="s">
        <v>92</v>
      </c>
      <c r="E20" s="8"/>
      <c r="F20" s="8"/>
      <c r="G20" s="8"/>
      <c r="H20" s="9">
        <f>SUM(H4:H19)</f>
        <v>492378.37</v>
      </c>
      <c r="I20" s="8"/>
      <c r="J20" s="8"/>
      <c r="K20" s="8"/>
      <c r="L20" s="8"/>
    </row>
  </sheetData>
  <mergeCells count="3">
    <mergeCell ref="A2:F2"/>
    <mergeCell ref="G2:L2"/>
    <mergeCell ref="K1:L1"/>
  </mergeCells>
  <pageMargins left="0.7" right="0" top="0.75" bottom="0.75" header="0.3" footer="0.3"/>
  <pageSetup paperSize="5" scale="67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914B-8A08-4D6D-8B2F-E6A0EF146125}">
  <sheetPr>
    <pageSetUpPr fitToPage="1"/>
  </sheetPr>
  <dimension ref="A1:H33"/>
  <sheetViews>
    <sheetView tabSelected="1" workbookViewId="0">
      <selection activeCell="O10" sqref="O10"/>
    </sheetView>
  </sheetViews>
  <sheetFormatPr defaultRowHeight="15.75" x14ac:dyDescent="0.25"/>
  <cols>
    <col min="1" max="1" width="21.140625" style="1" customWidth="1"/>
    <col min="2" max="2" width="11.85546875" style="1" customWidth="1"/>
    <col min="3" max="3" width="16.5703125" style="1" customWidth="1"/>
    <col min="4" max="5" width="17.42578125" style="1" customWidth="1"/>
    <col min="6" max="6" width="16.140625" style="1" customWidth="1"/>
    <col min="7" max="7" width="12.85546875" style="1" customWidth="1"/>
    <col min="8" max="8" width="18.5703125" style="1" customWidth="1"/>
    <col min="9" max="16384" width="9.140625" style="1"/>
  </cols>
  <sheetData>
    <row r="1" spans="1:8" x14ac:dyDescent="0.25">
      <c r="E1" s="10"/>
      <c r="H1" s="10">
        <v>45953.999988425923</v>
      </c>
    </row>
    <row r="2" spans="1:8" x14ac:dyDescent="0.25">
      <c r="A2" s="4" t="s">
        <v>0</v>
      </c>
      <c r="B2" s="4"/>
      <c r="C2" s="5"/>
      <c r="D2" s="5"/>
      <c r="E2" s="6" t="s">
        <v>93</v>
      </c>
      <c r="F2" s="5"/>
      <c r="G2" s="5"/>
      <c r="H2" s="5"/>
    </row>
    <row r="3" spans="1:8" x14ac:dyDescent="0.25">
      <c r="A3" s="1" t="s">
        <v>7</v>
      </c>
      <c r="B3" s="1" t="s">
        <v>99</v>
      </c>
      <c r="C3" s="1" t="s">
        <v>8</v>
      </c>
      <c r="D3" s="1" t="s">
        <v>94</v>
      </c>
      <c r="E3" s="1" t="s">
        <v>95</v>
      </c>
      <c r="F3" s="1" t="s">
        <v>96</v>
      </c>
      <c r="G3" s="1" t="s">
        <v>98</v>
      </c>
      <c r="H3" s="1" t="s">
        <v>97</v>
      </c>
    </row>
    <row r="4" spans="1:8" ht="24.95" customHeight="1" x14ac:dyDescent="0.25">
      <c r="A4" s="1" t="s">
        <v>60</v>
      </c>
      <c r="C4" s="1" t="s">
        <v>18</v>
      </c>
      <c r="D4" s="7">
        <v>650</v>
      </c>
      <c r="E4" s="7">
        <v>0</v>
      </c>
      <c r="F4" s="12">
        <v>20406.560000000001</v>
      </c>
      <c r="G4" s="7"/>
      <c r="H4" s="7">
        <v>20481.560000000001</v>
      </c>
    </row>
    <row r="5" spans="1:8" ht="24.95" customHeight="1" x14ac:dyDescent="0.25">
      <c r="D5" s="7"/>
      <c r="E5" s="7"/>
      <c r="F5" s="7"/>
      <c r="G5" s="7"/>
      <c r="H5" s="7"/>
    </row>
    <row r="6" spans="1:8" ht="24.95" customHeight="1" x14ac:dyDescent="0.25">
      <c r="A6" s="1" t="s">
        <v>115</v>
      </c>
      <c r="C6" s="1" t="s">
        <v>18</v>
      </c>
      <c r="D6" s="7">
        <v>750</v>
      </c>
      <c r="E6" s="7">
        <v>0</v>
      </c>
      <c r="F6" s="7">
        <v>28803.439999999999</v>
      </c>
      <c r="G6" s="7"/>
      <c r="H6" s="7">
        <v>28878.44</v>
      </c>
    </row>
    <row r="7" spans="1:8" ht="24.95" customHeight="1" x14ac:dyDescent="0.25">
      <c r="A7" s="1" t="s">
        <v>115</v>
      </c>
      <c r="C7" s="1" t="s">
        <v>18</v>
      </c>
      <c r="D7" s="7">
        <v>850</v>
      </c>
      <c r="E7" s="7">
        <v>0</v>
      </c>
      <c r="F7" s="7">
        <v>32372.19</v>
      </c>
      <c r="G7" s="7"/>
      <c r="H7" s="7">
        <v>32447.19</v>
      </c>
    </row>
    <row r="8" spans="1:8" ht="24.95" customHeight="1" x14ac:dyDescent="0.25">
      <c r="A8" s="1" t="s">
        <v>115</v>
      </c>
      <c r="C8" s="1" t="s">
        <v>30</v>
      </c>
      <c r="D8" s="7">
        <v>500</v>
      </c>
      <c r="E8" s="7">
        <v>0</v>
      </c>
      <c r="F8" s="7">
        <v>17768.439999999999</v>
      </c>
      <c r="G8" s="12">
        <f>SUM(F6:F8)</f>
        <v>78944.069999999992</v>
      </c>
      <c r="H8" s="7">
        <v>17843.439999999999</v>
      </c>
    </row>
    <row r="9" spans="1:8" ht="24.95" customHeight="1" x14ac:dyDescent="0.25">
      <c r="D9" s="7"/>
      <c r="E9" s="7"/>
      <c r="F9" s="7"/>
      <c r="G9" s="7"/>
      <c r="H9" s="7"/>
    </row>
    <row r="10" spans="1:8" ht="24.95" customHeight="1" x14ac:dyDescent="0.25">
      <c r="A10" s="1" t="s">
        <v>89</v>
      </c>
      <c r="C10" s="1" t="s">
        <v>30</v>
      </c>
      <c r="D10" s="7">
        <v>300</v>
      </c>
      <c r="E10" s="7">
        <v>0</v>
      </c>
      <c r="F10" s="12">
        <v>9945.06</v>
      </c>
      <c r="G10" s="7"/>
      <c r="H10" s="7">
        <v>10020.06</v>
      </c>
    </row>
    <row r="11" spans="1:8" ht="24.95" customHeight="1" x14ac:dyDescent="0.25">
      <c r="D11" s="7"/>
      <c r="E11" s="7"/>
      <c r="F11" s="12"/>
      <c r="G11" s="7"/>
      <c r="H11" s="7"/>
    </row>
    <row r="12" spans="1:8" ht="24.95" customHeight="1" x14ac:dyDescent="0.25">
      <c r="A12" s="1" t="s">
        <v>69</v>
      </c>
      <c r="C12" s="1" t="s">
        <v>18</v>
      </c>
      <c r="D12" s="7">
        <v>1350</v>
      </c>
      <c r="E12" s="7">
        <v>0</v>
      </c>
      <c r="F12" s="12">
        <v>56224.08</v>
      </c>
      <c r="G12" s="7"/>
      <c r="H12" s="7">
        <v>56299.08</v>
      </c>
    </row>
    <row r="13" spans="1:8" ht="24.95" customHeight="1" x14ac:dyDescent="0.25">
      <c r="D13" s="7"/>
      <c r="E13" s="7"/>
      <c r="F13" s="12"/>
      <c r="G13" s="7"/>
      <c r="H13" s="7"/>
    </row>
    <row r="14" spans="1:8" ht="24.95" customHeight="1" x14ac:dyDescent="0.25">
      <c r="A14" s="1" t="s">
        <v>117</v>
      </c>
      <c r="C14" s="1" t="s">
        <v>18</v>
      </c>
      <c r="D14" s="7">
        <v>650</v>
      </c>
      <c r="E14" s="7">
        <v>0</v>
      </c>
      <c r="F14" s="12">
        <v>22962</v>
      </c>
      <c r="G14" s="7"/>
      <c r="H14" s="7">
        <v>23037</v>
      </c>
    </row>
    <row r="15" spans="1:8" ht="24.95" customHeight="1" x14ac:dyDescent="0.25">
      <c r="D15" s="7"/>
      <c r="E15" s="7"/>
      <c r="F15" s="12"/>
      <c r="G15" s="7"/>
      <c r="H15" s="7"/>
    </row>
    <row r="16" spans="1:8" ht="24.95" customHeight="1" x14ac:dyDescent="0.25">
      <c r="A16" s="1" t="s">
        <v>85</v>
      </c>
      <c r="B16" s="13" t="s">
        <v>118</v>
      </c>
      <c r="C16" s="1" t="s">
        <v>30</v>
      </c>
      <c r="D16" s="7">
        <v>300</v>
      </c>
      <c r="E16" s="7">
        <v>0</v>
      </c>
      <c r="F16" s="12">
        <v>14436.36</v>
      </c>
      <c r="G16" s="7"/>
      <c r="H16" s="7">
        <v>14511.36</v>
      </c>
    </row>
    <row r="17" spans="1:8" ht="24.95" customHeight="1" x14ac:dyDescent="0.25">
      <c r="D17" s="7"/>
      <c r="E17" s="7"/>
      <c r="F17" s="12"/>
      <c r="G17" s="7"/>
      <c r="H17" s="7"/>
    </row>
    <row r="18" spans="1:8" ht="24.95" customHeight="1" x14ac:dyDescent="0.25">
      <c r="A18" s="1" t="s">
        <v>116</v>
      </c>
      <c r="C18" s="1" t="s">
        <v>18</v>
      </c>
      <c r="D18" s="7">
        <v>1050</v>
      </c>
      <c r="E18" s="7">
        <v>0</v>
      </c>
      <c r="F18" s="12">
        <v>41829.69</v>
      </c>
      <c r="G18" s="7"/>
      <c r="H18" s="7">
        <v>41904.69</v>
      </c>
    </row>
    <row r="19" spans="1:8" ht="24.95" customHeight="1" x14ac:dyDescent="0.25">
      <c r="D19" s="7"/>
      <c r="E19" s="7"/>
      <c r="F19" s="12"/>
      <c r="G19" s="7"/>
      <c r="H19" s="7"/>
    </row>
    <row r="20" spans="1:8" ht="24.95" customHeight="1" x14ac:dyDescent="0.25">
      <c r="A20" s="1" t="s">
        <v>52</v>
      </c>
      <c r="C20" s="1" t="s">
        <v>30</v>
      </c>
      <c r="D20" s="7">
        <v>1500</v>
      </c>
      <c r="E20" s="7">
        <v>0</v>
      </c>
      <c r="F20" s="12">
        <v>76816.23</v>
      </c>
      <c r="G20" s="7"/>
      <c r="H20" s="7">
        <v>76891.23</v>
      </c>
    </row>
    <row r="21" spans="1:8" ht="24.95" customHeight="1" x14ac:dyDescent="0.25">
      <c r="D21" s="7"/>
      <c r="E21" s="7"/>
      <c r="F21" s="7"/>
      <c r="G21" s="7"/>
      <c r="H21" s="7"/>
    </row>
    <row r="22" spans="1:8" ht="24.95" customHeight="1" x14ac:dyDescent="0.25">
      <c r="A22" s="1" t="s">
        <v>35</v>
      </c>
      <c r="C22" s="1" t="s">
        <v>30</v>
      </c>
      <c r="D22" s="7">
        <v>850</v>
      </c>
      <c r="E22" s="7">
        <v>0</v>
      </c>
      <c r="F22" s="7">
        <v>34047.94</v>
      </c>
      <c r="G22" s="7"/>
      <c r="H22" s="7">
        <v>34122.94</v>
      </c>
    </row>
    <row r="23" spans="1:8" ht="24.95" customHeight="1" x14ac:dyDescent="0.25">
      <c r="A23" s="1" t="s">
        <v>35</v>
      </c>
      <c r="C23" s="1" t="s">
        <v>30</v>
      </c>
      <c r="D23" s="7">
        <v>850</v>
      </c>
      <c r="E23" s="7">
        <v>0</v>
      </c>
      <c r="F23" s="7">
        <v>33124.5</v>
      </c>
      <c r="G23" s="12">
        <f>SUM(F22:F23)</f>
        <v>67172.44</v>
      </c>
      <c r="H23" s="7">
        <v>33199.5</v>
      </c>
    </row>
    <row r="24" spans="1:8" ht="24.95" customHeight="1" x14ac:dyDescent="0.25">
      <c r="D24" s="7"/>
      <c r="E24" s="7"/>
      <c r="F24" s="7"/>
      <c r="G24" s="7"/>
      <c r="H24" s="7"/>
    </row>
    <row r="25" spans="1:8" ht="24.95" customHeight="1" x14ac:dyDescent="0.25">
      <c r="A25" s="1" t="s">
        <v>56</v>
      </c>
      <c r="C25" s="1" t="s">
        <v>18</v>
      </c>
      <c r="D25" s="7">
        <v>500</v>
      </c>
      <c r="E25" s="7">
        <v>0</v>
      </c>
      <c r="F25" s="12">
        <v>17883.5</v>
      </c>
      <c r="G25" s="7"/>
      <c r="H25" s="7">
        <v>17958.5</v>
      </c>
    </row>
    <row r="26" spans="1:8" ht="24.95" customHeight="1" x14ac:dyDescent="0.25">
      <c r="D26" s="7"/>
      <c r="E26" s="7"/>
      <c r="F26" s="12"/>
      <c r="G26" s="7"/>
      <c r="H26" s="7"/>
    </row>
    <row r="27" spans="1:8" ht="24.95" customHeight="1" x14ac:dyDescent="0.25">
      <c r="A27" s="1" t="s">
        <v>24</v>
      </c>
      <c r="C27" s="1" t="s">
        <v>18</v>
      </c>
      <c r="D27" s="7">
        <v>650</v>
      </c>
      <c r="E27" s="7">
        <v>0</v>
      </c>
      <c r="F27" s="12">
        <v>20111.689999999999</v>
      </c>
      <c r="G27" s="7"/>
      <c r="H27" s="7">
        <v>20186.689999999999</v>
      </c>
    </row>
    <row r="28" spans="1:8" ht="24.95" customHeight="1" x14ac:dyDescent="0.25">
      <c r="D28" s="7"/>
      <c r="E28" s="7"/>
      <c r="F28" s="12"/>
      <c r="G28" s="7"/>
      <c r="H28" s="7"/>
    </row>
    <row r="29" spans="1:8" ht="24.95" customHeight="1" x14ac:dyDescent="0.25">
      <c r="A29" s="1" t="s">
        <v>75</v>
      </c>
      <c r="C29" s="1" t="s">
        <v>30</v>
      </c>
      <c r="D29" s="7">
        <v>850</v>
      </c>
      <c r="E29" s="7">
        <v>0</v>
      </c>
      <c r="F29" s="12">
        <v>30566.560000000001</v>
      </c>
      <c r="G29" s="7"/>
      <c r="H29" s="7">
        <v>30641.56</v>
      </c>
    </row>
    <row r="30" spans="1:8" ht="24.95" customHeight="1" x14ac:dyDescent="0.25">
      <c r="D30" s="7"/>
      <c r="E30" s="7"/>
      <c r="F30" s="12"/>
      <c r="G30" s="7"/>
      <c r="H30" s="7"/>
    </row>
    <row r="31" spans="1:8" ht="24.95" customHeight="1" x14ac:dyDescent="0.25">
      <c r="A31" s="1" t="s">
        <v>65</v>
      </c>
      <c r="C31" s="1" t="s">
        <v>18</v>
      </c>
      <c r="D31" s="7">
        <v>850</v>
      </c>
      <c r="E31" s="7">
        <v>0</v>
      </c>
      <c r="F31" s="12">
        <v>33880.129999999997</v>
      </c>
      <c r="G31" s="7"/>
      <c r="H31" s="7">
        <v>33955.129999999997</v>
      </c>
    </row>
    <row r="32" spans="1:8" x14ac:dyDescent="0.25">
      <c r="D32" s="7"/>
      <c r="E32" s="7"/>
      <c r="F32" s="7"/>
      <c r="G32" s="7"/>
      <c r="H32" s="7"/>
    </row>
    <row r="33" spans="1:8" x14ac:dyDescent="0.25">
      <c r="A33" s="8"/>
      <c r="B33" s="8"/>
      <c r="C33" s="8"/>
      <c r="D33" s="9">
        <f>SUM(D4:D31)</f>
        <v>12450</v>
      </c>
      <c r="E33" s="9">
        <f>SUM(E4:E31)</f>
        <v>0</v>
      </c>
      <c r="F33" s="9">
        <f>SUM(F4:F31)</f>
        <v>491178.37</v>
      </c>
      <c r="G33" s="9"/>
      <c r="H33" s="9">
        <f>SUM(H4:H31)</f>
        <v>492378.37</v>
      </c>
    </row>
  </sheetData>
  <mergeCells count="2">
    <mergeCell ref="A2:D2"/>
    <mergeCell ref="E2:H2"/>
  </mergeCells>
  <pageMargins left="0.7" right="0" top="0.75" bottom="0.75" header="0.3" footer="0.3"/>
  <pageSetup scale="90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D5CE-4C4F-4AF9-B7DD-FE094CEF2144}">
  <sheetPr>
    <pageSetUpPr fitToPage="1"/>
  </sheetPr>
  <dimension ref="A1:E24"/>
  <sheetViews>
    <sheetView workbookViewId="0">
      <selection activeCell="J16" sqref="J16"/>
    </sheetView>
  </sheetViews>
  <sheetFormatPr defaultRowHeight="15.75" x14ac:dyDescent="0.25"/>
  <cols>
    <col min="1" max="1" width="13.42578125" style="1" customWidth="1"/>
    <col min="2" max="2" width="9.140625" style="1"/>
    <col min="3" max="3" width="22.7109375" style="1" customWidth="1"/>
    <col min="4" max="4" width="10.7109375" style="1" customWidth="1"/>
    <col min="5" max="5" width="22.42578125" style="1" customWidth="1"/>
    <col min="6" max="16384" width="9.140625" style="1"/>
  </cols>
  <sheetData>
    <row r="1" spans="1:5" s="1" customFormat="1" ht="24.95" customHeight="1" x14ac:dyDescent="0.25">
      <c r="A1" s="1" t="s">
        <v>111</v>
      </c>
      <c r="E1" s="10">
        <v>45953</v>
      </c>
    </row>
    <row r="2" spans="1:5" s="1" customFormat="1" ht="24.95" customHeight="1" x14ac:dyDescent="0.25">
      <c r="A2" s="4" t="s">
        <v>0</v>
      </c>
      <c r="B2" s="5"/>
      <c r="C2" s="5"/>
      <c r="D2" s="6" t="s">
        <v>109</v>
      </c>
      <c r="E2" s="5"/>
    </row>
    <row r="3" spans="1:5" s="1" customFormat="1" ht="24.95" customHeight="1" x14ac:dyDescent="0.25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s="1" customFormat="1" ht="24.95" customHeight="1" x14ac:dyDescent="0.25">
      <c r="A4" s="1" t="s">
        <v>21</v>
      </c>
      <c r="B4" s="1" t="s">
        <v>22</v>
      </c>
      <c r="C4" s="1" t="s">
        <v>23</v>
      </c>
      <c r="E4" s="1" t="s">
        <v>24</v>
      </c>
    </row>
    <row r="5" spans="1:5" s="1" customFormat="1" ht="24.95" customHeight="1" x14ac:dyDescent="0.25">
      <c r="A5" s="1" t="s">
        <v>27</v>
      </c>
      <c r="B5" s="1" t="s">
        <v>22</v>
      </c>
      <c r="C5" s="1" t="s">
        <v>28</v>
      </c>
      <c r="E5" s="1" t="s">
        <v>29</v>
      </c>
    </row>
    <row r="6" spans="1:5" s="1" customFormat="1" ht="24.95" customHeight="1" x14ac:dyDescent="0.25">
      <c r="A6" s="1" t="s">
        <v>33</v>
      </c>
      <c r="B6" s="1" t="s">
        <v>22</v>
      </c>
      <c r="C6" s="1" t="s">
        <v>34</v>
      </c>
      <c r="E6" s="1" t="s">
        <v>35</v>
      </c>
    </row>
    <row r="7" spans="1:5" s="1" customFormat="1" ht="24.95" customHeight="1" x14ac:dyDescent="0.25">
      <c r="A7" s="1" t="s">
        <v>38</v>
      </c>
      <c r="B7" s="1" t="s">
        <v>22</v>
      </c>
      <c r="C7" s="1" t="s">
        <v>39</v>
      </c>
      <c r="E7" s="1" t="s">
        <v>29</v>
      </c>
    </row>
    <row r="8" spans="1:5" s="1" customFormat="1" ht="24.95" customHeight="1" x14ac:dyDescent="0.25">
      <c r="A8" s="1" t="s">
        <v>47</v>
      </c>
      <c r="B8" s="1" t="s">
        <v>22</v>
      </c>
      <c r="C8" s="1" t="s">
        <v>48</v>
      </c>
      <c r="E8" s="1" t="s">
        <v>29</v>
      </c>
    </row>
    <row r="9" spans="1:5" s="1" customFormat="1" ht="24.95" customHeight="1" x14ac:dyDescent="0.25">
      <c r="A9" s="1" t="s">
        <v>63</v>
      </c>
      <c r="B9" s="1" t="s">
        <v>22</v>
      </c>
      <c r="C9" s="1" t="s">
        <v>64</v>
      </c>
      <c r="E9" s="1" t="s">
        <v>65</v>
      </c>
    </row>
    <row r="10" spans="1:5" s="1" customFormat="1" ht="24.95" customHeight="1" x14ac:dyDescent="0.25">
      <c r="A10" s="1" t="s">
        <v>73</v>
      </c>
      <c r="B10" s="1" t="s">
        <v>22</v>
      </c>
      <c r="C10" s="1" t="s">
        <v>74</v>
      </c>
      <c r="E10" s="1" t="s">
        <v>75</v>
      </c>
    </row>
    <row r="11" spans="1:5" s="1" customFormat="1" ht="24.95" customHeight="1" x14ac:dyDescent="0.25">
      <c r="A11" s="8"/>
      <c r="B11" s="8"/>
      <c r="C11" s="8" t="s">
        <v>110</v>
      </c>
      <c r="D11" s="8"/>
      <c r="E11" s="8"/>
    </row>
    <row r="16" spans="1:5" s="1" customFormat="1" x14ac:dyDescent="0.25">
      <c r="A16" s="1" t="s">
        <v>112</v>
      </c>
      <c r="B16" s="11"/>
      <c r="C16" s="11"/>
      <c r="D16" s="11"/>
    </row>
    <row r="20" spans="1:4" s="1" customFormat="1" x14ac:dyDescent="0.25">
      <c r="A20" s="1" t="s">
        <v>113</v>
      </c>
      <c r="B20" s="11"/>
      <c r="C20" s="11"/>
      <c r="D20" s="11"/>
    </row>
    <row r="24" spans="1:4" s="1" customFormat="1" x14ac:dyDescent="0.25">
      <c r="A24" s="1" t="s">
        <v>114</v>
      </c>
      <c r="B24" s="11"/>
      <c r="C24" s="11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2025-10-23T18:41:08Z</cp:lastPrinted>
  <dcterms:created xsi:type="dcterms:W3CDTF">2025-10-23T18:14:59Z</dcterms:created>
  <dcterms:modified xsi:type="dcterms:W3CDTF">2025-10-23T19:05:35Z</dcterms:modified>
</cp:coreProperties>
</file>