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1837562-9C83-465F-B7E4-6AC80230A957}" xr6:coauthVersionLast="47" xr6:coauthVersionMax="47" xr10:uidLastSave="{00000000-0000-0000-0000-000000000000}"/>
  <bookViews>
    <workbookView xWindow="29670" yWindow="1200" windowWidth="22035" windowHeight="1447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3" i="2"/>
  <c r="G26" i="2"/>
  <c r="G29" i="2"/>
  <c r="G37" i="2"/>
  <c r="H39" i="2"/>
  <c r="F39" i="2"/>
  <c r="E39" i="2"/>
  <c r="D39" i="2"/>
  <c r="H26" i="1" l="1"/>
</calcChain>
</file>

<file path=xl/sharedStrings.xml><?xml version="1.0" encoding="utf-8"?>
<sst xmlns="http://schemas.openxmlformats.org/spreadsheetml/2006/main" count="286" uniqueCount="143">
  <si>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</si>
  <si>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</si>
  <si>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</si>
  <si>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</si>
  <si>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</si>
  <si>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</si>
  <si>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</si>
  <si>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</si>
  <si>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</si>
  <si>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</si>
  <si>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</si>
  <si>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</si>
  <si>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</si>
  <si>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</si>
  <si>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</si>
  <si>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</si>
  <si>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</si>
  <si>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FLYNN, WILLIAM</t>
  </si>
  <si>
    <t>Paul Masse Buick GMC South, Inc</t>
  </si>
  <si>
    <t>Rachel Gorham</t>
  </si>
  <si>
    <t>wjfjr1220@gmail.com</t>
  </si>
  <si>
    <t>ROMANO</t>
  </si>
  <si>
    <t>GOMES, DENNIS</t>
  </si>
  <si>
    <t>Tasca Ford</t>
  </si>
  <si>
    <t>DENNISGOMESR@AOL.COM</t>
  </si>
  <si>
    <t>PERRON</t>
  </si>
  <si>
    <t>GERNHARD, THEODORE</t>
  </si>
  <si>
    <t>TGERNHARD66@GMAIL.COM</t>
  </si>
  <si>
    <t>LaSAGE</t>
  </si>
  <si>
    <t>DISHONG, EDWARD</t>
  </si>
  <si>
    <t>Mathieu Ford Sales, Inc</t>
  </si>
  <si>
    <t>emdishong@comcast.net</t>
  </si>
  <si>
    <t>MOHL</t>
  </si>
  <si>
    <t>DAVIS, SAADON</t>
  </si>
  <si>
    <t>DAVIS, AMANDA</t>
  </si>
  <si>
    <t>Lucchettis Service Center Inc</t>
  </si>
  <si>
    <t>Neli Oliveira</t>
  </si>
  <si>
    <t>SAADONDAVIS@GMAIL.COM</t>
  </si>
  <si>
    <t>agh6385@yahoo.com</t>
  </si>
  <si>
    <t>GRAY</t>
  </si>
  <si>
    <t>GILMAN</t>
  </si>
  <si>
    <t>151229880</t>
  </si>
  <si>
    <t>DealerTrack</t>
  </si>
  <si>
    <t>Paper</t>
  </si>
  <si>
    <t>FIELD, STEVEN</t>
  </si>
  <si>
    <t>Planet Automotive Sales LLC</t>
  </si>
  <si>
    <t>STEVE@IMPERATORECRANE.COM</t>
  </si>
  <si>
    <t>COLLINS</t>
  </si>
  <si>
    <t>151229898</t>
  </si>
  <si>
    <t>DIGIULIO, DONNA</t>
  </si>
  <si>
    <t>Donna@williamsandstuart.com</t>
  </si>
  <si>
    <t>PAOLI</t>
  </si>
  <si>
    <t>MAY, CRISTY</t>
  </si>
  <si>
    <t>Grieco Toyota</t>
  </si>
  <si>
    <t>CHAIAMMAY@GMAIL.COM</t>
  </si>
  <si>
    <t>BLOCH</t>
  </si>
  <si>
    <t>BRAVO, MARIANO</t>
  </si>
  <si>
    <t>BORGES</t>
  </si>
  <si>
    <t>COUTO, LUIS</t>
  </si>
  <si>
    <t>COUTO, MERISSA</t>
  </si>
  <si>
    <t>merissacouto@gmail.com</t>
  </si>
  <si>
    <t>OLIVER</t>
  </si>
  <si>
    <t>FERLAND</t>
  </si>
  <si>
    <t>BRAND, JORGE</t>
  </si>
  <si>
    <t>AUXILIO</t>
  </si>
  <si>
    <t>DESTREMPS, JANINE</t>
  </si>
  <si>
    <t>Atlantic Subaru</t>
  </si>
  <si>
    <t>JANINED123@YAHOO.COM</t>
  </si>
  <si>
    <t>BOUCHER</t>
  </si>
  <si>
    <t>STOKES, ALLISON</t>
  </si>
  <si>
    <t>Flood Mazda</t>
  </si>
  <si>
    <t>ATISCH913@YAHOO.COM</t>
  </si>
  <si>
    <t>TISCH</t>
  </si>
  <si>
    <t>GARRIGAN, PAUL</t>
  </si>
  <si>
    <t>PAULFGARRIGAN@MSN.COM</t>
  </si>
  <si>
    <t>VENO</t>
  </si>
  <si>
    <t>CASALE, AMY</t>
  </si>
  <si>
    <t>casaleamy75@gmail.com</t>
  </si>
  <si>
    <t>CARLUCCI</t>
  </si>
  <si>
    <t>GOULET, MATTHIEW</t>
  </si>
  <si>
    <t>DRUMFISH6@YAHOO.COM</t>
  </si>
  <si>
    <t>GOULET</t>
  </si>
  <si>
    <t>LAVASSEUR, MATTHEW</t>
  </si>
  <si>
    <t>New England Automax Inc (marlborough)</t>
  </si>
  <si>
    <t>MALAVASSEUR@GMAIL.COM</t>
  </si>
  <si>
    <t>PALMER</t>
  </si>
  <si>
    <t>151230069</t>
  </si>
  <si>
    <t>DURUDOGAN, WENDY</t>
  </si>
  <si>
    <t>MCCOMBS</t>
  </si>
  <si>
    <t>151230077</t>
  </si>
  <si>
    <t>HOULE, EMILY</t>
  </si>
  <si>
    <t>Saccucci Honda</t>
  </si>
  <si>
    <t>EHOULE1030@GMAIL.COM</t>
  </si>
  <si>
    <t>DAVIS</t>
  </si>
  <si>
    <t>CANASTRA, RAYMOND</t>
  </si>
  <si>
    <t>Mastria Buick Pontiac</t>
  </si>
  <si>
    <t>ALFERES</t>
  </si>
  <si>
    <t>WHALING CITY SEAFOOD DISPLAY AUCTION, INC.</t>
  </si>
  <si>
    <t>151230100</t>
  </si>
  <si>
    <t>OKEEFE, COLLEEN</t>
  </si>
  <si>
    <t>OCONNOR, RORY</t>
  </si>
  <si>
    <t>S&amp;E Auto Services and Sales Inc</t>
  </si>
  <si>
    <t>COLLEEN.OKEEFE95@GMAIL.COM</t>
  </si>
  <si>
    <t>GILL</t>
  </si>
  <si>
    <t>BURCHILL</t>
  </si>
  <si>
    <t>DI CICCO, NICHOLAS</t>
  </si>
  <si>
    <t>DICICCO, DONNA</t>
  </si>
  <si>
    <t>Metro Honda</t>
  </si>
  <si>
    <t>DMD212@YAHOO.COM</t>
  </si>
  <si>
    <t>BARLOW</t>
  </si>
  <si>
    <t>LAFRANCE</t>
  </si>
  <si>
    <t># 22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</si>
  <si>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</si>
  <si>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</si>
  <si>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</si>
  <si>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</si>
  <si>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</si>
  <si>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</si>
  <si>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5</t>
  </si>
  <si>
    <t>Column1</t>
  </si>
  <si>
    <t>Column2</t>
  </si>
  <si>
    <t>4453-2150</t>
  </si>
  <si>
    <t>151229715 E</t>
  </si>
  <si>
    <t>151229749 E</t>
  </si>
  <si>
    <t>151229848 E</t>
  </si>
  <si>
    <t>151229856 E</t>
  </si>
  <si>
    <t>151229872 E</t>
  </si>
  <si>
    <t>151229921 E</t>
  </si>
  <si>
    <t>151229939 E</t>
  </si>
  <si>
    <t>151229947 E</t>
  </si>
  <si>
    <t>151229971 E</t>
  </si>
  <si>
    <t>151229989 E</t>
  </si>
  <si>
    <t>151229997 E</t>
  </si>
  <si>
    <t>151230001 E</t>
  </si>
  <si>
    <t>151230027 E</t>
  </si>
  <si>
    <t>151230043 E</t>
  </si>
  <si>
    <t>151230051 E</t>
  </si>
  <si>
    <t>151230085 E</t>
  </si>
  <si>
    <t>151230126 E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</si>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</sst>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4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right"/>
    </xf>
    <xf numFmtId="7" fontId="2" fillId="0" borderId="0" xfId="0" applyNumberFormat="1" applyFont="1"/>
    <xf numFmtId="7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7" fontId="4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1" xfId="0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6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272DB-5942-4B5C-BF49-0A396AD131C2}" name="Table_13" displayName="Table_13" ref="A3:H39" headerRowDxfId="2" dataDxfId="0" totalsRowDxfId="1">
  <tableColumns count="8">
    <tableColumn id="1" xr3:uid="{80585CFB-ED7C-4804-AF4D-6F782FF30F1C}" name="Dealer Name" dataDxfId="10"/>
    <tableColumn id="7" xr3:uid="{8AA07D4F-ACCD-437C-A846-532D7A41ECA9}" name="Column1" dataDxfId="9"/>
    <tableColumn id="2" xr3:uid="{55CACA19-7616-4402-A16F-27F6EE049312}" name="Funded by" dataDxfId="8"/>
    <tableColumn id="3" xr3:uid="{9A6E8326-9372-4BFE-972A-F414F04DA32F}" name="Dealer Flat" dataDxfId="7"/>
    <tableColumn id="4" xr3:uid="{A22984E5-CF96-4D64-9307-5C4903792F3F}" name="Dealer Split" dataDxfId="6"/>
    <tableColumn id="5" xr3:uid="{AB2EF33F-4F85-4408-940E-D816F17B9D80}" name="Net to Dealer" dataDxfId="5"/>
    <tableColumn id="8" xr3:uid="{DC1C3533-378C-4524-99E2-AFEA9123E758}" name="Column2" dataDxfId="4"/>
    <tableColumn id="6" xr3:uid="{54358350-AF24-415E-84EE-2EFC039179BE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6F1871-F724-4414-BFF7-EFEB516077AE}" name="Table_14" displayName="Table_14" ref="A3:E9">
  <tableColumns count="5">
    <tableColumn id="1" xr3:uid="{EFE7BC31-A61B-4002-ADB7-59A610010399}" name="Account Number"/>
    <tableColumn id="2" xr3:uid="{AC8CD08B-EB27-4E17-9555-4C41BEB8E2DE}" name="Contract Type"/>
    <tableColumn id="3" xr3:uid="{0A149107-516F-42A6-989F-362C16314260}" name="Applicant Name"/>
    <tableColumn id="4" xr3:uid="{4E23564C-DC59-419C-BCAF-2AC40E86DE0C}" name="Co-Applicant Name"/>
    <tableColumn id="5" xr3:uid="{131B3F55-95E8-4EA2-A6A1-29D31CE65C67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6"/>
  <sheetViews>
    <sheetView tabSelected="1" workbookViewId="0">
      <pane ySplit="3" topLeftCell="A14" activePane="bottomLeft" state="frozen"/>
      <selection pane="bottomLeft" activeCell="C28" sqref="C28"/>
    </sheetView>
  </sheetViews>
  <sheetFormatPr defaultRowHeight="15" x14ac:dyDescent="0.25"/>
  <cols>
    <col min="1" max="1" width="14.140625" customWidth="1"/>
    <col min="2" max="2" width="12.140625" bestFit="1" customWidth="1"/>
    <col min="3" max="3" width="14" bestFit="1" customWidth="1"/>
    <col min="4" max="4" width="23.140625" bestFit="1" customWidth="1"/>
    <col min="5" max="5" width="18.7109375" bestFit="1" customWidth="1"/>
    <col min="6" max="6" width="39" bestFit="1" customWidth="1"/>
    <col min="7" max="7" width="15.140625" bestFit="1" customWidth="1"/>
    <col min="8" max="8" width="17.140625" bestFit="1" customWidth="1"/>
    <col min="9" max="9" width="25.85546875" customWidth="1"/>
    <col min="10" max="10" width="18.5703125" customWidth="1"/>
    <col min="11" max="11" width="14" customWidth="1"/>
    <col min="12" max="12" width="12.85546875" bestFit="1" customWidth="1"/>
    <col min="13" max="13" width="46.140625" hidden="1" customWidth="1"/>
  </cols>
  <sheetData>
    <row r="1" spans="1:13" x14ac:dyDescent="0.25">
      <c r="K1" s="21">
        <v>45930</v>
      </c>
      <c r="L1" s="8"/>
      <c r="M1" s="4">
        <v>45930.999988425923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ht="30" customHeight="1" x14ac:dyDescent="0.25">
      <c r="A4" t="s">
        <v>122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36711.14</v>
      </c>
      <c r="I4" t="s">
        <v>20</v>
      </c>
      <c r="K4" t="s">
        <v>21</v>
      </c>
    </row>
    <row r="5" spans="1:13" ht="30" customHeight="1" x14ac:dyDescent="0.25">
      <c r="A5" t="s">
        <v>123</v>
      </c>
      <c r="B5" t="s">
        <v>15</v>
      </c>
      <c r="C5" t="s">
        <v>16</v>
      </c>
      <c r="D5" t="s">
        <v>22</v>
      </c>
      <c r="F5" t="s">
        <v>23</v>
      </c>
      <c r="G5" t="s">
        <v>19</v>
      </c>
      <c r="H5" s="2">
        <v>22538.240000000002</v>
      </c>
      <c r="I5" t="s">
        <v>24</v>
      </c>
      <c r="K5" t="s">
        <v>25</v>
      </c>
    </row>
    <row r="6" spans="1:13" ht="30" customHeight="1" x14ac:dyDescent="0.25">
      <c r="A6" t="s">
        <v>124</v>
      </c>
      <c r="B6" t="s">
        <v>15</v>
      </c>
      <c r="C6" t="s">
        <v>16</v>
      </c>
      <c r="D6" t="s">
        <v>26</v>
      </c>
      <c r="F6" t="s">
        <v>23</v>
      </c>
      <c r="G6" t="s">
        <v>19</v>
      </c>
      <c r="H6" s="2">
        <v>21206.41</v>
      </c>
      <c r="I6" t="s">
        <v>27</v>
      </c>
      <c r="K6" t="s">
        <v>28</v>
      </c>
    </row>
    <row r="7" spans="1:13" ht="30" customHeight="1" x14ac:dyDescent="0.25">
      <c r="A7" t="s">
        <v>125</v>
      </c>
      <c r="B7" t="s">
        <v>15</v>
      </c>
      <c r="C7" t="s">
        <v>16</v>
      </c>
      <c r="D7" t="s">
        <v>29</v>
      </c>
      <c r="F7" t="s">
        <v>30</v>
      </c>
      <c r="G7" t="s">
        <v>19</v>
      </c>
      <c r="H7" s="2">
        <v>30986</v>
      </c>
      <c r="I7" t="s">
        <v>31</v>
      </c>
      <c r="K7" t="s">
        <v>32</v>
      </c>
    </row>
    <row r="8" spans="1:13" ht="30" customHeight="1" x14ac:dyDescent="0.25">
      <c r="A8" t="s">
        <v>126</v>
      </c>
      <c r="B8" t="s">
        <v>15</v>
      </c>
      <c r="C8" t="s">
        <v>16</v>
      </c>
      <c r="D8" t="s">
        <v>33</v>
      </c>
      <c r="E8" t="s">
        <v>34</v>
      </c>
      <c r="F8" t="s">
        <v>35</v>
      </c>
      <c r="G8" t="s">
        <v>36</v>
      </c>
      <c r="H8" s="2">
        <v>19559.5</v>
      </c>
      <c r="I8" t="s">
        <v>37</v>
      </c>
      <c r="J8" t="s">
        <v>38</v>
      </c>
      <c r="K8" t="s">
        <v>39</v>
      </c>
      <c r="L8" t="s">
        <v>40</v>
      </c>
    </row>
    <row r="9" spans="1:13" ht="30" customHeight="1" x14ac:dyDescent="0.25">
      <c r="A9" t="s">
        <v>41</v>
      </c>
      <c r="B9" t="s">
        <v>42</v>
      </c>
      <c r="C9" t="s">
        <v>43</v>
      </c>
      <c r="D9" t="s">
        <v>44</v>
      </c>
      <c r="F9" t="s">
        <v>45</v>
      </c>
      <c r="G9" t="s">
        <v>36</v>
      </c>
      <c r="H9" s="2">
        <v>37016.65</v>
      </c>
      <c r="I9" t="s">
        <v>46</v>
      </c>
      <c r="K9" t="s">
        <v>47</v>
      </c>
    </row>
    <row r="10" spans="1:13" ht="30" customHeight="1" x14ac:dyDescent="0.25">
      <c r="A10" t="s">
        <v>48</v>
      </c>
      <c r="B10" t="s">
        <v>42</v>
      </c>
      <c r="C10" t="s">
        <v>43</v>
      </c>
      <c r="D10" t="s">
        <v>49</v>
      </c>
      <c r="F10" t="s">
        <v>45</v>
      </c>
      <c r="G10" t="s">
        <v>36</v>
      </c>
      <c r="H10" s="2">
        <v>38644.65</v>
      </c>
      <c r="I10" t="s">
        <v>50</v>
      </c>
      <c r="K10" t="s">
        <v>51</v>
      </c>
    </row>
    <row r="11" spans="1:13" ht="30" customHeight="1" x14ac:dyDescent="0.25">
      <c r="A11" t="s">
        <v>127</v>
      </c>
      <c r="B11" t="s">
        <v>15</v>
      </c>
      <c r="C11" t="s">
        <v>16</v>
      </c>
      <c r="D11" t="s">
        <v>52</v>
      </c>
      <c r="F11" t="s">
        <v>53</v>
      </c>
      <c r="G11" t="s">
        <v>36</v>
      </c>
      <c r="H11" s="2">
        <v>26979.02</v>
      </c>
      <c r="I11" t="s">
        <v>54</v>
      </c>
      <c r="K11" t="s">
        <v>55</v>
      </c>
    </row>
    <row r="12" spans="1:13" ht="30" customHeight="1" x14ac:dyDescent="0.25">
      <c r="A12" t="s">
        <v>128</v>
      </c>
      <c r="B12" t="s">
        <v>15</v>
      </c>
      <c r="C12" t="s">
        <v>16</v>
      </c>
      <c r="D12" t="s">
        <v>56</v>
      </c>
      <c r="F12" t="s">
        <v>53</v>
      </c>
      <c r="G12" t="s">
        <v>36</v>
      </c>
      <c r="H12" s="2">
        <v>34384.68</v>
      </c>
      <c r="K12" t="s">
        <v>57</v>
      </c>
    </row>
    <row r="13" spans="1:13" ht="30" customHeight="1" x14ac:dyDescent="0.25">
      <c r="A13" t="s">
        <v>129</v>
      </c>
      <c r="B13" t="s">
        <v>15</v>
      </c>
      <c r="C13" t="s">
        <v>16</v>
      </c>
      <c r="D13" t="s">
        <v>58</v>
      </c>
      <c r="E13" t="s">
        <v>59</v>
      </c>
      <c r="F13" t="s">
        <v>53</v>
      </c>
      <c r="G13" t="s">
        <v>36</v>
      </c>
      <c r="H13" s="2">
        <v>24338.560000000001</v>
      </c>
      <c r="I13" t="s">
        <v>60</v>
      </c>
      <c r="K13" t="s">
        <v>61</v>
      </c>
      <c r="L13" t="s">
        <v>62</v>
      </c>
    </row>
    <row r="14" spans="1:13" ht="30" customHeight="1" x14ac:dyDescent="0.25">
      <c r="A14" t="s">
        <v>130</v>
      </c>
      <c r="B14" t="s">
        <v>15</v>
      </c>
      <c r="C14" t="s">
        <v>16</v>
      </c>
      <c r="D14" t="s">
        <v>63</v>
      </c>
      <c r="F14" t="s">
        <v>18</v>
      </c>
      <c r="G14" t="s">
        <v>36</v>
      </c>
      <c r="H14" s="2">
        <v>56477.69</v>
      </c>
      <c r="K14" t="s">
        <v>64</v>
      </c>
    </row>
    <row r="15" spans="1:13" ht="30" customHeight="1" x14ac:dyDescent="0.25">
      <c r="A15" t="s">
        <v>131</v>
      </c>
      <c r="B15" t="s">
        <v>42</v>
      </c>
      <c r="C15" t="s">
        <v>16</v>
      </c>
      <c r="D15" t="s">
        <v>65</v>
      </c>
      <c r="F15" t="s">
        <v>66</v>
      </c>
      <c r="G15" t="s">
        <v>36</v>
      </c>
      <c r="H15" s="2">
        <v>17454.560000000001</v>
      </c>
      <c r="I15" t="s">
        <v>67</v>
      </c>
      <c r="K15" t="s">
        <v>68</v>
      </c>
    </row>
    <row r="16" spans="1:13" ht="30" customHeight="1" x14ac:dyDescent="0.25">
      <c r="A16" t="s">
        <v>132</v>
      </c>
      <c r="B16" t="s">
        <v>15</v>
      </c>
      <c r="C16" t="s">
        <v>16</v>
      </c>
      <c r="D16" t="s">
        <v>69</v>
      </c>
      <c r="F16" t="s">
        <v>70</v>
      </c>
      <c r="G16" t="s">
        <v>36</v>
      </c>
      <c r="H16" s="2">
        <v>33801.120000000003</v>
      </c>
      <c r="I16" t="s">
        <v>71</v>
      </c>
      <c r="K16" t="s">
        <v>72</v>
      </c>
    </row>
    <row r="17" spans="1:13" ht="30" customHeight="1" x14ac:dyDescent="0.25">
      <c r="A17" t="s">
        <v>133</v>
      </c>
      <c r="B17" t="s">
        <v>15</v>
      </c>
      <c r="C17" t="s">
        <v>16</v>
      </c>
      <c r="D17" t="s">
        <v>73</v>
      </c>
      <c r="F17" t="s">
        <v>23</v>
      </c>
      <c r="G17" t="s">
        <v>36</v>
      </c>
      <c r="H17" s="2">
        <v>54775</v>
      </c>
      <c r="I17" t="s">
        <v>74</v>
      </c>
      <c r="K17" t="s">
        <v>75</v>
      </c>
    </row>
    <row r="18" spans="1:13" ht="30" customHeight="1" x14ac:dyDescent="0.25">
      <c r="A18" t="s">
        <v>134</v>
      </c>
      <c r="B18" t="s">
        <v>15</v>
      </c>
      <c r="C18" t="s">
        <v>16</v>
      </c>
      <c r="D18" t="s">
        <v>76</v>
      </c>
      <c r="F18" t="s">
        <v>70</v>
      </c>
      <c r="G18" t="s">
        <v>36</v>
      </c>
      <c r="H18" s="2">
        <v>15045.19</v>
      </c>
      <c r="I18" t="s">
        <v>77</v>
      </c>
      <c r="K18" t="s">
        <v>78</v>
      </c>
    </row>
    <row r="19" spans="1:13" ht="30" customHeight="1" x14ac:dyDescent="0.25">
      <c r="A19" t="s">
        <v>135</v>
      </c>
      <c r="B19" t="s">
        <v>15</v>
      </c>
      <c r="C19" t="s">
        <v>16</v>
      </c>
      <c r="D19" t="s">
        <v>79</v>
      </c>
      <c r="F19" t="s">
        <v>70</v>
      </c>
      <c r="G19" t="s">
        <v>19</v>
      </c>
      <c r="H19" s="2">
        <v>28198.54</v>
      </c>
      <c r="I19" t="s">
        <v>80</v>
      </c>
      <c r="K19" t="s">
        <v>81</v>
      </c>
    </row>
    <row r="20" spans="1:13" ht="30" customHeight="1" x14ac:dyDescent="0.25">
      <c r="A20" t="s">
        <v>136</v>
      </c>
      <c r="B20" t="s">
        <v>42</v>
      </c>
      <c r="C20" t="s">
        <v>16</v>
      </c>
      <c r="D20" t="s">
        <v>82</v>
      </c>
      <c r="F20" t="s">
        <v>83</v>
      </c>
      <c r="G20" t="s">
        <v>19</v>
      </c>
      <c r="H20" s="2">
        <v>17096.810000000001</v>
      </c>
      <c r="I20" t="s">
        <v>84</v>
      </c>
      <c r="K20" t="s">
        <v>85</v>
      </c>
    </row>
    <row r="21" spans="1:13" ht="30" customHeight="1" x14ac:dyDescent="0.25">
      <c r="A21" t="s">
        <v>86</v>
      </c>
      <c r="B21" t="s">
        <v>15</v>
      </c>
      <c r="C21" t="s">
        <v>43</v>
      </c>
      <c r="D21" t="s">
        <v>87</v>
      </c>
      <c r="F21" t="s">
        <v>70</v>
      </c>
      <c r="G21" t="s">
        <v>36</v>
      </c>
      <c r="H21" s="2">
        <v>17729.060000000001</v>
      </c>
      <c r="K21" t="s">
        <v>88</v>
      </c>
    </row>
    <row r="22" spans="1:13" ht="30" customHeight="1" x14ac:dyDescent="0.25">
      <c r="A22" t="s">
        <v>89</v>
      </c>
      <c r="B22" t="s">
        <v>42</v>
      </c>
      <c r="C22" t="s">
        <v>43</v>
      </c>
      <c r="D22" t="s">
        <v>90</v>
      </c>
      <c r="F22" t="s">
        <v>91</v>
      </c>
      <c r="G22" t="s">
        <v>36</v>
      </c>
      <c r="H22" s="2">
        <v>36537.83</v>
      </c>
      <c r="I22" t="s">
        <v>92</v>
      </c>
      <c r="K22" t="s">
        <v>93</v>
      </c>
    </row>
    <row r="23" spans="1:13" ht="30" customHeight="1" x14ac:dyDescent="0.25">
      <c r="A23" t="s">
        <v>137</v>
      </c>
      <c r="B23" t="s">
        <v>15</v>
      </c>
      <c r="C23" t="s">
        <v>16</v>
      </c>
      <c r="D23" t="s">
        <v>94</v>
      </c>
      <c r="E23" t="s">
        <v>97</v>
      </c>
      <c r="F23" t="s">
        <v>95</v>
      </c>
      <c r="G23" t="s">
        <v>36</v>
      </c>
      <c r="H23" s="2">
        <v>50083.48</v>
      </c>
      <c r="K23" t="s">
        <v>96</v>
      </c>
    </row>
    <row r="24" spans="1:13" ht="30" customHeight="1" x14ac:dyDescent="0.25">
      <c r="A24" t="s">
        <v>98</v>
      </c>
      <c r="B24" t="s">
        <v>42</v>
      </c>
      <c r="C24" t="s">
        <v>43</v>
      </c>
      <c r="D24" t="s">
        <v>99</v>
      </c>
      <c r="E24" t="s">
        <v>100</v>
      </c>
      <c r="F24" t="s">
        <v>101</v>
      </c>
      <c r="G24" t="s">
        <v>19</v>
      </c>
      <c r="H24" s="2">
        <v>22363.31</v>
      </c>
      <c r="I24" t="s">
        <v>102</v>
      </c>
      <c r="K24" t="s">
        <v>103</v>
      </c>
      <c r="L24" t="s">
        <v>104</v>
      </c>
    </row>
    <row r="25" spans="1:13" ht="30" customHeight="1" x14ac:dyDescent="0.25">
      <c r="A25" t="s">
        <v>138</v>
      </c>
      <c r="B25" t="s">
        <v>42</v>
      </c>
      <c r="C25" t="s">
        <v>16</v>
      </c>
      <c r="D25" t="s">
        <v>105</v>
      </c>
      <c r="E25" t="s">
        <v>106</v>
      </c>
      <c r="F25" t="s">
        <v>107</v>
      </c>
      <c r="G25" t="s">
        <v>19</v>
      </c>
      <c r="H25" s="2">
        <v>33962.35</v>
      </c>
      <c r="I25" t="s">
        <v>108</v>
      </c>
      <c r="K25" t="s">
        <v>109</v>
      </c>
      <c r="L25" t="s">
        <v>110</v>
      </c>
    </row>
    <row r="26" spans="1:13" x14ac:dyDescent="0.25">
      <c r="A26" s="1"/>
      <c r="B26" s="1"/>
      <c r="C26" s="1"/>
      <c r="D26" s="1" t="s">
        <v>111</v>
      </c>
      <c r="E26" s="1"/>
      <c r="F26" s="1"/>
      <c r="G26" s="1"/>
      <c r="H26" s="3">
        <f>SUM(H4:H25)</f>
        <v>675889.78999999992</v>
      </c>
      <c r="I26" s="1"/>
      <c r="J26" s="1"/>
      <c r="K26" s="1"/>
      <c r="L26" s="1"/>
      <c r="M26" s="1"/>
    </row>
  </sheetData>
  <mergeCells count="3">
    <mergeCell ref="A2:F2"/>
    <mergeCell ref="G2:M2"/>
    <mergeCell ref="K1:L1"/>
  </mergeCells>
  <pageMargins left="0.7" right="0.5" top="0.75" bottom="0.25" header="0.3" footer="0.3"/>
  <pageSetup paperSize="5" scale="7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CF7D-757C-478F-AA68-BE042DACF75B}">
  <sheetPr>
    <pageSetUpPr fitToPage="1"/>
  </sheetPr>
  <dimension ref="A1:H39"/>
  <sheetViews>
    <sheetView workbookViewId="0">
      <selection activeCell="N8" sqref="M8:N8"/>
    </sheetView>
  </sheetViews>
  <sheetFormatPr defaultRowHeight="15.75" x14ac:dyDescent="0.25"/>
  <cols>
    <col min="1" max="1" width="21.7109375" style="9" customWidth="1"/>
    <col min="2" max="2" width="14.5703125" style="9" customWidth="1"/>
    <col min="3" max="3" width="16.5703125" style="9" customWidth="1"/>
    <col min="4" max="4" width="12.140625" style="9" customWidth="1"/>
    <col min="5" max="5" width="12.42578125" style="9" customWidth="1"/>
    <col min="6" max="6" width="16.85546875" style="9" customWidth="1"/>
    <col min="7" max="7" width="11.28515625" style="9" customWidth="1"/>
    <col min="8" max="8" width="17" style="9" customWidth="1"/>
    <col min="9" max="16384" width="9.140625" style="9"/>
  </cols>
  <sheetData>
    <row r="1" spans="1:8" x14ac:dyDescent="0.25">
      <c r="E1" s="10"/>
      <c r="G1" s="11">
        <v>45930</v>
      </c>
      <c r="H1" s="12"/>
    </row>
    <row r="2" spans="1:8" x14ac:dyDescent="0.25">
      <c r="A2" s="13" t="s">
        <v>0</v>
      </c>
      <c r="B2" s="13"/>
      <c r="C2" s="14"/>
      <c r="D2" s="14"/>
      <c r="E2" s="15" t="s">
        <v>112</v>
      </c>
      <c r="F2" s="14"/>
      <c r="G2" s="14"/>
      <c r="H2" s="14"/>
    </row>
    <row r="3" spans="1:8" x14ac:dyDescent="0.25">
      <c r="A3" s="9" t="s">
        <v>7</v>
      </c>
      <c r="B3" s="9" t="s">
        <v>119</v>
      </c>
      <c r="C3" s="9" t="s">
        <v>8</v>
      </c>
      <c r="D3" s="9" t="s">
        <v>113</v>
      </c>
      <c r="E3" s="9" t="s">
        <v>114</v>
      </c>
      <c r="F3" s="9" t="s">
        <v>115</v>
      </c>
      <c r="G3" s="9" t="s">
        <v>120</v>
      </c>
      <c r="H3" s="9" t="s">
        <v>116</v>
      </c>
    </row>
    <row r="4" spans="1:8" ht="24.95" customHeight="1" x14ac:dyDescent="0.25">
      <c r="A4" s="9" t="s">
        <v>66</v>
      </c>
      <c r="C4" s="9" t="s">
        <v>36</v>
      </c>
      <c r="D4" s="16">
        <v>500</v>
      </c>
      <c r="E4" s="16">
        <v>0</v>
      </c>
      <c r="F4" s="17">
        <v>17379.560000000001</v>
      </c>
      <c r="G4" s="16"/>
      <c r="H4" s="16">
        <v>17454.560000000001</v>
      </c>
    </row>
    <row r="5" spans="1:8" ht="24.95" customHeight="1" x14ac:dyDescent="0.25">
      <c r="D5" s="16"/>
      <c r="E5" s="16"/>
      <c r="F5" s="16"/>
      <c r="G5" s="16"/>
      <c r="H5" s="16"/>
    </row>
    <row r="6" spans="1:8" ht="24.95" customHeight="1" x14ac:dyDescent="0.25">
      <c r="A6" s="9" t="s">
        <v>70</v>
      </c>
      <c r="C6" s="9" t="s">
        <v>19</v>
      </c>
      <c r="D6" s="16">
        <v>750</v>
      </c>
      <c r="E6" s="16">
        <v>0</v>
      </c>
      <c r="F6" s="16">
        <v>28123.54</v>
      </c>
      <c r="G6" s="16"/>
      <c r="H6" s="16">
        <v>28198.54</v>
      </c>
    </row>
    <row r="7" spans="1:8" ht="24.95" customHeight="1" x14ac:dyDescent="0.25">
      <c r="A7" s="9" t="s">
        <v>70</v>
      </c>
      <c r="C7" s="9" t="s">
        <v>36</v>
      </c>
      <c r="D7" s="16">
        <v>500</v>
      </c>
      <c r="E7" s="16">
        <v>0</v>
      </c>
      <c r="F7" s="16">
        <v>17654.060000000001</v>
      </c>
      <c r="G7" s="16"/>
      <c r="H7" s="16">
        <v>17729.060000000001</v>
      </c>
    </row>
    <row r="8" spans="1:8" ht="24.95" customHeight="1" x14ac:dyDescent="0.25">
      <c r="A8" s="9" t="s">
        <v>70</v>
      </c>
      <c r="C8" s="9" t="s">
        <v>36</v>
      </c>
      <c r="D8" s="16">
        <v>850</v>
      </c>
      <c r="E8" s="16">
        <v>0</v>
      </c>
      <c r="F8" s="16">
        <v>33726.120000000003</v>
      </c>
      <c r="G8" s="16"/>
      <c r="H8" s="16">
        <v>33801.120000000003</v>
      </c>
    </row>
    <row r="9" spans="1:8" ht="24.95" customHeight="1" x14ac:dyDescent="0.25">
      <c r="A9" s="9" t="s">
        <v>70</v>
      </c>
      <c r="C9" s="9" t="s">
        <v>36</v>
      </c>
      <c r="D9" s="16">
        <v>500</v>
      </c>
      <c r="E9" s="16">
        <v>0</v>
      </c>
      <c r="F9" s="16">
        <v>14970.19</v>
      </c>
      <c r="G9" s="17">
        <f>SUM(F6:F9)</f>
        <v>94473.91</v>
      </c>
      <c r="H9" s="16">
        <v>15045.19</v>
      </c>
    </row>
    <row r="10" spans="1:8" ht="24.95" customHeight="1" x14ac:dyDescent="0.25">
      <c r="D10" s="16"/>
      <c r="E10" s="16"/>
      <c r="F10" s="16"/>
      <c r="G10" s="16"/>
      <c r="H10" s="16"/>
    </row>
    <row r="11" spans="1:8" ht="24.95" customHeight="1" x14ac:dyDescent="0.25">
      <c r="A11" s="9" t="s">
        <v>53</v>
      </c>
      <c r="C11" s="9" t="s">
        <v>36</v>
      </c>
      <c r="D11" s="16">
        <v>850</v>
      </c>
      <c r="E11" s="16">
        <v>0</v>
      </c>
      <c r="F11" s="16">
        <v>34309.68</v>
      </c>
      <c r="G11" s="16"/>
      <c r="H11" s="16">
        <v>34384.68</v>
      </c>
    </row>
    <row r="12" spans="1:8" ht="24.95" customHeight="1" x14ac:dyDescent="0.25">
      <c r="A12" s="9" t="s">
        <v>53</v>
      </c>
      <c r="C12" s="9" t="s">
        <v>36</v>
      </c>
      <c r="D12" s="16">
        <v>750</v>
      </c>
      <c r="E12" s="16">
        <v>0</v>
      </c>
      <c r="F12" s="16">
        <v>26904.02</v>
      </c>
      <c r="G12" s="16"/>
      <c r="H12" s="16">
        <v>26979.02</v>
      </c>
    </row>
    <row r="13" spans="1:8" ht="24.95" customHeight="1" x14ac:dyDescent="0.25">
      <c r="A13" s="9" t="s">
        <v>53</v>
      </c>
      <c r="C13" s="9" t="s">
        <v>36</v>
      </c>
      <c r="D13" s="16">
        <v>650</v>
      </c>
      <c r="E13" s="16">
        <v>0</v>
      </c>
      <c r="F13" s="16">
        <v>24263.56</v>
      </c>
      <c r="G13" s="17">
        <f>SUM(F11:F13)</f>
        <v>85477.26</v>
      </c>
      <c r="H13" s="16">
        <v>24338.560000000001</v>
      </c>
    </row>
    <row r="14" spans="1:8" ht="24.95" customHeight="1" x14ac:dyDescent="0.25">
      <c r="D14" s="16"/>
      <c r="E14" s="16"/>
      <c r="F14" s="16"/>
      <c r="G14" s="16"/>
      <c r="H14" s="16"/>
    </row>
    <row r="15" spans="1:8" ht="24.95" customHeight="1" x14ac:dyDescent="0.25">
      <c r="A15" s="9" t="s">
        <v>35</v>
      </c>
      <c r="C15" s="9" t="s">
        <v>36</v>
      </c>
      <c r="D15" s="16">
        <v>500</v>
      </c>
      <c r="E15" s="16">
        <v>0</v>
      </c>
      <c r="F15" s="17">
        <v>19484.5</v>
      </c>
      <c r="G15" s="16"/>
      <c r="H15" s="16">
        <v>19559.5</v>
      </c>
    </row>
    <row r="16" spans="1:8" ht="24.95" customHeight="1" x14ac:dyDescent="0.25">
      <c r="D16" s="16"/>
      <c r="E16" s="16"/>
      <c r="F16" s="16"/>
      <c r="G16" s="16"/>
      <c r="H16" s="16"/>
    </row>
    <row r="17" spans="1:8" ht="24.95" customHeight="1" x14ac:dyDescent="0.25">
      <c r="A17" s="9" t="s">
        <v>95</v>
      </c>
      <c r="B17" s="18" t="s">
        <v>121</v>
      </c>
      <c r="C17" s="9" t="s">
        <v>36</v>
      </c>
      <c r="D17" s="16">
        <v>1350</v>
      </c>
      <c r="E17" s="16">
        <v>0</v>
      </c>
      <c r="F17" s="17">
        <v>50008.480000000003</v>
      </c>
      <c r="G17" s="16"/>
      <c r="H17" s="16">
        <v>50083.48</v>
      </c>
    </row>
    <row r="18" spans="1:8" ht="24.95" customHeight="1" x14ac:dyDescent="0.25">
      <c r="B18" s="18"/>
      <c r="D18" s="16"/>
      <c r="E18" s="16"/>
      <c r="F18" s="16"/>
      <c r="G18" s="16"/>
      <c r="H18" s="16"/>
    </row>
    <row r="19" spans="1:8" ht="24.95" customHeight="1" x14ac:dyDescent="0.25">
      <c r="A19" s="9" t="s">
        <v>30</v>
      </c>
      <c r="C19" s="9" t="s">
        <v>19</v>
      </c>
      <c r="D19" s="16">
        <v>850</v>
      </c>
      <c r="E19" s="16">
        <v>0</v>
      </c>
      <c r="F19" s="17">
        <v>30911</v>
      </c>
      <c r="G19" s="16"/>
      <c r="H19" s="16">
        <v>30986</v>
      </c>
    </row>
    <row r="20" spans="1:8" ht="24.95" customHeight="1" x14ac:dyDescent="0.25">
      <c r="D20" s="16"/>
      <c r="E20" s="16"/>
      <c r="F20" s="17"/>
      <c r="G20" s="16"/>
      <c r="H20" s="16"/>
    </row>
    <row r="21" spans="1:8" ht="24.95" customHeight="1" x14ac:dyDescent="0.25">
      <c r="A21" s="9" t="s">
        <v>107</v>
      </c>
      <c r="C21" s="9" t="s">
        <v>19</v>
      </c>
      <c r="D21" s="16">
        <v>850</v>
      </c>
      <c r="E21" s="16">
        <v>0</v>
      </c>
      <c r="F21" s="17">
        <v>33887.35</v>
      </c>
      <c r="G21" s="16"/>
      <c r="H21" s="16">
        <v>33962.35</v>
      </c>
    </row>
    <row r="22" spans="1:8" ht="24.95" customHeight="1" x14ac:dyDescent="0.25">
      <c r="D22" s="16"/>
      <c r="E22" s="16"/>
      <c r="F22" s="17"/>
      <c r="G22" s="16"/>
      <c r="H22" s="16"/>
    </row>
    <row r="23" spans="1:8" ht="24.95" customHeight="1" x14ac:dyDescent="0.25">
      <c r="A23" s="9" t="s">
        <v>83</v>
      </c>
      <c r="C23" s="9" t="s">
        <v>19</v>
      </c>
      <c r="D23" s="16">
        <v>500</v>
      </c>
      <c r="E23" s="16">
        <v>0</v>
      </c>
      <c r="F23" s="17">
        <v>17021.810000000001</v>
      </c>
      <c r="G23" s="16"/>
      <c r="H23" s="16">
        <v>17096.810000000001</v>
      </c>
    </row>
    <row r="24" spans="1:8" ht="24.95" customHeight="1" x14ac:dyDescent="0.25">
      <c r="D24" s="16"/>
      <c r="E24" s="16"/>
      <c r="F24" s="16"/>
      <c r="G24" s="16"/>
      <c r="H24" s="16"/>
    </row>
    <row r="25" spans="1:8" ht="24.95" customHeight="1" x14ac:dyDescent="0.25">
      <c r="A25" s="9" t="s">
        <v>18</v>
      </c>
      <c r="C25" s="9" t="s">
        <v>19</v>
      </c>
      <c r="D25" s="16">
        <v>950</v>
      </c>
      <c r="E25" s="16">
        <v>0</v>
      </c>
      <c r="F25" s="16">
        <v>36636.14</v>
      </c>
      <c r="G25" s="16"/>
      <c r="H25" s="16">
        <v>36711.14</v>
      </c>
    </row>
    <row r="26" spans="1:8" ht="24.95" customHeight="1" x14ac:dyDescent="0.25">
      <c r="A26" s="9" t="s">
        <v>18</v>
      </c>
      <c r="C26" s="9" t="s">
        <v>36</v>
      </c>
      <c r="D26" s="16">
        <v>1350</v>
      </c>
      <c r="E26" s="16">
        <v>0</v>
      </c>
      <c r="F26" s="16">
        <v>56402.69</v>
      </c>
      <c r="G26" s="17">
        <f>SUM(F25:F26)</f>
        <v>93038.83</v>
      </c>
      <c r="H26" s="16">
        <v>56477.69</v>
      </c>
    </row>
    <row r="27" spans="1:8" ht="24.95" customHeight="1" x14ac:dyDescent="0.25">
      <c r="D27" s="16"/>
      <c r="E27" s="16"/>
      <c r="F27" s="16"/>
      <c r="G27" s="16"/>
      <c r="H27" s="16"/>
    </row>
    <row r="28" spans="1:8" ht="24.95" customHeight="1" x14ac:dyDescent="0.25">
      <c r="A28" s="9" t="s">
        <v>45</v>
      </c>
      <c r="C28" s="9" t="s">
        <v>36</v>
      </c>
      <c r="D28" s="16">
        <v>950</v>
      </c>
      <c r="E28" s="16">
        <v>0</v>
      </c>
      <c r="F28" s="16">
        <v>36941.65</v>
      </c>
      <c r="G28" s="16"/>
      <c r="H28" s="16">
        <v>37016.65</v>
      </c>
    </row>
    <row r="29" spans="1:8" ht="24.95" customHeight="1" x14ac:dyDescent="0.25">
      <c r="A29" s="9" t="s">
        <v>45</v>
      </c>
      <c r="C29" s="9" t="s">
        <v>36</v>
      </c>
      <c r="D29" s="16">
        <v>950</v>
      </c>
      <c r="E29" s="16">
        <v>0</v>
      </c>
      <c r="F29" s="16">
        <v>38569.65</v>
      </c>
      <c r="G29" s="17">
        <f>SUM(F28:F29)</f>
        <v>75511.3</v>
      </c>
      <c r="H29" s="16">
        <v>38644.65</v>
      </c>
    </row>
    <row r="30" spans="1:8" ht="24.95" customHeight="1" x14ac:dyDescent="0.25">
      <c r="D30" s="16"/>
      <c r="E30" s="16"/>
      <c r="F30" s="16"/>
      <c r="G30" s="16"/>
      <c r="H30" s="16"/>
    </row>
    <row r="31" spans="1:8" ht="24.95" customHeight="1" x14ac:dyDescent="0.25">
      <c r="A31" s="9" t="s">
        <v>101</v>
      </c>
      <c r="C31" s="9" t="s">
        <v>19</v>
      </c>
      <c r="D31" s="16">
        <v>650</v>
      </c>
      <c r="E31" s="16">
        <v>0</v>
      </c>
      <c r="F31" s="17">
        <v>22288.31</v>
      </c>
      <c r="G31" s="16"/>
      <c r="H31" s="16">
        <v>22363.31</v>
      </c>
    </row>
    <row r="32" spans="1:8" ht="24.95" customHeight="1" x14ac:dyDescent="0.25">
      <c r="D32" s="16"/>
      <c r="E32" s="16"/>
      <c r="F32" s="17"/>
      <c r="G32" s="16"/>
      <c r="H32" s="16"/>
    </row>
    <row r="33" spans="1:8" ht="24.95" customHeight="1" x14ac:dyDescent="0.25">
      <c r="A33" s="9" t="s">
        <v>91</v>
      </c>
      <c r="C33" s="9" t="s">
        <v>36</v>
      </c>
      <c r="D33" s="16">
        <v>950</v>
      </c>
      <c r="E33" s="16">
        <v>0</v>
      </c>
      <c r="F33" s="17">
        <v>36462.83</v>
      </c>
      <c r="G33" s="16"/>
      <c r="H33" s="16">
        <v>36537.83</v>
      </c>
    </row>
    <row r="34" spans="1:8" ht="24.95" customHeight="1" x14ac:dyDescent="0.25">
      <c r="D34" s="16"/>
      <c r="E34" s="16"/>
      <c r="F34" s="16"/>
      <c r="G34" s="16"/>
      <c r="H34" s="16"/>
    </row>
    <row r="35" spans="1:8" ht="24.95" customHeight="1" x14ac:dyDescent="0.25">
      <c r="A35" s="9" t="s">
        <v>23</v>
      </c>
      <c r="C35" s="9" t="s">
        <v>19</v>
      </c>
      <c r="D35" s="16">
        <v>650</v>
      </c>
      <c r="E35" s="16">
        <v>0</v>
      </c>
      <c r="F35" s="16">
        <v>22463.24</v>
      </c>
      <c r="G35" s="16"/>
      <c r="H35" s="16">
        <v>22538.240000000002</v>
      </c>
    </row>
    <row r="36" spans="1:8" ht="24.95" customHeight="1" x14ac:dyDescent="0.25">
      <c r="A36" s="9" t="s">
        <v>23</v>
      </c>
      <c r="C36" s="9" t="s">
        <v>19</v>
      </c>
      <c r="D36" s="16">
        <v>650</v>
      </c>
      <c r="E36" s="16">
        <v>0</v>
      </c>
      <c r="F36" s="16">
        <v>21131.41</v>
      </c>
      <c r="G36" s="16"/>
      <c r="H36" s="16">
        <v>21206.41</v>
      </c>
    </row>
    <row r="37" spans="1:8" ht="24.95" customHeight="1" x14ac:dyDescent="0.25">
      <c r="A37" s="9" t="s">
        <v>23</v>
      </c>
      <c r="C37" s="9" t="s">
        <v>36</v>
      </c>
      <c r="D37" s="16">
        <v>1350</v>
      </c>
      <c r="E37" s="16">
        <v>0</v>
      </c>
      <c r="F37" s="16">
        <v>54700</v>
      </c>
      <c r="G37" s="17">
        <f>SUM(F35:F37)</f>
        <v>98294.65</v>
      </c>
      <c r="H37" s="16">
        <v>54775</v>
      </c>
    </row>
    <row r="38" spans="1:8" x14ac:dyDescent="0.25">
      <c r="D38" s="16"/>
      <c r="E38" s="16"/>
      <c r="F38" s="16"/>
      <c r="G38" s="16"/>
      <c r="H38" s="16"/>
    </row>
    <row r="39" spans="1:8" x14ac:dyDescent="0.25">
      <c r="A39" s="19"/>
      <c r="B39" s="19"/>
      <c r="C39" s="19"/>
      <c r="D39" s="20">
        <f>SUM(D4:D37)</f>
        <v>17850</v>
      </c>
      <c r="E39" s="20">
        <f>SUM(E4:E37)</f>
        <v>0</v>
      </c>
      <c r="F39" s="20">
        <f>SUM(F4:F37)</f>
        <v>674239.79</v>
      </c>
      <c r="G39" s="20"/>
      <c r="H39" s="20">
        <f>SUM(H4:H37)</f>
        <v>675889.79</v>
      </c>
    </row>
  </sheetData>
  <mergeCells count="3">
    <mergeCell ref="A2:D2"/>
    <mergeCell ref="E2:H2"/>
    <mergeCell ref="G1:H1"/>
  </mergeCells>
  <pageMargins left="0.7" right="0.7" top="0.75" bottom="0.75" header="0.3" footer="0.3"/>
  <pageSetup scale="92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A340-B5CB-401F-A395-45D32619445A}">
  <sheetPr>
    <pageSetUpPr fitToPage="1"/>
  </sheetPr>
  <dimension ref="A1:E25"/>
  <sheetViews>
    <sheetView workbookViewId="0">
      <selection activeCell="E16" sqref="E15:E16"/>
    </sheetView>
  </sheetViews>
  <sheetFormatPr defaultRowHeight="15" x14ac:dyDescent="0.25"/>
  <cols>
    <col min="1" max="1" width="12.85546875" customWidth="1"/>
    <col min="2" max="2" width="11.28515625" customWidth="1"/>
    <col min="3" max="3" width="15.85546875" customWidth="1"/>
    <col min="4" max="4" width="18.5703125" customWidth="1"/>
    <col min="5" max="5" width="32.5703125" customWidth="1"/>
  </cols>
  <sheetData>
    <row r="1" spans="1:5" ht="24.95" customHeight="1" x14ac:dyDescent="0.25">
      <c r="A1" t="s">
        <v>139</v>
      </c>
      <c r="E1" s="4">
        <v>45930</v>
      </c>
    </row>
    <row r="2" spans="1:5" ht="24.95" customHeight="1" x14ac:dyDescent="0.25">
      <c r="A2" s="5" t="s">
        <v>0</v>
      </c>
      <c r="B2" s="6"/>
      <c r="C2" s="6"/>
      <c r="D2" s="7" t="s">
        <v>117</v>
      </c>
      <c r="E2" s="6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41</v>
      </c>
      <c r="B4" t="s">
        <v>43</v>
      </c>
      <c r="C4" t="s">
        <v>44</v>
      </c>
      <c r="E4" t="s">
        <v>45</v>
      </c>
    </row>
    <row r="5" spans="1:5" ht="24.95" customHeight="1" x14ac:dyDescent="0.25">
      <c r="A5" t="s">
        <v>48</v>
      </c>
      <c r="B5" t="s">
        <v>43</v>
      </c>
      <c r="C5" t="s">
        <v>49</v>
      </c>
      <c r="E5" t="s">
        <v>45</v>
      </c>
    </row>
    <row r="6" spans="1:5" ht="24.95" customHeight="1" x14ac:dyDescent="0.25">
      <c r="A6" t="s">
        <v>86</v>
      </c>
      <c r="B6" t="s">
        <v>43</v>
      </c>
      <c r="C6" t="s">
        <v>87</v>
      </c>
      <c r="E6" t="s">
        <v>70</v>
      </c>
    </row>
    <row r="7" spans="1:5" ht="24.95" customHeight="1" x14ac:dyDescent="0.25">
      <c r="A7" t="s">
        <v>89</v>
      </c>
      <c r="B7" t="s">
        <v>43</v>
      </c>
      <c r="C7" t="s">
        <v>90</v>
      </c>
      <c r="E7" t="s">
        <v>91</v>
      </c>
    </row>
    <row r="8" spans="1:5" ht="24.95" customHeight="1" x14ac:dyDescent="0.25">
      <c r="A8" t="s">
        <v>98</v>
      </c>
      <c r="B8" t="s">
        <v>43</v>
      </c>
      <c r="C8" t="s">
        <v>99</v>
      </c>
      <c r="D8" t="s">
        <v>100</v>
      </c>
      <c r="E8" t="s">
        <v>101</v>
      </c>
    </row>
    <row r="9" spans="1:5" ht="24.95" customHeight="1" x14ac:dyDescent="0.25">
      <c r="A9" s="1"/>
      <c r="B9" s="1"/>
      <c r="C9" s="1" t="s">
        <v>118</v>
      </c>
      <c r="D9" s="1"/>
      <c r="E9" s="1"/>
    </row>
    <row r="15" spans="1:5" x14ac:dyDescent="0.25">
      <c r="A15" t="s">
        <v>140</v>
      </c>
      <c r="B15" s="22"/>
      <c r="C15" s="22"/>
      <c r="D15" s="22"/>
    </row>
    <row r="20" spans="1:4" x14ac:dyDescent="0.25">
      <c r="A20" t="s">
        <v>141</v>
      </c>
      <c r="B20" s="22"/>
      <c r="C20" s="22"/>
      <c r="D20" s="22"/>
    </row>
    <row r="25" spans="1:4" x14ac:dyDescent="0.25">
      <c r="A25" t="s">
        <v>142</v>
      </c>
      <c r="B25" s="22"/>
      <c r="C25" s="22"/>
    </row>
  </sheetData>
  <mergeCells count="2">
    <mergeCell ref="A2:C2"/>
    <mergeCell ref="D2:E2"/>
  </mergeCells>
  <pageMargins left="0.7" right="0.7" top="0.75" bottom="0.75" header="0.3" footer="0.3"/>
  <pageSetup scale="9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2025-09-30T19:23:51Z</cp:lastPrinted>
  <dcterms:created xsi:type="dcterms:W3CDTF">2025-09-30T18:37:01Z</dcterms:created>
  <dcterms:modified xsi:type="dcterms:W3CDTF">2025-09-30T19:29:34Z</dcterms:modified>
</cp:coreProperties>
</file>