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0AB407A-5CDF-428F-97E4-F2987ACC02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F11" i="1"/>
  <c r="H18" i="1"/>
  <c r="E18" i="1"/>
  <c r="D18" i="1"/>
  <c r="C18" i="1"/>
</calcChain>
</file>

<file path=xl/sharedStrings.xml><?xml version="1.0" encoding="utf-8"?>
<sst xmlns="http://schemas.openxmlformats.org/spreadsheetml/2006/main" count="132" uniqueCount="75">
  <si>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</si>
  <si>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</si>
  <si>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</si>
  <si>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</si>
  <si>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</si>
  <si>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</si>
  <si>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</si>
  <si>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</si>
  <si>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</si>
  <si>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</si>
  <si>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Coastal Volkswagon</t>
  </si>
  <si>
    <t>Rachel Gorham</t>
  </si>
  <si>
    <t>Colonial Ford Inc</t>
  </si>
  <si>
    <t>Neli Oliveira</t>
  </si>
  <si>
    <t>Planet Subaru</t>
  </si>
  <si>
    <t>Richard Lundgren, Inc. d/b/a</t>
  </si>
  <si>
    <t>Sandy Motors, Inc</t>
  </si>
  <si>
    <t>Tasca Automotive Group Rt 6 One Inc</t>
  </si>
  <si>
    <t>Volvo of Tiverton</t>
  </si>
  <si>
    <t>Column1</t>
  </si>
  <si>
    <t>Column2</t>
  </si>
  <si>
    <t># 8</t>
  </si>
  <si>
    <t>MCRAE</t>
  </si>
  <si>
    <t>MARKD20000@AOL.COM</t>
  </si>
  <si>
    <t>DUHAMEL, RACHAEL</t>
  </si>
  <si>
    <t>E Contract</t>
  </si>
  <si>
    <t>DealerTrack</t>
  </si>
  <si>
    <t>151125963e</t>
  </si>
  <si>
    <t>COVEY</t>
  </si>
  <si>
    <t>PRICE</t>
  </si>
  <si>
    <t>NEALPSCHUTT@GMAIL.COM</t>
  </si>
  <si>
    <t>SCHUTT, SUSAN</t>
  </si>
  <si>
    <t>SCHUTT, NEAL</t>
  </si>
  <si>
    <t>151125921e</t>
  </si>
  <si>
    <t>SMITH</t>
  </si>
  <si>
    <t>rscoak@gmail.com</t>
  </si>
  <si>
    <t>CORLEY, RYAN</t>
  </si>
  <si>
    <t>Route One</t>
  </si>
  <si>
    <t>151125872e</t>
  </si>
  <si>
    <t>MALBOURN</t>
  </si>
  <si>
    <t>PALMQUIST, TIMOTHY</t>
  </si>
  <si>
    <t>151125864e</t>
  </si>
  <si>
    <t>RUBIN</t>
  </si>
  <si>
    <t>ERIC.RUBIN@YAHOO.COM</t>
  </si>
  <si>
    <t>RUBIN, ERIC</t>
  </si>
  <si>
    <t>151125856e</t>
  </si>
  <si>
    <t>MARTINELLI</t>
  </si>
  <si>
    <t>KORZENIOWSKI, LISA</t>
  </si>
  <si>
    <t>Paper</t>
  </si>
  <si>
    <t>151125848</t>
  </si>
  <si>
    <t>ANDERSON</t>
  </si>
  <si>
    <t>JOEYJOEWATSON@GMAIL.COM</t>
  </si>
  <si>
    <t>WATSON, JOSEPH</t>
  </si>
  <si>
    <t>151125814</t>
  </si>
  <si>
    <t>BROWN</t>
  </si>
  <si>
    <t>LEESCH121@HOTMAIL.COM</t>
  </si>
  <si>
    <t>SCHELIN, LESLIE</t>
  </si>
  <si>
    <t>151125765e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</si>
  <si>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</si>
  <si>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</si>
  <si>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</si>
  <si>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</si>
  <si>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</si>
  <si>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</si>
  <si>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</si>
  <si>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</si>
  <si>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</si>
  <si>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</si>
  <si>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</si>
  <si>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</si>
  <si>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Signed_______________________________________________________________</t>
  </si>
  <si>
    <t>Received By____________________________________________________________</t>
  </si>
  <si>
    <t>Delivered By___________________________________________________________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</si>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</sst>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548F7AAA-B8F0-4B37-8B9E-6733F3DDA4FD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0E87A29D-73FE-4961-A5CF-B52C951E77B7}" name="Column1" dataDxfId="24"/>
    <tableColumn id="8" xr3:uid="{32BD7BEA-007A-46A2-A07B-180AB49F9F02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E3B6DD-4A96-4EF4-93B8-2F57B3B40515}" name="Table_13" displayName="Table_13" ref="A3:M12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D94846-4C93-4C06-914E-847FFC074EAC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workbookViewId="0">
      <pane ySplit="3" topLeftCell="A4" activePane="bottomLeft" state="frozen"/>
      <selection pane="bottomLeft" activeCell="L18" sqref="K18:L18"/>
    </sheetView>
  </sheetViews>
  <sheetFormatPr defaultRowHeight="15" x14ac:dyDescent="0.25"/>
  <cols>
    <col min="1" max="1" width="35.7109375" bestFit="1" customWidth="1"/>
    <col min="2" max="2" width="15.140625" bestFit="1" customWidth="1"/>
    <col min="3" max="3" width="11.140625" bestFit="1" customWidth="1"/>
    <col min="4" max="4" width="18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45632</v>
      </c>
      <c r="E1" t="s">
        <v>2</v>
      </c>
      <c r="H1" s="4">
        <v>45632.999988425923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19</v>
      </c>
      <c r="G3" t="s">
        <v>20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28162.69</v>
      </c>
      <c r="F4" s="2"/>
      <c r="G4" s="2"/>
      <c r="H4" s="2">
        <v>28237.69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600</v>
      </c>
      <c r="D6" s="2">
        <v>0</v>
      </c>
      <c r="E6" s="2">
        <v>30451.25</v>
      </c>
      <c r="F6" s="2"/>
      <c r="G6" s="2"/>
      <c r="H6" s="2">
        <v>30526.25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450</v>
      </c>
      <c r="D8" s="2">
        <v>0</v>
      </c>
      <c r="E8" s="2">
        <v>23205.75</v>
      </c>
      <c r="F8" s="2"/>
      <c r="G8" s="2"/>
      <c r="H8" s="2">
        <v>23280.75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500</v>
      </c>
      <c r="D10" s="2">
        <v>0</v>
      </c>
      <c r="E10" s="2">
        <v>26685.06</v>
      </c>
      <c r="F10" s="2"/>
      <c r="G10" s="2"/>
      <c r="H10" s="2">
        <v>26760.06</v>
      </c>
    </row>
    <row r="11" spans="1:8" x14ac:dyDescent="0.25">
      <c r="A11" t="s">
        <v>15</v>
      </c>
      <c r="B11" t="s">
        <v>13</v>
      </c>
      <c r="C11" s="2">
        <v>200</v>
      </c>
      <c r="D11" s="2">
        <v>0</v>
      </c>
      <c r="E11" s="2">
        <v>10497.5</v>
      </c>
      <c r="F11" s="2">
        <f>SUM(E10:E11)</f>
        <v>37182.559999999998</v>
      </c>
      <c r="G11" s="2"/>
      <c r="H11" s="2">
        <v>10572.5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350</v>
      </c>
      <c r="D13" s="2">
        <v>0</v>
      </c>
      <c r="E13" s="2">
        <v>17546.93</v>
      </c>
      <c r="F13" s="2"/>
      <c r="G13" s="2"/>
      <c r="H13" s="2">
        <v>17621.93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13</v>
      </c>
      <c r="C15" s="2">
        <v>500</v>
      </c>
      <c r="D15" s="2">
        <v>0</v>
      </c>
      <c r="E15" s="2">
        <v>29293.09</v>
      </c>
      <c r="F15" s="2"/>
      <c r="G15" s="2"/>
      <c r="H15" s="2">
        <v>29368.09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600</v>
      </c>
      <c r="D17" s="2">
        <v>0</v>
      </c>
      <c r="E17" s="2">
        <v>34323.26</v>
      </c>
      <c r="F17" s="2"/>
      <c r="G17" s="2"/>
      <c r="H17" s="2">
        <v>34398.26</v>
      </c>
    </row>
    <row r="18" spans="1:8" x14ac:dyDescent="0.25">
      <c r="A18" s="1"/>
      <c r="B18" s="1"/>
      <c r="C18" s="3">
        <f>SUM(C4:C17)</f>
        <v>3700</v>
      </c>
      <c r="D18" s="3">
        <f>SUM(D4:D17)</f>
        <v>0</v>
      </c>
      <c r="E18" s="3">
        <f>SUM(E4:E17)</f>
        <v>200165.53</v>
      </c>
      <c r="F18" s="3"/>
      <c r="G18" s="3"/>
      <c r="H18" s="3">
        <f>SUM(H4:H17)</f>
        <v>200765.53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27C5-8485-40CE-A6F4-436D6FC58C3E}">
  <sheetPr>
    <pageSetUpPr fitToPage="1"/>
  </sheetPr>
  <dimension ref="A1:N17"/>
  <sheetViews>
    <sheetView workbookViewId="0">
      <pane ySplit="3" topLeftCell="A4" activePane="bottomLeft" state="frozen"/>
      <selection pane="bottomLeft" activeCell="F11" sqref="F11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140625" style="8" bestFit="1" customWidth="1"/>
    <col min="5" max="5" width="18.7109375" style="8" bestFit="1" customWidth="1"/>
    <col min="6" max="6" width="35.7109375" style="8" bestFit="1" customWidth="1"/>
    <col min="7" max="7" width="15.140625" style="8" bestFit="1" customWidth="1"/>
    <col min="8" max="8" width="17.140625" style="8" bestFit="1" customWidth="1"/>
    <col min="9" max="9" width="29.140625" style="8" bestFit="1" customWidth="1"/>
    <col min="10" max="10" width="26.85546875" style="8" bestFit="1" customWidth="1"/>
    <col min="11" max="11" width="18.140625" style="8" bestFit="1" customWidth="1"/>
    <col min="12" max="12" width="12.85546875" style="8" bestFit="1" customWidth="1"/>
    <col min="13" max="13" width="18.140625" style="8" bestFit="1" customWidth="1"/>
    <col min="14" max="16384" width="9.140625" style="8"/>
  </cols>
  <sheetData>
    <row r="1" spans="1:14" ht="30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45632</v>
      </c>
      <c r="L1" s="9" t="s">
        <v>2</v>
      </c>
      <c r="M1" s="10">
        <v>45632.999988425923</v>
      </c>
      <c r="N1" s="9"/>
    </row>
    <row r="2" spans="1:14" ht="30" customHeight="1" x14ac:dyDescent="0.25">
      <c r="A2" s="11" t="s">
        <v>0</v>
      </c>
      <c r="B2" s="12"/>
      <c r="C2" s="12"/>
      <c r="D2" s="12"/>
      <c r="E2" s="12"/>
      <c r="F2" s="12"/>
      <c r="G2" s="13" t="s">
        <v>69</v>
      </c>
      <c r="H2" s="12"/>
      <c r="I2" s="12"/>
      <c r="J2" s="12"/>
      <c r="K2" s="12"/>
      <c r="L2" s="12"/>
      <c r="M2" s="12"/>
      <c r="N2" s="9"/>
    </row>
    <row r="3" spans="1:14" ht="30" customHeight="1" x14ac:dyDescent="0.25">
      <c r="A3" s="9" t="s">
        <v>68</v>
      </c>
      <c r="B3" s="9" t="s">
        <v>67</v>
      </c>
      <c r="C3" s="9" t="s">
        <v>66</v>
      </c>
      <c r="D3" s="9" t="s">
        <v>65</v>
      </c>
      <c r="E3" s="9" t="s">
        <v>64</v>
      </c>
      <c r="F3" s="9" t="s">
        <v>4</v>
      </c>
      <c r="G3" s="9" t="s">
        <v>5</v>
      </c>
      <c r="H3" s="9" t="s">
        <v>63</v>
      </c>
      <c r="I3" s="9" t="s">
        <v>62</v>
      </c>
      <c r="J3" s="9" t="s">
        <v>61</v>
      </c>
      <c r="K3" s="9" t="s">
        <v>60</v>
      </c>
      <c r="L3" s="9" t="s">
        <v>59</v>
      </c>
      <c r="M3" s="9" t="s">
        <v>58</v>
      </c>
      <c r="N3" s="9"/>
    </row>
    <row r="4" spans="1:14" ht="30" customHeight="1" x14ac:dyDescent="0.25">
      <c r="A4" s="9" t="s">
        <v>57</v>
      </c>
      <c r="B4" s="9" t="s">
        <v>26</v>
      </c>
      <c r="C4" s="9" t="s">
        <v>25</v>
      </c>
      <c r="D4" s="9" t="s">
        <v>56</v>
      </c>
      <c r="E4" s="9"/>
      <c r="F4" s="9" t="s">
        <v>15</v>
      </c>
      <c r="G4" s="9" t="s">
        <v>11</v>
      </c>
      <c r="H4" s="14">
        <v>26760.06</v>
      </c>
      <c r="I4" s="9" t="s">
        <v>55</v>
      </c>
      <c r="J4" s="9"/>
      <c r="K4" s="9" t="s">
        <v>54</v>
      </c>
      <c r="L4" s="9"/>
      <c r="M4" s="9"/>
      <c r="N4" s="9"/>
    </row>
    <row r="5" spans="1:14" ht="30" customHeight="1" x14ac:dyDescent="0.25">
      <c r="A5" s="9" t="s">
        <v>53</v>
      </c>
      <c r="B5" s="9" t="s">
        <v>26</v>
      </c>
      <c r="C5" s="9" t="s">
        <v>48</v>
      </c>
      <c r="D5" s="9" t="s">
        <v>52</v>
      </c>
      <c r="E5" s="9"/>
      <c r="F5" s="9" t="s">
        <v>18</v>
      </c>
      <c r="G5" s="9" t="s">
        <v>11</v>
      </c>
      <c r="H5" s="14">
        <v>34398.26</v>
      </c>
      <c r="I5" s="9" t="s">
        <v>51</v>
      </c>
      <c r="J5" s="9"/>
      <c r="K5" s="9" t="s">
        <v>50</v>
      </c>
      <c r="L5" s="9"/>
      <c r="M5" s="9"/>
      <c r="N5" s="9"/>
    </row>
    <row r="6" spans="1:14" ht="30" customHeight="1" x14ac:dyDescent="0.25">
      <c r="A6" s="9" t="s">
        <v>49</v>
      </c>
      <c r="B6" s="9" t="s">
        <v>26</v>
      </c>
      <c r="C6" s="9" t="s">
        <v>48</v>
      </c>
      <c r="D6" s="9" t="s">
        <v>47</v>
      </c>
      <c r="E6" s="9"/>
      <c r="F6" s="9" t="s">
        <v>16</v>
      </c>
      <c r="G6" s="9" t="s">
        <v>13</v>
      </c>
      <c r="H6" s="14">
        <v>17621.93</v>
      </c>
      <c r="I6" s="9"/>
      <c r="J6" s="9"/>
      <c r="K6" s="9" t="s">
        <v>46</v>
      </c>
      <c r="L6" s="9"/>
      <c r="M6" s="9"/>
      <c r="N6" s="9"/>
    </row>
    <row r="7" spans="1:14" ht="30" customHeight="1" x14ac:dyDescent="0.25">
      <c r="A7" s="9" t="s">
        <v>45</v>
      </c>
      <c r="B7" s="9" t="s">
        <v>26</v>
      </c>
      <c r="C7" s="9" t="s">
        <v>25</v>
      </c>
      <c r="D7" s="9" t="s">
        <v>44</v>
      </c>
      <c r="E7" s="9"/>
      <c r="F7" s="9" t="s">
        <v>15</v>
      </c>
      <c r="G7" s="9" t="s">
        <v>13</v>
      </c>
      <c r="H7" s="14">
        <v>10572.5</v>
      </c>
      <c r="I7" s="9" t="s">
        <v>43</v>
      </c>
      <c r="J7" s="9"/>
      <c r="K7" s="9" t="s">
        <v>42</v>
      </c>
      <c r="L7" s="9"/>
      <c r="M7" s="9"/>
      <c r="N7" s="9"/>
    </row>
    <row r="8" spans="1:14" ht="30" customHeight="1" x14ac:dyDescent="0.25">
      <c r="A8" s="9" t="s">
        <v>41</v>
      </c>
      <c r="B8" s="9" t="s">
        <v>37</v>
      </c>
      <c r="C8" s="9" t="s">
        <v>25</v>
      </c>
      <c r="D8" s="9" t="s">
        <v>40</v>
      </c>
      <c r="E8" s="9"/>
      <c r="F8" s="9" t="s">
        <v>17</v>
      </c>
      <c r="G8" s="9" t="s">
        <v>13</v>
      </c>
      <c r="H8" s="14">
        <v>29368.09</v>
      </c>
      <c r="I8" s="9"/>
      <c r="J8" s="9"/>
      <c r="K8" s="9" t="s">
        <v>39</v>
      </c>
      <c r="L8" s="9"/>
      <c r="M8" s="9"/>
      <c r="N8" s="9"/>
    </row>
    <row r="9" spans="1:14" ht="30" customHeight="1" x14ac:dyDescent="0.25">
      <c r="A9" s="9" t="s">
        <v>38</v>
      </c>
      <c r="B9" s="9" t="s">
        <v>37</v>
      </c>
      <c r="C9" s="9" t="s">
        <v>25</v>
      </c>
      <c r="D9" s="9" t="s">
        <v>36</v>
      </c>
      <c r="E9" s="9"/>
      <c r="F9" s="9" t="s">
        <v>12</v>
      </c>
      <c r="G9" s="9" t="s">
        <v>13</v>
      </c>
      <c r="H9" s="14">
        <v>30526.25</v>
      </c>
      <c r="I9" s="9" t="s">
        <v>35</v>
      </c>
      <c r="J9" s="9"/>
      <c r="K9" s="9" t="s">
        <v>34</v>
      </c>
      <c r="L9" s="9"/>
      <c r="M9" s="9"/>
      <c r="N9" s="9"/>
    </row>
    <row r="10" spans="1:14" ht="30" customHeight="1" x14ac:dyDescent="0.25">
      <c r="A10" s="9" t="s">
        <v>33</v>
      </c>
      <c r="B10" s="9" t="s">
        <v>26</v>
      </c>
      <c r="C10" s="9" t="s">
        <v>25</v>
      </c>
      <c r="D10" s="9" t="s">
        <v>32</v>
      </c>
      <c r="E10" s="9" t="s">
        <v>31</v>
      </c>
      <c r="F10" s="9" t="s">
        <v>14</v>
      </c>
      <c r="G10" s="9" t="s">
        <v>11</v>
      </c>
      <c r="H10" s="14">
        <v>23280.75</v>
      </c>
      <c r="I10" s="9" t="s">
        <v>30</v>
      </c>
      <c r="J10" s="9" t="s">
        <v>30</v>
      </c>
      <c r="K10" s="9" t="s">
        <v>29</v>
      </c>
      <c r="L10" s="9" t="s">
        <v>28</v>
      </c>
      <c r="M10" s="9"/>
      <c r="N10" s="9"/>
    </row>
    <row r="11" spans="1:14" ht="30" customHeight="1" x14ac:dyDescent="0.25">
      <c r="A11" s="9" t="s">
        <v>27</v>
      </c>
      <c r="B11" s="9" t="s">
        <v>26</v>
      </c>
      <c r="C11" s="9" t="s">
        <v>25</v>
      </c>
      <c r="D11" s="9" t="s">
        <v>24</v>
      </c>
      <c r="E11" s="9"/>
      <c r="F11" s="9" t="s">
        <v>10</v>
      </c>
      <c r="G11" s="9" t="s">
        <v>11</v>
      </c>
      <c r="H11" s="14">
        <v>28237.69</v>
      </c>
      <c r="I11" s="9" t="s">
        <v>23</v>
      </c>
      <c r="J11" s="9"/>
      <c r="K11" s="9" t="s">
        <v>22</v>
      </c>
      <c r="L11" s="9"/>
      <c r="M11" s="9"/>
      <c r="N11" s="9"/>
    </row>
    <row r="12" spans="1:14" ht="30" customHeight="1" x14ac:dyDescent="0.25">
      <c r="A12" s="15"/>
      <c r="B12" s="15"/>
      <c r="C12" s="15"/>
      <c r="D12" s="15" t="s">
        <v>21</v>
      </c>
      <c r="E12" s="15"/>
      <c r="F12" s="15"/>
      <c r="G12" s="15"/>
      <c r="H12" s="16">
        <f>SUM(H4:H11)</f>
        <v>200765.53</v>
      </c>
      <c r="I12" s="15"/>
      <c r="J12" s="15"/>
      <c r="K12" s="15"/>
      <c r="L12" s="15"/>
      <c r="M12" s="15"/>
      <c r="N12" s="9"/>
    </row>
    <row r="13" spans="1:14" ht="30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30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30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30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="8" customFormat="1" ht="30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F405-B660-40B1-8A20-E8A74C91272B}">
  <sheetPr>
    <pageSetUpPr fitToPage="1"/>
  </sheetPr>
  <dimension ref="A1:E28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140625" style="8" bestFit="1" customWidth="1"/>
    <col min="4" max="4" width="18.7109375" style="8" bestFit="1" customWidth="1"/>
    <col min="5" max="5" width="35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45632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74</v>
      </c>
      <c r="E2" s="12"/>
    </row>
    <row r="3" spans="1:5" x14ac:dyDescent="0.25">
      <c r="A3" s="9" t="s">
        <v>68</v>
      </c>
      <c r="B3" s="9" t="s">
        <v>66</v>
      </c>
      <c r="C3" s="9" t="s">
        <v>65</v>
      </c>
      <c r="D3" s="9" t="s">
        <v>64</v>
      </c>
      <c r="E3" s="9" t="s">
        <v>4</v>
      </c>
    </row>
    <row r="4" spans="1:5" x14ac:dyDescent="0.25">
      <c r="A4" s="9" t="s">
        <v>53</v>
      </c>
      <c r="B4" s="9" t="s">
        <v>48</v>
      </c>
      <c r="C4" s="9" t="s">
        <v>52</v>
      </c>
      <c r="D4" s="9"/>
      <c r="E4" s="9" t="s">
        <v>18</v>
      </c>
    </row>
    <row r="5" spans="1:5" x14ac:dyDescent="0.25">
      <c r="A5" s="9" t="s">
        <v>49</v>
      </c>
      <c r="B5" s="9" t="s">
        <v>48</v>
      </c>
      <c r="C5" s="9" t="s">
        <v>47</v>
      </c>
      <c r="D5" s="9"/>
      <c r="E5" s="9" t="s">
        <v>16</v>
      </c>
    </row>
    <row r="6" spans="1:5" x14ac:dyDescent="0.25">
      <c r="A6" s="15"/>
      <c r="B6" s="15"/>
      <c r="C6" s="15" t="s">
        <v>73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72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71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70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</sheetData>
  <mergeCells count="2">
    <mergeCell ref="A2:C2"/>
    <mergeCell ref="D2:E2"/>
  </mergeCells>
  <pageMargins left="0.7" right="0.7" top="0.75" bottom="0.75" header="0.3" footer="0.3"/>
  <pageSetup scale="7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2024-12-06T19:23:41Z</cp:lastPrinted>
  <dcterms:created xsi:type="dcterms:W3CDTF">2024-12-06T19:15:53Z</dcterms:created>
  <dcterms:modified xsi:type="dcterms:W3CDTF">2024-12-06T19:41:50Z</dcterms:modified>
</cp:coreProperties>
</file>