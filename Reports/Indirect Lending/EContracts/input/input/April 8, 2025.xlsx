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A0E32B87-CD0C-4C29-ABAC-4044B57841FF}" xr6:coauthVersionLast="47" xr6:coauthVersionMax="47" xr10:uidLastSave="{00000000-0000-0000-0000-000000000000}"/>
  <bookViews>
    <workbookView xWindow="30105" yWindow="210" windowWidth="20580" windowHeight="135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2" l="1"/>
  <c r="F30" i="2"/>
  <c r="E30" i="2"/>
  <c r="D30" i="2"/>
  <c r="H17" i="1"/>
</calcChain>
</file>

<file path=xl/sharedStrings.xml><?xml version="1.0" encoding="utf-8"?>
<sst xmlns="http://schemas.openxmlformats.org/spreadsheetml/2006/main" count="191" uniqueCount="109">
  <si>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</si>
  <si>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</si>
  <si>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</si>
  <si>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</si>
  <si>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</si>
  <si>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</si>
  <si>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</si>
  <si>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</si>
  <si>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</si>
  <si>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</si>
  <si>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</si>
  <si>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</si>
  <si>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</si>
  <si>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</si>
  <si>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</si>
  <si>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</si>
  <si>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</si>
  <si>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BARNES, JOHN</t>
  </si>
  <si>
    <t>T F Murphy Enterprises Inc</t>
  </si>
  <si>
    <t>Neli Oliveira</t>
  </si>
  <si>
    <t>JOHNANDREWBARNES@AOL.COM</t>
  </si>
  <si>
    <t>JEFFRIES</t>
  </si>
  <si>
    <t>DealerTrack</t>
  </si>
  <si>
    <t>BROCK, PETER</t>
  </si>
  <si>
    <t>Metro Honda</t>
  </si>
  <si>
    <t>PETERBROCK@ME.COM</t>
  </si>
  <si>
    <t>MEIGS</t>
  </si>
  <si>
    <t>151165539</t>
  </si>
  <si>
    <t>Paper</t>
  </si>
  <si>
    <t>HARPER, PAULETTE</t>
  </si>
  <si>
    <t>Sandy Motors, Inc</t>
  </si>
  <si>
    <t>Rachel Gorham</t>
  </si>
  <si>
    <t>WILLIAMS</t>
  </si>
  <si>
    <t>151165547</t>
  </si>
  <si>
    <t>JONES, LOUISE</t>
  </si>
  <si>
    <t>Herb Chambers Lexus of Hingham</t>
  </si>
  <si>
    <t>LSJONES62@PROTON.ME</t>
  </si>
  <si>
    <t>MCCARTHY</t>
  </si>
  <si>
    <t>DOUCETTE, ROBIN</t>
  </si>
  <si>
    <t>Battles Nissan, LLC</t>
  </si>
  <si>
    <t>ROBIND38@GMAIL.COM</t>
  </si>
  <si>
    <t>GIBSON</t>
  </si>
  <si>
    <t>TRUDEL, STEVEN</t>
  </si>
  <si>
    <t>Coastal Volkswagon</t>
  </si>
  <si>
    <t>S.TRUDEL@YAHOO.COM</t>
  </si>
  <si>
    <t>ALLARD</t>
  </si>
  <si>
    <t>151165571</t>
  </si>
  <si>
    <t>CAVIGGIA, EMILY</t>
  </si>
  <si>
    <t>Volvo of Tiverton</t>
  </si>
  <si>
    <t>EMCAVIGGIA@SBCGLOBAL.NET</t>
  </si>
  <si>
    <t>COLETTI</t>
  </si>
  <si>
    <t>151165589</t>
  </si>
  <si>
    <t>KILLGOAR, JENNIFER</t>
  </si>
  <si>
    <t>Hylan Auto Sales</t>
  </si>
  <si>
    <t>JENKILLGOAR@GMAIL.COM</t>
  </si>
  <si>
    <t>FISKE</t>
  </si>
  <si>
    <t>POWERS, KELLIE</t>
  </si>
  <si>
    <t>Patriot Auto Group Inc d/b/a</t>
  </si>
  <si>
    <t>kellieeholden@gmail.com</t>
  </si>
  <si>
    <t>TRIPP</t>
  </si>
  <si>
    <t>DRYSDALE, ANN</t>
  </si>
  <si>
    <t>DRYSDALE, LEO</t>
  </si>
  <si>
    <t>Planet Subaru</t>
  </si>
  <si>
    <t>ANN.M.DRYSDALE@GMAIL.COM</t>
  </si>
  <si>
    <t>SULLIVAN</t>
  </si>
  <si>
    <t>NEWCOMB</t>
  </si>
  <si>
    <t>Bortone, Jeffrey</t>
  </si>
  <si>
    <t>Bortone, Jack</t>
  </si>
  <si>
    <t>Salvadore Chrysler</t>
  </si>
  <si>
    <t>jeffb09@comcast.net</t>
  </si>
  <si>
    <t>jackbortone22@gmail.com</t>
  </si>
  <si>
    <t>MIGLIACCIO</t>
  </si>
  <si>
    <t>MCCABE</t>
  </si>
  <si>
    <t>BARCHI, SARAH</t>
  </si>
  <si>
    <t>Grieco Toyota</t>
  </si>
  <si>
    <t>barchisarah@gmail.com</t>
  </si>
  <si>
    <t>AHLHAUSER</t>
  </si>
  <si>
    <t>KERKHOFF, RODERICK</t>
  </si>
  <si>
    <t>KERKHOFF, JUDITH</t>
  </si>
  <si>
    <t>Richard Lundgren, Inc. d/b/a</t>
  </si>
  <si>
    <t>RFKERKHOFF@VERIZON.NET</t>
  </si>
  <si>
    <t>JKERKHOFF@VERIZON.NET</t>
  </si>
  <si>
    <t>PAINE</t>
  </si>
  <si>
    <t>CARSON</t>
  </si>
  <si>
    <t># 13</t>
  </si>
  <si>
    <t>151165399 E</t>
  </si>
  <si>
    <t>151165430 E</t>
  </si>
  <si>
    <t>151165555 E</t>
  </si>
  <si>
    <t>151165563 E</t>
  </si>
  <si>
    <t>151165604 E</t>
  </si>
  <si>
    <t>151165612 E</t>
  </si>
  <si>
    <t>151165620 E</t>
  </si>
  <si>
    <t>151165646 E</t>
  </si>
  <si>
    <t>151165654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</si>
  <si>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</si>
  <si>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</si>
  <si>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</si>
  <si>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</si>
  <si>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</si>
  <si>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</si>
  <si>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</si>
  <si>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honda-Patriot Auto Group Inc d/b/a</t>
  </si>
  <si>
    <t>lu-Richard Lundgren, Inc. d/b/a</t>
  </si>
  <si>
    <t>Funding Worksheet - Signoff Version</t>
  </si>
  <si>
    <t># 4</t>
  </si>
  <si>
    <t>Original Notes Delivered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</si>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</sst>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0" fontId="0" fillId="0" borderId="1" xfId="0" applyBorder="1"/>
  </cellXfs>
  <cellStyles count="1">
    <cellStyle name="Normal" xfId="0" builtinId="0"/>
  </cellStyles>
  <dxfs count="16">
    <dxf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7" headerRowDxfId="3" dataDxfId="1" totalsRowDxfId="2">
  <tableColumns count="12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EF299F-B1F7-4ABA-A252-D8D76DDBB36E}" name="Table_13" displayName="Table_13" ref="A3:H30">
  <sortState xmlns:xlrd2="http://schemas.microsoft.com/office/spreadsheetml/2017/richdata2" ref="A4:H30">
    <sortCondition ref="A4:A30"/>
  </sortState>
  <tableColumns count="8">
    <tableColumn id="1" xr3:uid="{4BACD838-83E5-4FFF-ADC6-6EF853A051E0}" name="Dealer Name"/>
    <tableColumn id="8" xr3:uid="{67C396AC-E74D-4AB3-A7BA-8AC9A4FF17EB}" name="Column2"/>
    <tableColumn id="2" xr3:uid="{FBE0FC61-B501-4257-A2DC-90E5598B85FC}" name="Funded by"/>
    <tableColumn id="3" xr3:uid="{EE1A0E9B-1A73-4734-846A-907A461BEC58}" name="Dealer Flat"/>
    <tableColumn id="4" xr3:uid="{33ABCFBC-DDAE-46DA-98A3-E797BCBD5068}" name="Dealer Split"/>
    <tableColumn id="5" xr3:uid="{ECBD26AB-2BA4-442C-B2B3-11409540A595}" name="Net to Dealer"/>
    <tableColumn id="7" xr3:uid="{051BFF49-DAC5-4FFC-9243-9AB3090A4C10}" name="Column1" dataDxfId="0"/>
    <tableColumn id="6" xr3:uid="{F3BCFA87-175F-428C-ACD6-C252EE5F8AA6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5263E3-6F80-40A3-8BC6-F17E13CE7C3D}" name="Table_15" displayName="Table_15" ref="A3:F8">
  <tableColumns count="6">
    <tableColumn id="1" xr3:uid="{0C59B1AF-C8F8-4880-B8E2-484385CE8B07}" name="Account Number"/>
    <tableColumn id="2" xr3:uid="{3D5F965F-9179-4032-BB1E-AE9114395747}" name="Contract Type"/>
    <tableColumn id="3" xr3:uid="{73DF1962-2E0D-4303-AA14-37E7DD08F3B1}" name="Applicant Name"/>
    <tableColumn id="4" xr3:uid="{C74D7975-AA76-4BEE-8F9D-E76B41917FBD}" name="Co-Applicant Name"/>
    <tableColumn id="5" xr3:uid="{4591D5BD-1194-4317-84AA-8F0F67E8D4A8}" name="Dealer Name"/>
    <tableColumn id="6" xr3:uid="{BFBA3E07-48DB-4D50-9DE8-C9326B6BEC8D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"/>
  <sheetViews>
    <sheetView tabSelected="1" workbookViewId="0">
      <pane ySplit="3" topLeftCell="A11" activePane="bottomLeft" state="frozen"/>
      <selection pane="bottomLeft" activeCell="E23" sqref="E23"/>
    </sheetView>
  </sheetViews>
  <sheetFormatPr defaultRowHeight="15.75" x14ac:dyDescent="0.25"/>
  <cols>
    <col min="1" max="1" width="13.7109375" style="8" customWidth="1"/>
    <col min="2" max="2" width="12.140625" style="8" bestFit="1" customWidth="1"/>
    <col min="3" max="3" width="14" style="8" bestFit="1" customWidth="1"/>
    <col min="4" max="4" width="21.5703125" style="8" bestFit="1" customWidth="1"/>
    <col min="5" max="5" width="18.7109375" style="8" bestFit="1" customWidth="1"/>
    <col min="6" max="6" width="32.5703125" style="8" bestFit="1" customWidth="1"/>
    <col min="7" max="7" width="15.140625" style="8" bestFit="1" customWidth="1"/>
    <col min="8" max="8" width="17.140625" style="8" bestFit="1" customWidth="1"/>
    <col min="9" max="9" width="32" style="8" bestFit="1" customWidth="1"/>
    <col min="10" max="10" width="25.7109375" style="8" bestFit="1" customWidth="1"/>
    <col min="11" max="12" width="12.85546875" style="8" bestFit="1" customWidth="1"/>
    <col min="13" max="16384" width="9.140625" style="8"/>
  </cols>
  <sheetData>
    <row r="1" spans="1:12" x14ac:dyDescent="0.25">
      <c r="K1" s="9">
        <v>45755</v>
      </c>
      <c r="L1" s="10"/>
    </row>
    <row r="2" spans="1:12" x14ac:dyDescent="0.25">
      <c r="A2" s="11" t="s">
        <v>0</v>
      </c>
      <c r="B2" s="12"/>
      <c r="C2" s="12"/>
      <c r="D2" s="12"/>
      <c r="E2" s="12"/>
      <c r="F2" s="12"/>
      <c r="G2" s="13" t="s">
        <v>1</v>
      </c>
      <c r="H2" s="12"/>
      <c r="I2" s="12"/>
      <c r="J2" s="12"/>
      <c r="K2" s="12"/>
      <c r="L2" s="12"/>
    </row>
    <row r="3" spans="1:12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spans="1:12" ht="33" customHeight="1" x14ac:dyDescent="0.25">
      <c r="A4" s="8" t="s">
        <v>85</v>
      </c>
      <c r="B4" s="8" t="s">
        <v>15</v>
      </c>
      <c r="C4" s="8" t="s">
        <v>16</v>
      </c>
      <c r="D4" s="8" t="s">
        <v>17</v>
      </c>
      <c r="F4" s="8" t="s">
        <v>18</v>
      </c>
      <c r="G4" s="8" t="s">
        <v>19</v>
      </c>
      <c r="H4" s="14">
        <v>32208.19</v>
      </c>
      <c r="I4" s="8" t="s">
        <v>20</v>
      </c>
      <c r="K4" s="8" t="s">
        <v>21</v>
      </c>
    </row>
    <row r="5" spans="1:12" ht="33" customHeight="1" x14ac:dyDescent="0.25">
      <c r="A5" s="8" t="s">
        <v>86</v>
      </c>
      <c r="B5" s="8" t="s">
        <v>22</v>
      </c>
      <c r="C5" s="8" t="s">
        <v>16</v>
      </c>
      <c r="D5" s="8" t="s">
        <v>23</v>
      </c>
      <c r="F5" s="8" t="s">
        <v>24</v>
      </c>
      <c r="G5" s="8" t="s">
        <v>19</v>
      </c>
      <c r="H5" s="14">
        <v>34427.550000000003</v>
      </c>
      <c r="I5" s="8" t="s">
        <v>25</v>
      </c>
      <c r="K5" s="8" t="s">
        <v>26</v>
      </c>
    </row>
    <row r="6" spans="1:12" ht="33" customHeight="1" x14ac:dyDescent="0.25">
      <c r="A6" s="8" t="s">
        <v>27</v>
      </c>
      <c r="B6" s="8" t="s">
        <v>22</v>
      </c>
      <c r="C6" s="8" t="s">
        <v>28</v>
      </c>
      <c r="D6" s="8" t="s">
        <v>29</v>
      </c>
      <c r="F6" s="8" t="s">
        <v>30</v>
      </c>
      <c r="G6" s="8" t="s">
        <v>31</v>
      </c>
      <c r="H6" s="14">
        <v>17119.93</v>
      </c>
      <c r="K6" s="8" t="s">
        <v>32</v>
      </c>
    </row>
    <row r="7" spans="1:12" ht="33" customHeight="1" x14ac:dyDescent="0.25">
      <c r="A7" s="8" t="s">
        <v>33</v>
      </c>
      <c r="B7" s="8" t="s">
        <v>15</v>
      </c>
      <c r="C7" s="8" t="s">
        <v>28</v>
      </c>
      <c r="D7" s="8" t="s">
        <v>34</v>
      </c>
      <c r="F7" s="8" t="s">
        <v>35</v>
      </c>
      <c r="G7" s="8" t="s">
        <v>31</v>
      </c>
      <c r="H7" s="14">
        <v>55250.879999999997</v>
      </c>
      <c r="I7" s="8" t="s">
        <v>36</v>
      </c>
      <c r="K7" s="8" t="s">
        <v>37</v>
      </c>
    </row>
    <row r="8" spans="1:12" ht="33" customHeight="1" x14ac:dyDescent="0.25">
      <c r="A8" s="8" t="s">
        <v>87</v>
      </c>
      <c r="B8" s="8" t="s">
        <v>22</v>
      </c>
      <c r="C8" s="8" t="s">
        <v>16</v>
      </c>
      <c r="D8" s="8" t="s">
        <v>38</v>
      </c>
      <c r="F8" s="8" t="s">
        <v>39</v>
      </c>
      <c r="G8" s="8" t="s">
        <v>31</v>
      </c>
      <c r="H8" s="14">
        <v>37358.379999999997</v>
      </c>
      <c r="I8" s="8" t="s">
        <v>40</v>
      </c>
      <c r="K8" s="8" t="s">
        <v>41</v>
      </c>
    </row>
    <row r="9" spans="1:12" ht="33" customHeight="1" x14ac:dyDescent="0.25">
      <c r="A9" s="8" t="s">
        <v>88</v>
      </c>
      <c r="B9" s="8" t="s">
        <v>22</v>
      </c>
      <c r="C9" s="8" t="s">
        <v>16</v>
      </c>
      <c r="D9" s="8" t="s">
        <v>42</v>
      </c>
      <c r="F9" s="8" t="s">
        <v>43</v>
      </c>
      <c r="G9" s="8" t="s">
        <v>31</v>
      </c>
      <c r="H9" s="14">
        <v>26625.81</v>
      </c>
      <c r="I9" s="8" t="s">
        <v>44</v>
      </c>
      <c r="K9" s="8" t="s">
        <v>45</v>
      </c>
    </row>
    <row r="10" spans="1:12" ht="33" customHeight="1" x14ac:dyDescent="0.25">
      <c r="A10" s="8" t="s">
        <v>46</v>
      </c>
      <c r="B10" s="8" t="s">
        <v>22</v>
      </c>
      <c r="C10" s="8" t="s">
        <v>28</v>
      </c>
      <c r="D10" s="8" t="s">
        <v>47</v>
      </c>
      <c r="F10" s="8" t="s">
        <v>48</v>
      </c>
      <c r="G10" s="8" t="s">
        <v>31</v>
      </c>
      <c r="H10" s="14">
        <v>40887.03</v>
      </c>
      <c r="I10" s="8" t="s">
        <v>49</v>
      </c>
      <c r="K10" s="8" t="s">
        <v>50</v>
      </c>
    </row>
    <row r="11" spans="1:12" ht="33" customHeight="1" x14ac:dyDescent="0.25">
      <c r="A11" s="8" t="s">
        <v>51</v>
      </c>
      <c r="B11" s="8" t="s">
        <v>22</v>
      </c>
      <c r="C11" s="8" t="s">
        <v>28</v>
      </c>
      <c r="D11" s="8" t="s">
        <v>52</v>
      </c>
      <c r="F11" s="8" t="s">
        <v>53</v>
      </c>
      <c r="G11" s="8" t="s">
        <v>19</v>
      </c>
      <c r="H11" s="14">
        <v>28957.81</v>
      </c>
      <c r="I11" s="8" t="s">
        <v>54</v>
      </c>
      <c r="K11" s="8" t="s">
        <v>55</v>
      </c>
    </row>
    <row r="12" spans="1:12" ht="33" customHeight="1" x14ac:dyDescent="0.25">
      <c r="A12" s="8" t="s">
        <v>89</v>
      </c>
      <c r="B12" s="8" t="s">
        <v>15</v>
      </c>
      <c r="C12" s="8" t="s">
        <v>16</v>
      </c>
      <c r="D12" s="8" t="s">
        <v>56</v>
      </c>
      <c r="F12" s="8" t="s">
        <v>57</v>
      </c>
      <c r="G12" s="8" t="s">
        <v>19</v>
      </c>
      <c r="H12" s="14">
        <v>30170.13</v>
      </c>
      <c r="I12" s="8" t="s">
        <v>58</v>
      </c>
      <c r="K12" s="8" t="s">
        <v>59</v>
      </c>
    </row>
    <row r="13" spans="1:12" ht="33" customHeight="1" x14ac:dyDescent="0.25">
      <c r="A13" s="8" t="s">
        <v>90</v>
      </c>
      <c r="B13" s="8" t="s">
        <v>22</v>
      </c>
      <c r="C13" s="8" t="s">
        <v>16</v>
      </c>
      <c r="D13" s="8" t="s">
        <v>60</v>
      </c>
      <c r="E13" s="8" t="s">
        <v>61</v>
      </c>
      <c r="F13" s="8" t="s">
        <v>62</v>
      </c>
      <c r="G13" s="8" t="s">
        <v>31</v>
      </c>
      <c r="H13" s="14">
        <v>27978.63</v>
      </c>
      <c r="I13" s="8" t="s">
        <v>63</v>
      </c>
      <c r="K13" s="8" t="s">
        <v>64</v>
      </c>
      <c r="L13" s="8" t="s">
        <v>65</v>
      </c>
    </row>
    <row r="14" spans="1:12" ht="33" customHeight="1" x14ac:dyDescent="0.25">
      <c r="A14" s="8" t="s">
        <v>91</v>
      </c>
      <c r="B14" s="8" t="s">
        <v>15</v>
      </c>
      <c r="C14" s="8" t="s">
        <v>16</v>
      </c>
      <c r="D14" s="8" t="s">
        <v>66</v>
      </c>
      <c r="E14" s="8" t="s">
        <v>67</v>
      </c>
      <c r="F14" s="8" t="s">
        <v>68</v>
      </c>
      <c r="G14" s="8" t="s">
        <v>19</v>
      </c>
      <c r="H14" s="14">
        <v>24147.439999999999</v>
      </c>
      <c r="I14" s="8" t="s">
        <v>69</v>
      </c>
      <c r="J14" s="8" t="s">
        <v>70</v>
      </c>
      <c r="K14" s="8" t="s">
        <v>71</v>
      </c>
      <c r="L14" s="8" t="s">
        <v>72</v>
      </c>
    </row>
    <row r="15" spans="1:12" ht="33" customHeight="1" x14ac:dyDescent="0.25">
      <c r="A15" s="8" t="s">
        <v>92</v>
      </c>
      <c r="B15" s="8" t="s">
        <v>15</v>
      </c>
      <c r="C15" s="8" t="s">
        <v>16</v>
      </c>
      <c r="D15" s="8" t="s">
        <v>73</v>
      </c>
      <c r="F15" s="8" t="s">
        <v>74</v>
      </c>
      <c r="G15" s="8" t="s">
        <v>19</v>
      </c>
      <c r="H15" s="14">
        <v>35908.959999999999</v>
      </c>
      <c r="I15" s="8" t="s">
        <v>75</v>
      </c>
      <c r="K15" s="8" t="s">
        <v>76</v>
      </c>
    </row>
    <row r="16" spans="1:12" ht="33" customHeight="1" x14ac:dyDescent="0.25">
      <c r="A16" s="8" t="s">
        <v>93</v>
      </c>
      <c r="B16" s="8" t="s">
        <v>22</v>
      </c>
      <c r="C16" s="8" t="s">
        <v>16</v>
      </c>
      <c r="D16" s="8" t="s">
        <v>77</v>
      </c>
      <c r="E16" s="8" t="s">
        <v>78</v>
      </c>
      <c r="F16" s="8" t="s">
        <v>79</v>
      </c>
      <c r="G16" s="8" t="s">
        <v>19</v>
      </c>
      <c r="H16" s="14">
        <v>25606.720000000001</v>
      </c>
      <c r="I16" s="8" t="s">
        <v>80</v>
      </c>
      <c r="J16" s="8" t="s">
        <v>81</v>
      </c>
      <c r="K16" s="8" t="s">
        <v>82</v>
      </c>
      <c r="L16" s="8" t="s">
        <v>83</v>
      </c>
    </row>
    <row r="17" spans="1:12" x14ac:dyDescent="0.25">
      <c r="A17" s="15"/>
      <c r="B17" s="15"/>
      <c r="C17" s="15"/>
      <c r="D17" s="15" t="s">
        <v>84</v>
      </c>
      <c r="E17" s="15"/>
      <c r="F17" s="15"/>
      <c r="G17" s="15"/>
      <c r="H17" s="16">
        <f>SUM(H4:H16)</f>
        <v>416647.46000000008</v>
      </c>
      <c r="I17" s="15"/>
      <c r="J17" s="15"/>
      <c r="K17" s="15"/>
      <c r="L17" s="15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8CD8-D69C-4E55-B495-D268E2FA3D26}">
  <sheetPr>
    <pageSetUpPr fitToPage="1"/>
  </sheetPr>
  <dimension ref="A1:H30"/>
  <sheetViews>
    <sheetView workbookViewId="0">
      <selection activeCell="K8" sqref="K8"/>
    </sheetView>
  </sheetViews>
  <sheetFormatPr defaultRowHeight="15" x14ac:dyDescent="0.25"/>
  <cols>
    <col min="1" max="1" width="18.28515625" customWidth="1"/>
    <col min="2" max="2" width="11.7109375" customWidth="1"/>
    <col min="3" max="3" width="14.28515625" customWidth="1"/>
    <col min="4" max="4" width="13.140625" customWidth="1"/>
    <col min="5" max="5" width="12.7109375" customWidth="1"/>
    <col min="6" max="6" width="12.42578125" customWidth="1"/>
    <col min="7" max="7" width="12.28515625" customWidth="1"/>
    <col min="8" max="8" width="13.140625" customWidth="1"/>
  </cols>
  <sheetData>
    <row r="1" spans="1:8" x14ac:dyDescent="0.25">
      <c r="E1" s="4"/>
      <c r="H1" s="4">
        <v>45755.999988425923</v>
      </c>
    </row>
    <row r="2" spans="1:8" x14ac:dyDescent="0.25">
      <c r="A2" s="5" t="s">
        <v>0</v>
      </c>
      <c r="B2" s="5"/>
      <c r="C2" s="6"/>
      <c r="D2" s="6"/>
      <c r="E2" s="7" t="s">
        <v>94</v>
      </c>
      <c r="F2" s="6"/>
      <c r="G2" s="6"/>
      <c r="H2" s="6"/>
    </row>
    <row r="3" spans="1:8" x14ac:dyDescent="0.25">
      <c r="A3" t="s">
        <v>7</v>
      </c>
      <c r="B3" t="s">
        <v>100</v>
      </c>
      <c r="C3" t="s">
        <v>8</v>
      </c>
      <c r="D3" t="s">
        <v>95</v>
      </c>
      <c r="E3" t="s">
        <v>96</v>
      </c>
      <c r="F3" t="s">
        <v>97</v>
      </c>
      <c r="G3" t="s">
        <v>99</v>
      </c>
      <c r="H3" t="s">
        <v>98</v>
      </c>
    </row>
    <row r="4" spans="1:8" ht="27" customHeight="1" x14ac:dyDescent="0.25">
      <c r="A4" t="s">
        <v>39</v>
      </c>
      <c r="C4" t="s">
        <v>31</v>
      </c>
      <c r="D4" s="2">
        <v>950</v>
      </c>
      <c r="E4" s="2">
        <v>0</v>
      </c>
      <c r="F4" s="17">
        <v>37283.379999999997</v>
      </c>
      <c r="G4" s="2"/>
      <c r="H4" s="2">
        <v>37358.379999999997</v>
      </c>
    </row>
    <row r="5" spans="1:8" ht="27" customHeight="1" x14ac:dyDescent="0.25">
      <c r="D5" s="2"/>
      <c r="E5" s="2"/>
      <c r="F5" s="17"/>
      <c r="G5" s="2"/>
      <c r="H5" s="2"/>
    </row>
    <row r="6" spans="1:8" ht="27" customHeight="1" x14ac:dyDescent="0.25">
      <c r="A6" t="s">
        <v>43</v>
      </c>
      <c r="C6" t="s">
        <v>31</v>
      </c>
      <c r="D6" s="2">
        <v>750</v>
      </c>
      <c r="E6" s="2">
        <v>0</v>
      </c>
      <c r="F6" s="17">
        <v>26550.81</v>
      </c>
      <c r="G6" s="2"/>
      <c r="H6" s="2">
        <v>26625.81</v>
      </c>
    </row>
    <row r="7" spans="1:8" ht="27" customHeight="1" x14ac:dyDescent="0.25">
      <c r="D7" s="2"/>
      <c r="E7" s="2"/>
      <c r="F7" s="17"/>
      <c r="G7" s="2"/>
      <c r="H7" s="2"/>
    </row>
    <row r="8" spans="1:8" ht="27" customHeight="1" x14ac:dyDescent="0.25">
      <c r="A8" t="s">
        <v>74</v>
      </c>
      <c r="C8" t="s">
        <v>19</v>
      </c>
      <c r="D8" s="2">
        <v>950</v>
      </c>
      <c r="E8" s="2">
        <v>0</v>
      </c>
      <c r="F8" s="17">
        <v>35833.96</v>
      </c>
      <c r="G8" s="2"/>
      <c r="H8" s="2">
        <v>35908.959999999999</v>
      </c>
    </row>
    <row r="9" spans="1:8" ht="27" customHeight="1" x14ac:dyDescent="0.25">
      <c r="D9" s="2"/>
      <c r="E9" s="2"/>
      <c r="F9" s="17"/>
      <c r="G9" s="2"/>
      <c r="H9" s="2"/>
    </row>
    <row r="10" spans="1:8" ht="27" customHeight="1" x14ac:dyDescent="0.25">
      <c r="A10" t="s">
        <v>35</v>
      </c>
      <c r="C10" t="s">
        <v>31</v>
      </c>
      <c r="D10" s="2">
        <v>1350</v>
      </c>
      <c r="E10" s="2">
        <v>0</v>
      </c>
      <c r="F10" s="17">
        <v>55175.88</v>
      </c>
      <c r="G10" s="2"/>
      <c r="H10" s="2">
        <v>55250.879999999997</v>
      </c>
    </row>
    <row r="11" spans="1:8" ht="27" customHeight="1" x14ac:dyDescent="0.25">
      <c r="D11" s="2"/>
      <c r="E11" s="2"/>
      <c r="F11" s="17"/>
      <c r="G11" s="2"/>
      <c r="H11" s="2"/>
    </row>
    <row r="12" spans="1:8" ht="27" customHeight="1" x14ac:dyDescent="0.25">
      <c r="A12" t="s">
        <v>101</v>
      </c>
      <c r="C12" t="s">
        <v>19</v>
      </c>
      <c r="D12" s="2">
        <v>850</v>
      </c>
      <c r="E12" s="2">
        <v>0</v>
      </c>
      <c r="F12" s="17">
        <v>30095.13</v>
      </c>
      <c r="G12" s="2"/>
      <c r="H12" s="2">
        <v>30170.13</v>
      </c>
    </row>
    <row r="13" spans="1:8" ht="27" customHeight="1" x14ac:dyDescent="0.25">
      <c r="D13" s="2"/>
      <c r="E13" s="2"/>
      <c r="F13" s="17"/>
      <c r="G13" s="2"/>
      <c r="H13" s="2"/>
    </row>
    <row r="14" spans="1:8" ht="27" customHeight="1" x14ac:dyDescent="0.25">
      <c r="A14" t="s">
        <v>53</v>
      </c>
      <c r="C14" t="s">
        <v>19</v>
      </c>
      <c r="D14" s="2">
        <v>750</v>
      </c>
      <c r="E14" s="2">
        <v>0</v>
      </c>
      <c r="F14" s="17">
        <v>28882.81</v>
      </c>
      <c r="G14" s="2"/>
      <c r="H14" s="2">
        <v>28957.81</v>
      </c>
    </row>
    <row r="15" spans="1:8" ht="27" customHeight="1" x14ac:dyDescent="0.25">
      <c r="D15" s="2"/>
      <c r="E15" s="2"/>
      <c r="F15" s="17"/>
      <c r="G15" s="2"/>
      <c r="H15" s="2"/>
    </row>
    <row r="16" spans="1:8" ht="27" customHeight="1" x14ac:dyDescent="0.25">
      <c r="A16" t="s">
        <v>102</v>
      </c>
      <c r="C16" t="s">
        <v>19</v>
      </c>
      <c r="D16" s="2">
        <v>750</v>
      </c>
      <c r="E16" s="2">
        <v>0</v>
      </c>
      <c r="F16" s="17">
        <v>25531.72</v>
      </c>
      <c r="G16" s="2"/>
      <c r="H16" s="2">
        <v>25606.720000000001</v>
      </c>
    </row>
    <row r="17" spans="1:8" ht="27" customHeight="1" x14ac:dyDescent="0.25">
      <c r="D17" s="2"/>
      <c r="E17" s="2"/>
      <c r="F17" s="17"/>
      <c r="G17" s="2"/>
      <c r="H17" s="2"/>
    </row>
    <row r="18" spans="1:8" ht="27" customHeight="1" x14ac:dyDescent="0.25">
      <c r="A18" t="s">
        <v>24</v>
      </c>
      <c r="C18" t="s">
        <v>19</v>
      </c>
      <c r="D18" s="2">
        <v>850</v>
      </c>
      <c r="E18" s="2">
        <v>0</v>
      </c>
      <c r="F18" s="17">
        <v>34352.550000000003</v>
      </c>
      <c r="G18" s="2"/>
      <c r="H18" s="2">
        <v>34427.550000000003</v>
      </c>
    </row>
    <row r="19" spans="1:8" ht="27" customHeight="1" x14ac:dyDescent="0.25">
      <c r="D19" s="2"/>
      <c r="E19" s="2"/>
      <c r="F19" s="17"/>
      <c r="G19" s="2"/>
      <c r="H19" s="2"/>
    </row>
    <row r="20" spans="1:8" ht="27" customHeight="1" x14ac:dyDescent="0.25">
      <c r="A20" t="s">
        <v>62</v>
      </c>
      <c r="C20" t="s">
        <v>31</v>
      </c>
      <c r="D20" s="2">
        <v>750</v>
      </c>
      <c r="E20" s="2">
        <v>0</v>
      </c>
      <c r="F20" s="17">
        <v>27903.63</v>
      </c>
      <c r="G20" s="2"/>
      <c r="H20" s="2">
        <v>27978.63</v>
      </c>
    </row>
    <row r="21" spans="1:8" ht="27" customHeight="1" x14ac:dyDescent="0.25">
      <c r="D21" s="2"/>
      <c r="E21" s="2"/>
      <c r="F21" s="17"/>
      <c r="G21" s="2"/>
      <c r="H21" s="2"/>
    </row>
    <row r="22" spans="1:8" ht="27" customHeight="1" x14ac:dyDescent="0.25">
      <c r="A22" t="s">
        <v>68</v>
      </c>
      <c r="C22" t="s">
        <v>19</v>
      </c>
      <c r="D22" s="2">
        <v>650</v>
      </c>
      <c r="E22" s="2">
        <v>0</v>
      </c>
      <c r="F22" s="17">
        <v>24072.44</v>
      </c>
      <c r="G22" s="2"/>
      <c r="H22" s="2">
        <v>24147.439999999999</v>
      </c>
    </row>
    <row r="23" spans="1:8" ht="27" customHeight="1" x14ac:dyDescent="0.25">
      <c r="D23" s="2"/>
      <c r="E23" s="2"/>
      <c r="F23" s="17"/>
      <c r="G23" s="2"/>
      <c r="H23" s="2"/>
    </row>
    <row r="24" spans="1:8" ht="27" customHeight="1" x14ac:dyDescent="0.25">
      <c r="A24" t="s">
        <v>30</v>
      </c>
      <c r="C24" t="s">
        <v>31</v>
      </c>
      <c r="D24" s="2">
        <v>500</v>
      </c>
      <c r="E24" s="2">
        <v>0</v>
      </c>
      <c r="F24" s="17">
        <v>17044.93</v>
      </c>
      <c r="G24" s="2"/>
      <c r="H24" s="2">
        <v>17119.93</v>
      </c>
    </row>
    <row r="25" spans="1:8" ht="27" customHeight="1" x14ac:dyDescent="0.25">
      <c r="D25" s="2"/>
      <c r="E25" s="2"/>
      <c r="F25" s="17"/>
      <c r="G25" s="2"/>
      <c r="H25" s="2"/>
    </row>
    <row r="26" spans="1:8" ht="27" customHeight="1" x14ac:dyDescent="0.25">
      <c r="A26" t="s">
        <v>18</v>
      </c>
      <c r="C26" t="s">
        <v>19</v>
      </c>
      <c r="D26" s="2">
        <v>850</v>
      </c>
      <c r="E26" s="2">
        <v>0</v>
      </c>
      <c r="F26" s="17">
        <v>32133.19</v>
      </c>
      <c r="G26" s="2"/>
      <c r="H26" s="2">
        <v>32208.19</v>
      </c>
    </row>
    <row r="27" spans="1:8" ht="27" customHeight="1" x14ac:dyDescent="0.25">
      <c r="D27" s="2"/>
      <c r="E27" s="2"/>
      <c r="F27" s="17"/>
      <c r="G27" s="2"/>
      <c r="H27" s="2"/>
    </row>
    <row r="28" spans="1:8" ht="27" customHeight="1" x14ac:dyDescent="0.25">
      <c r="A28" t="s">
        <v>48</v>
      </c>
      <c r="C28" t="s">
        <v>31</v>
      </c>
      <c r="D28" s="2">
        <v>1050</v>
      </c>
      <c r="E28" s="2">
        <v>0</v>
      </c>
      <c r="F28" s="17">
        <v>40812.03</v>
      </c>
      <c r="G28" s="2"/>
      <c r="H28" s="2">
        <v>40887.03</v>
      </c>
    </row>
    <row r="29" spans="1:8" ht="19.5" customHeight="1" x14ac:dyDescent="0.25">
      <c r="D29" s="2"/>
      <c r="E29" s="2"/>
      <c r="F29" s="2"/>
      <c r="G29" s="2"/>
      <c r="H29" s="2"/>
    </row>
    <row r="30" spans="1:8" x14ac:dyDescent="0.25">
      <c r="A30" s="1"/>
      <c r="B30" s="1"/>
      <c r="C30" s="1"/>
      <c r="D30" s="3">
        <f>SUM(D4:D28)</f>
        <v>11000</v>
      </c>
      <c r="E30" s="3">
        <f>SUM(E4:E28)</f>
        <v>0</v>
      </c>
      <c r="F30" s="3">
        <f>SUM(F4:F28)</f>
        <v>415672.45999999996</v>
      </c>
      <c r="G30" s="3"/>
      <c r="H30" s="3">
        <f>SUM(H4:H28)</f>
        <v>416647.45999999996</v>
      </c>
    </row>
  </sheetData>
  <mergeCells count="2">
    <mergeCell ref="A2:D2"/>
    <mergeCell ref="E2:H2"/>
  </mergeCells>
  <pageMargins left="0.7" right="0" top="0.75" bottom="0.75" header="0.3" footer="0.3"/>
  <pageSetup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ED33-AC64-40B0-8E94-F50F51A5B31B}">
  <sheetPr>
    <pageSetUpPr fitToPage="1"/>
  </sheetPr>
  <dimension ref="A1:F21"/>
  <sheetViews>
    <sheetView workbookViewId="0">
      <selection activeCell="K18" sqref="K18"/>
    </sheetView>
  </sheetViews>
  <sheetFormatPr defaultRowHeight="15" x14ac:dyDescent="0.25"/>
  <cols>
    <col min="1" max="1" width="14" customWidth="1"/>
    <col min="3" max="3" width="16.140625" customWidth="1"/>
    <col min="4" max="4" width="11.42578125" customWidth="1"/>
    <col min="5" max="5" width="10.85546875" customWidth="1"/>
    <col min="6" max="6" width="21" customWidth="1"/>
  </cols>
  <sheetData>
    <row r="1" spans="1:6" ht="24.95" customHeight="1" x14ac:dyDescent="0.25">
      <c r="A1" t="s">
        <v>105</v>
      </c>
      <c r="D1" s="4"/>
      <c r="F1" s="4">
        <v>45755.999988425923</v>
      </c>
    </row>
    <row r="2" spans="1:6" ht="24.95" customHeight="1" x14ac:dyDescent="0.25">
      <c r="A2" s="5" t="s">
        <v>0</v>
      </c>
      <c r="B2" s="6"/>
      <c r="C2" s="6"/>
      <c r="D2" s="7" t="s">
        <v>103</v>
      </c>
      <c r="E2" s="6"/>
      <c r="F2" s="6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27</v>
      </c>
      <c r="B4" t="s">
        <v>28</v>
      </c>
      <c r="C4" t="s">
        <v>29</v>
      </c>
      <c r="E4" t="s">
        <v>30</v>
      </c>
    </row>
    <row r="5" spans="1:6" ht="24.95" customHeight="1" x14ac:dyDescent="0.25">
      <c r="A5" t="s">
        <v>33</v>
      </c>
      <c r="B5" t="s">
        <v>28</v>
      </c>
      <c r="C5" t="s">
        <v>34</v>
      </c>
      <c r="E5" t="s">
        <v>35</v>
      </c>
    </row>
    <row r="6" spans="1:6" ht="24.95" customHeight="1" x14ac:dyDescent="0.25">
      <c r="A6" t="s">
        <v>46</v>
      </c>
      <c r="B6" t="s">
        <v>28</v>
      </c>
      <c r="C6" t="s">
        <v>47</v>
      </c>
      <c r="E6" t="s">
        <v>48</v>
      </c>
    </row>
    <row r="7" spans="1:6" ht="24.95" customHeight="1" x14ac:dyDescent="0.25">
      <c r="A7" t="s">
        <v>51</v>
      </c>
      <c r="B7" t="s">
        <v>28</v>
      </c>
      <c r="C7" t="s">
        <v>52</v>
      </c>
      <c r="E7" t="s">
        <v>53</v>
      </c>
    </row>
    <row r="8" spans="1:6" ht="24.95" customHeight="1" x14ac:dyDescent="0.25">
      <c r="A8" s="1"/>
      <c r="B8" s="1"/>
      <c r="C8" s="1" t="s">
        <v>104</v>
      </c>
      <c r="D8" s="1"/>
      <c r="E8" s="1"/>
      <c r="F8" s="1"/>
    </row>
    <row r="13" spans="1:6" x14ac:dyDescent="0.25">
      <c r="A13" t="s">
        <v>106</v>
      </c>
      <c r="B13" s="18"/>
      <c r="C13" s="18"/>
      <c r="D13" s="18"/>
      <c r="E13" s="18"/>
    </row>
    <row r="17" spans="1:5" x14ac:dyDescent="0.25">
      <c r="A17" t="s">
        <v>107</v>
      </c>
      <c r="B17" s="18"/>
      <c r="C17" s="18"/>
      <c r="D17" s="18"/>
      <c r="E17" s="18"/>
    </row>
    <row r="21" spans="1:5" x14ac:dyDescent="0.25">
      <c r="A21" t="s">
        <v>108</v>
      </c>
      <c r="B21" s="18"/>
      <c r="C21" s="18"/>
    </row>
  </sheetData>
  <mergeCells count="2">
    <mergeCell ref="A2:C2"/>
    <mergeCell ref="D2:F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2025-04-08T17:41:08Z</cp:lastPrinted>
  <dcterms:created xsi:type="dcterms:W3CDTF">2025-04-08T17:24:38Z</dcterms:created>
  <dcterms:modified xsi:type="dcterms:W3CDTF">2025-04-08T17:56:42Z</dcterms:modified>
</cp:coreProperties>
</file>