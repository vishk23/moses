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10F8FDBF-7620-40B4-B974-696FC6E781B1}" xr6:coauthVersionLast="47" xr6:coauthVersionMax="47" xr10:uidLastSave="{00000000-0000-0000-0000-000000000000}"/>
  <bookViews>
    <workbookView xWindow="32805" yWindow="0" windowWidth="20370" windowHeight="1552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" l="1"/>
  <c r="G34" i="2"/>
  <c r="G13" i="2"/>
  <c r="G9" i="2"/>
  <c r="H48" i="2"/>
  <c r="F48" i="2"/>
  <c r="E48" i="2"/>
  <c r="D48" i="2"/>
  <c r="H29" i="1"/>
</calcChain>
</file>

<file path=xl/sharedStrings.xml><?xml version="1.0" encoding="utf-8"?>
<sst xmlns="http://schemas.openxmlformats.org/spreadsheetml/2006/main" count="311" uniqueCount="159">
  <si>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</si>
  <si>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</si>
  <si>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</si>
  <si>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</si>
  <si>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</si>
  <si>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</si>
  <si>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</si>
  <si>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</si>
  <si>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</si>
  <si>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</si>
  <si>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</si>
  <si>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</si>
  <si>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</si>
  <si>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</si>
  <si>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</si>
  <si>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</si>
  <si>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THEODOSIOU, STAVROS</t>
  </si>
  <si>
    <t>Bailey's Motor Sales Inc</t>
  </si>
  <si>
    <t>Marlene Braganca</t>
  </si>
  <si>
    <t>Hrisvagi</t>
  </si>
  <si>
    <t>WEAVER, STEVEN</t>
  </si>
  <si>
    <t>T F Murphy Enterprises Inc</t>
  </si>
  <si>
    <t>WAKEBYWILDLIFE@COMCAST.NET</t>
  </si>
  <si>
    <t>DUMONT</t>
  </si>
  <si>
    <t>SOULE, DIANNE</t>
  </si>
  <si>
    <t>SOULE, MADISON</t>
  </si>
  <si>
    <t>Lucchettis Service Center Inc</t>
  </si>
  <si>
    <t>Neli Oliveira</t>
  </si>
  <si>
    <t>DSOULE0403@GMAIL.COM</t>
  </si>
  <si>
    <t>msoule0406@gmail.com</t>
  </si>
  <si>
    <t>RINELLA</t>
  </si>
  <si>
    <t>CRANK</t>
  </si>
  <si>
    <t>LECONTE, MARVENS</t>
  </si>
  <si>
    <t>Grieco Toyota</t>
  </si>
  <si>
    <t>MATHIEU</t>
  </si>
  <si>
    <t>BARLOW, JAMES</t>
  </si>
  <si>
    <t>Colonial South Chevrolet</t>
  </si>
  <si>
    <t>RUNSTRONG12@GMAIL.COM</t>
  </si>
  <si>
    <t>Paradise</t>
  </si>
  <si>
    <t>ROSE, HOLLY</t>
  </si>
  <si>
    <t>Langway Toyota of Newport</t>
  </si>
  <si>
    <t>KLEKOLO@AOL.COM</t>
  </si>
  <si>
    <t>LAPLACE</t>
  </si>
  <si>
    <t>DealerTrack</t>
  </si>
  <si>
    <t>HAWORTH, JACOB</t>
  </si>
  <si>
    <t>AutoMax Preowned(Framingham)</t>
  </si>
  <si>
    <t>MOMBON</t>
  </si>
  <si>
    <t>MURPHY, COLLEEN</t>
  </si>
  <si>
    <t>Mastria Mazda</t>
  </si>
  <si>
    <t>O'MEARA</t>
  </si>
  <si>
    <t>151225151</t>
  </si>
  <si>
    <t>Paper</t>
  </si>
  <si>
    <t>ROCK, HELEN</t>
  </si>
  <si>
    <t>ROCK, JEFFREY</t>
  </si>
  <si>
    <t>Saccucci Honda</t>
  </si>
  <si>
    <t>ROCKHELEN8@GMAIL.COM</t>
  </si>
  <si>
    <t>JROCK02809@GMAIL.COM</t>
  </si>
  <si>
    <t>MCNAMARN</t>
  </si>
  <si>
    <t>SCHEDLOCK</t>
  </si>
  <si>
    <t>151225169</t>
  </si>
  <si>
    <t>ONEILL, DANIEL</t>
  </si>
  <si>
    <t>Battles Nissan, LLC</t>
  </si>
  <si>
    <t>CAPEDANO@COMCAST.NET</t>
  </si>
  <si>
    <t>entenmann</t>
  </si>
  <si>
    <t>151225185</t>
  </si>
  <si>
    <t>GARRITY, SUZANNE</t>
  </si>
  <si>
    <t>Bourne Enterprises Inc</t>
  </si>
  <si>
    <t>DSGARRITY1@YAHOO.COM</t>
  </si>
  <si>
    <t>Marino</t>
  </si>
  <si>
    <t>151225193</t>
  </si>
  <si>
    <t>ADJEI, DANIEL</t>
  </si>
  <si>
    <t>DANOADJEI@GMAIL.COM</t>
  </si>
  <si>
    <t>BOAKYE</t>
  </si>
  <si>
    <t>DOWNING, TRACY</t>
  </si>
  <si>
    <t>JUZA</t>
  </si>
  <si>
    <t>TOSTI, COREEN</t>
  </si>
  <si>
    <t>Fitzhenry</t>
  </si>
  <si>
    <t>COMEAU, RONALD</t>
  </si>
  <si>
    <t>COMEAU, DEBRA</t>
  </si>
  <si>
    <t>Salvadore Chevrolet</t>
  </si>
  <si>
    <t>Rachel Gorham</t>
  </si>
  <si>
    <t>debracomeau@yahoo.com</t>
  </si>
  <si>
    <t>BOUDREAU</t>
  </si>
  <si>
    <t>ALLAIME</t>
  </si>
  <si>
    <t>ROSA, MICHAEL</t>
  </si>
  <si>
    <t>Colonial Ford Inc</t>
  </si>
  <si>
    <t>mrosa92898@gmail.com</t>
  </si>
  <si>
    <t>FIGUERIA</t>
  </si>
  <si>
    <t>TRESBACK, JOANN</t>
  </si>
  <si>
    <t>Mathieu Ford Sales, Inc</t>
  </si>
  <si>
    <t>jotres@aol.com</t>
  </si>
  <si>
    <t>BARRETT</t>
  </si>
  <si>
    <t>SOREL, AMANDA</t>
  </si>
  <si>
    <t>SOREL, JASON</t>
  </si>
  <si>
    <t>Grieco Hyundai</t>
  </si>
  <si>
    <t>ASOREL1961@CHARTER.NET</t>
  </si>
  <si>
    <t>THAHYER</t>
  </si>
  <si>
    <t>SILVA</t>
  </si>
  <si>
    <t>GLENN, KELVIN</t>
  </si>
  <si>
    <t>FROGGER18822@HOTMAIL.COM</t>
  </si>
  <si>
    <t>MARIS</t>
  </si>
  <si>
    <t>DEROSIER, ROLAND</t>
  </si>
  <si>
    <t>BERNARD</t>
  </si>
  <si>
    <t>BARBOZA, ALLISON</t>
  </si>
  <si>
    <t>Alden Mazda</t>
  </si>
  <si>
    <t>LEGREYEFANCY@AIM.COM</t>
  </si>
  <si>
    <t>TAVARES</t>
  </si>
  <si>
    <t>PORZIO, RONALD</t>
  </si>
  <si>
    <t>Frank Battles Inc</t>
  </si>
  <si>
    <t>RONPORZIO@GMAIL.COM</t>
  </si>
  <si>
    <t>McKeown</t>
  </si>
  <si>
    <t>151225317</t>
  </si>
  <si>
    <t>JASINSKI, BARBARA</t>
  </si>
  <si>
    <t>Planet Automotive Sales LLC</t>
  </si>
  <si>
    <t>BHJASIN@GMAIL.COM</t>
  </si>
  <si>
    <t>KACZYNSKI</t>
  </si>
  <si>
    <t>JIAO, TONG</t>
  </si>
  <si>
    <t>Grieco Enterprises, LLC d/b/a</t>
  </si>
  <si>
    <t>LEIQI2001@HOTMAIL.COM</t>
  </si>
  <si>
    <t>ZHEN</t>
  </si>
  <si>
    <t>TAVILLA, DAWN</t>
  </si>
  <si>
    <t>DMTAVILLA@COMCAST.NET</t>
  </si>
  <si>
    <t>DELEO</t>
  </si>
  <si>
    <t># 25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</si>
  <si>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</si>
  <si>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</si>
  <si>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</si>
  <si>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</si>
  <si>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</si>
  <si>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</si>
  <si>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Column1</t>
  </si>
  <si>
    <t>Column2</t>
  </si>
  <si>
    <t>NE-AutoMax Preowned(Framingham)</t>
  </si>
  <si>
    <t># 5</t>
  </si>
  <si>
    <t>Original Notes Delivered</t>
  </si>
  <si>
    <t>Delivered by:</t>
  </si>
  <si>
    <t>Received by:</t>
  </si>
  <si>
    <t>Date Signed:</t>
  </si>
  <si>
    <t>151225052 E</t>
  </si>
  <si>
    <t>151225060 E</t>
  </si>
  <si>
    <t>151225094 E</t>
  </si>
  <si>
    <t>151225101 E</t>
  </si>
  <si>
    <t>151225119 E</t>
  </si>
  <si>
    <t>151225127 E</t>
  </si>
  <si>
    <t>151225135 E</t>
  </si>
  <si>
    <t>151225143 E</t>
  </si>
  <si>
    <t>151225200 E</t>
  </si>
  <si>
    <t>151225218 E</t>
  </si>
  <si>
    <t>151225226 E</t>
  </si>
  <si>
    <t>151225234 E</t>
  </si>
  <si>
    <t>151225242 E</t>
  </si>
  <si>
    <t>151225268 E</t>
  </si>
  <si>
    <t>151225276 E</t>
  </si>
  <si>
    <t>151225284 E</t>
  </si>
  <si>
    <t>151225292 E</t>
  </si>
  <si>
    <t>151225309 E</t>
  </si>
  <si>
    <t>151225325 E</t>
  </si>
  <si>
    <t>151225333 E</t>
  </si>
  <si>
    <t>5900-6390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</si>
</sst>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7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sz val="14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/>
    <xf numFmtId="7" fontId="3" fillId="0" borderId="0" xfId="0" applyNumberFormat="1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5" fillId="0" borderId="0" xfId="0" applyFont="1"/>
    <xf numFmtId="164" fontId="2" fillId="0" borderId="0" xfId="0" applyNumberFormat="1" applyFont="1" applyAlignment="1">
      <alignment horizontal="right"/>
    </xf>
    <xf numFmtId="7" fontId="6" fillId="0" borderId="0" xfId="0" applyNumberFormat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9" headerRowDxfId="13" dataDxfId="11" totalsRowDxfId="12">
  <tableColumns count="12">
    <tableColumn id="1" xr3:uid="{00000000-0010-0000-0000-000001000000}" name="Account Number" dataDxfId="25"/>
    <tableColumn id="2" xr3:uid="{00000000-0010-0000-0000-000002000000}" name="Portal" dataDxfId="24"/>
    <tableColumn id="3" xr3:uid="{00000000-0010-0000-0000-000003000000}" name="Contract Type" dataDxfId="23"/>
    <tableColumn id="4" xr3:uid="{00000000-0010-0000-0000-000004000000}" name="Applicant Name" dataDxfId="22"/>
    <tableColumn id="5" xr3:uid="{00000000-0010-0000-0000-000005000000}" name="Co-Applicant Name" dataDxfId="21"/>
    <tableColumn id="6" xr3:uid="{00000000-0010-0000-0000-000006000000}" name="Dealer Name" dataDxfId="20"/>
    <tableColumn id="7" xr3:uid="{00000000-0010-0000-0000-000007000000}" name="Funded by" dataDxfId="19"/>
    <tableColumn id="8" xr3:uid="{00000000-0010-0000-0000-000008000000}" name="Amount Financed" dataDxfId="18"/>
    <tableColumn id="9" xr3:uid="{00000000-0010-0000-0000-000009000000}" name="Applicant Email" dataDxfId="17"/>
    <tableColumn id="10" xr3:uid="{00000000-0010-0000-0000-00000A000000}" name="Co-Applicant Email" dataDxfId="16"/>
    <tableColumn id="11" xr3:uid="{00000000-0010-0000-0000-00000B000000}" name="App MMN" dataDxfId="15"/>
    <tableColumn id="12" xr3:uid="{00000000-0010-0000-0000-00000C000000}" name="Co-App MM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404E6B-B6B4-4C5A-9362-095DFD187795}" name="Table_14" displayName="Table_14" ref="A3:H48" headerRowDxfId="2" dataDxfId="0" totalsRowDxfId="1">
  <sortState xmlns:xlrd2="http://schemas.microsoft.com/office/spreadsheetml/2017/richdata2" ref="A4:H48">
    <sortCondition ref="A4:A48"/>
  </sortState>
  <tableColumns count="8">
    <tableColumn id="1" xr3:uid="{CEFFC72A-2F60-4267-9FA6-40D56B4AC1D6}" name="Dealer Name" dataDxfId="10"/>
    <tableColumn id="8" xr3:uid="{F6D7F5EF-0C48-495F-A29A-70082DC6DCFD}" name="Column2" dataDxfId="9"/>
    <tableColumn id="2" xr3:uid="{60CBA633-8AE4-416A-BDFB-8AC4E018E39B}" name="Funded by" dataDxfId="8"/>
    <tableColumn id="3" xr3:uid="{371E53A7-8F1A-48DA-96D3-AE49DD90A571}" name="Dealer Flat" dataDxfId="7"/>
    <tableColumn id="4" xr3:uid="{51EA1140-F0E6-441B-A143-1E276215C8EF}" name="Dealer Split" dataDxfId="6"/>
    <tableColumn id="5" xr3:uid="{D0979170-A5FD-40C4-8576-CDB765AB28F2}" name="Net to Dealer" dataDxfId="5"/>
    <tableColumn id="7" xr3:uid="{6AD6DD17-6922-46A6-AE2F-49486E4CF1CD}" name="Column1" dataDxfId="4"/>
    <tableColumn id="6" xr3:uid="{C1FD4EF2-7E76-425F-9A76-95A9E7968B5A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C87E41-6651-4501-8B8D-6D8E902370A2}" name="Table_15" displayName="Table_15" ref="A3:E9">
  <tableColumns count="5">
    <tableColumn id="1" xr3:uid="{A2EDD22E-A5DB-4409-80CF-9654EDD2AD7B}" name="Account Number"/>
    <tableColumn id="2" xr3:uid="{2F17E0BF-AAD2-4568-A8D0-28DA0D64B75B}" name="Contract Type"/>
    <tableColumn id="3" xr3:uid="{04734838-DAF4-479C-BF45-0C90A3FB4368}" name="Applicant Name"/>
    <tableColumn id="4" xr3:uid="{C1A5A129-787A-4DE1-B6A0-8054A4B6CD94}" name="Co-Applicant Name"/>
    <tableColumn id="5" xr3:uid="{193496FE-D123-4A89-A7A7-BE68355EF821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9"/>
  <sheetViews>
    <sheetView tabSelected="1" workbookViewId="0">
      <pane ySplit="3" topLeftCell="A16" activePane="bottomLeft" state="frozen"/>
      <selection pane="bottomLeft" activeCell="F26" sqref="F26"/>
    </sheetView>
  </sheetViews>
  <sheetFormatPr defaultRowHeight="15.75" x14ac:dyDescent="0.25"/>
  <cols>
    <col min="1" max="1" width="13.28515625" style="8" customWidth="1"/>
    <col min="2" max="2" width="12.140625" style="8" bestFit="1" customWidth="1"/>
    <col min="3" max="3" width="10.28515625" style="8" customWidth="1"/>
    <col min="4" max="5" width="18.140625" style="8" customWidth="1"/>
    <col min="6" max="6" width="28" style="8" customWidth="1"/>
    <col min="7" max="7" width="17.7109375" style="8" bestFit="1" customWidth="1"/>
    <col min="8" max="8" width="17.140625" style="8" bestFit="1" customWidth="1"/>
    <col min="9" max="9" width="32.5703125" style="8" bestFit="1" customWidth="1"/>
    <col min="10" max="10" width="21.85546875" style="8" customWidth="1"/>
    <col min="11" max="11" width="19.85546875" style="8" bestFit="1" customWidth="1"/>
    <col min="12" max="12" width="14.140625" style="8" customWidth="1"/>
    <col min="13" max="16384" width="9.140625" style="8"/>
  </cols>
  <sheetData>
    <row r="1" spans="1:12" x14ac:dyDescent="0.25">
      <c r="K1" s="9">
        <v>45916</v>
      </c>
      <c r="L1" s="10"/>
    </row>
    <row r="2" spans="1:12" ht="18.75" x14ac:dyDescent="0.3">
      <c r="A2" s="11" t="s">
        <v>0</v>
      </c>
      <c r="B2" s="12"/>
      <c r="C2" s="12"/>
      <c r="D2" s="12"/>
      <c r="E2" s="12"/>
      <c r="F2" s="12"/>
      <c r="G2" s="19" t="s">
        <v>1</v>
      </c>
      <c r="H2" s="20"/>
      <c r="I2" s="20"/>
      <c r="J2" s="20"/>
      <c r="K2" s="20"/>
      <c r="L2" s="20"/>
    </row>
    <row r="3" spans="1:12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spans="1:12" ht="33" customHeight="1" x14ac:dyDescent="0.25">
      <c r="A4" s="8" t="s">
        <v>138</v>
      </c>
      <c r="B4" s="8" t="s">
        <v>14</v>
      </c>
      <c r="C4" s="8" t="s">
        <v>15</v>
      </c>
      <c r="D4" s="8" t="s">
        <v>16</v>
      </c>
      <c r="F4" s="8" t="s">
        <v>17</v>
      </c>
      <c r="G4" s="8" t="s">
        <v>18</v>
      </c>
      <c r="H4" s="14">
        <v>19617.310000000001</v>
      </c>
      <c r="K4" s="8" t="s">
        <v>19</v>
      </c>
    </row>
    <row r="5" spans="1:12" ht="33" customHeight="1" x14ac:dyDescent="0.25">
      <c r="A5" s="8" t="s">
        <v>139</v>
      </c>
      <c r="B5" s="8" t="s">
        <v>14</v>
      </c>
      <c r="C5" s="8" t="s">
        <v>15</v>
      </c>
      <c r="D5" s="8" t="s">
        <v>20</v>
      </c>
      <c r="F5" s="8" t="s">
        <v>21</v>
      </c>
      <c r="G5" s="8" t="s">
        <v>18</v>
      </c>
      <c r="H5" s="14">
        <v>10876.12</v>
      </c>
      <c r="I5" s="8" t="s">
        <v>22</v>
      </c>
      <c r="K5" s="8" t="s">
        <v>23</v>
      </c>
    </row>
    <row r="6" spans="1:12" ht="33" customHeight="1" x14ac:dyDescent="0.25">
      <c r="A6" s="8" t="s">
        <v>140</v>
      </c>
      <c r="B6" s="8" t="s">
        <v>14</v>
      </c>
      <c r="C6" s="8" t="s">
        <v>15</v>
      </c>
      <c r="D6" s="8" t="s">
        <v>24</v>
      </c>
      <c r="E6" s="8" t="s">
        <v>25</v>
      </c>
      <c r="F6" s="8" t="s">
        <v>26</v>
      </c>
      <c r="G6" s="8" t="s">
        <v>27</v>
      </c>
      <c r="H6" s="14">
        <v>36257.85</v>
      </c>
      <c r="I6" s="8" t="s">
        <v>28</v>
      </c>
      <c r="J6" s="18" t="s">
        <v>29</v>
      </c>
      <c r="K6" s="8" t="s">
        <v>30</v>
      </c>
      <c r="L6" s="8" t="s">
        <v>31</v>
      </c>
    </row>
    <row r="7" spans="1:12" ht="33" customHeight="1" x14ac:dyDescent="0.25">
      <c r="A7" s="8" t="s">
        <v>141</v>
      </c>
      <c r="B7" s="8" t="s">
        <v>14</v>
      </c>
      <c r="C7" s="8" t="s">
        <v>15</v>
      </c>
      <c r="D7" s="8" t="s">
        <v>32</v>
      </c>
      <c r="F7" s="8" t="s">
        <v>33</v>
      </c>
      <c r="G7" s="8" t="s">
        <v>27</v>
      </c>
      <c r="H7" s="14">
        <v>44408.5</v>
      </c>
      <c r="K7" s="8" t="s">
        <v>34</v>
      </c>
    </row>
    <row r="8" spans="1:12" ht="33" customHeight="1" x14ac:dyDescent="0.25">
      <c r="A8" s="8" t="s">
        <v>142</v>
      </c>
      <c r="B8" s="8" t="s">
        <v>14</v>
      </c>
      <c r="C8" s="8" t="s">
        <v>15</v>
      </c>
      <c r="D8" s="8" t="s">
        <v>35</v>
      </c>
      <c r="F8" s="8" t="s">
        <v>36</v>
      </c>
      <c r="G8" s="8" t="s">
        <v>18</v>
      </c>
      <c r="H8" s="14">
        <v>26468.7</v>
      </c>
      <c r="I8" s="8" t="s">
        <v>37</v>
      </c>
      <c r="K8" s="8" t="s">
        <v>38</v>
      </c>
    </row>
    <row r="9" spans="1:12" ht="33" customHeight="1" x14ac:dyDescent="0.25">
      <c r="A9" s="8" t="s">
        <v>143</v>
      </c>
      <c r="B9" s="8" t="s">
        <v>14</v>
      </c>
      <c r="C9" s="8" t="s">
        <v>15</v>
      </c>
      <c r="D9" s="8" t="s">
        <v>39</v>
      </c>
      <c r="F9" s="8" t="s">
        <v>40</v>
      </c>
      <c r="G9" s="8" t="s">
        <v>27</v>
      </c>
      <c r="H9" s="14">
        <v>17602.79</v>
      </c>
      <c r="I9" s="8" t="s">
        <v>41</v>
      </c>
      <c r="K9" s="8" t="s">
        <v>42</v>
      </c>
    </row>
    <row r="10" spans="1:12" ht="33" customHeight="1" x14ac:dyDescent="0.25">
      <c r="A10" s="8" t="s">
        <v>144</v>
      </c>
      <c r="B10" s="8" t="s">
        <v>43</v>
      </c>
      <c r="C10" s="8" t="s">
        <v>15</v>
      </c>
      <c r="D10" s="8" t="s">
        <v>44</v>
      </c>
      <c r="F10" s="8" t="s">
        <v>45</v>
      </c>
      <c r="G10" s="8" t="s">
        <v>27</v>
      </c>
      <c r="H10" s="14">
        <v>25788.06</v>
      </c>
      <c r="K10" s="8" t="s">
        <v>46</v>
      </c>
    </row>
    <row r="11" spans="1:12" ht="33" customHeight="1" x14ac:dyDescent="0.25">
      <c r="A11" s="8" t="s">
        <v>145</v>
      </c>
      <c r="B11" s="8" t="s">
        <v>14</v>
      </c>
      <c r="C11" s="8" t="s">
        <v>15</v>
      </c>
      <c r="D11" s="8" t="s">
        <v>47</v>
      </c>
      <c r="F11" s="8" t="s">
        <v>48</v>
      </c>
      <c r="G11" s="8" t="s">
        <v>27</v>
      </c>
      <c r="H11" s="14">
        <v>31337.67</v>
      </c>
      <c r="K11" s="8" t="s">
        <v>49</v>
      </c>
    </row>
    <row r="12" spans="1:12" ht="33" customHeight="1" x14ac:dyDescent="0.25">
      <c r="A12" s="8" t="s">
        <v>50</v>
      </c>
      <c r="B12" s="8" t="s">
        <v>43</v>
      </c>
      <c r="C12" s="8" t="s">
        <v>51</v>
      </c>
      <c r="D12" s="8" t="s">
        <v>52</v>
      </c>
      <c r="E12" s="8" t="s">
        <v>53</v>
      </c>
      <c r="F12" s="8" t="s">
        <v>54</v>
      </c>
      <c r="G12" s="8" t="s">
        <v>27</v>
      </c>
      <c r="H12" s="14">
        <v>35770.15</v>
      </c>
      <c r="I12" s="8" t="s">
        <v>55</v>
      </c>
      <c r="J12" s="18" t="s">
        <v>56</v>
      </c>
      <c r="K12" s="8" t="s">
        <v>57</v>
      </c>
      <c r="L12" s="8" t="s">
        <v>58</v>
      </c>
    </row>
    <row r="13" spans="1:12" ht="33" customHeight="1" x14ac:dyDescent="0.25">
      <c r="A13" s="8" t="s">
        <v>59</v>
      </c>
      <c r="B13" s="8" t="s">
        <v>43</v>
      </c>
      <c r="C13" s="8" t="s">
        <v>51</v>
      </c>
      <c r="D13" s="8" t="s">
        <v>60</v>
      </c>
      <c r="F13" s="8" t="s">
        <v>61</v>
      </c>
      <c r="G13" s="8" t="s">
        <v>27</v>
      </c>
      <c r="H13" s="14">
        <v>37287.760000000002</v>
      </c>
      <c r="I13" s="8" t="s">
        <v>62</v>
      </c>
      <c r="K13" s="8" t="s">
        <v>63</v>
      </c>
    </row>
    <row r="14" spans="1:12" ht="33" customHeight="1" x14ac:dyDescent="0.25">
      <c r="A14" s="8" t="s">
        <v>64</v>
      </c>
      <c r="B14" s="8" t="s">
        <v>43</v>
      </c>
      <c r="C14" s="8" t="s">
        <v>51</v>
      </c>
      <c r="D14" s="8" t="s">
        <v>65</v>
      </c>
      <c r="F14" s="8" t="s">
        <v>66</v>
      </c>
      <c r="G14" s="8" t="s">
        <v>18</v>
      </c>
      <c r="H14" s="14">
        <v>21788.63</v>
      </c>
      <c r="I14" s="8" t="s">
        <v>67</v>
      </c>
      <c r="K14" s="8" t="s">
        <v>68</v>
      </c>
    </row>
    <row r="15" spans="1:12" ht="33" customHeight="1" x14ac:dyDescent="0.25">
      <c r="A15" s="8" t="s">
        <v>69</v>
      </c>
      <c r="B15" s="8" t="s">
        <v>43</v>
      </c>
      <c r="C15" s="8" t="s">
        <v>51</v>
      </c>
      <c r="D15" s="8" t="s">
        <v>70</v>
      </c>
      <c r="F15" s="8" t="s">
        <v>66</v>
      </c>
      <c r="G15" s="8" t="s">
        <v>18</v>
      </c>
      <c r="H15" s="14">
        <v>23484.68</v>
      </c>
      <c r="I15" s="8" t="s">
        <v>71</v>
      </c>
      <c r="K15" s="8" t="s">
        <v>72</v>
      </c>
    </row>
    <row r="16" spans="1:12" ht="33" customHeight="1" x14ac:dyDescent="0.25">
      <c r="A16" s="8" t="s">
        <v>146</v>
      </c>
      <c r="B16" s="8" t="s">
        <v>14</v>
      </c>
      <c r="C16" s="8" t="s">
        <v>15</v>
      </c>
      <c r="D16" s="8" t="s">
        <v>73</v>
      </c>
      <c r="F16" s="8" t="s">
        <v>21</v>
      </c>
      <c r="G16" s="8" t="s">
        <v>18</v>
      </c>
      <c r="H16" s="14">
        <v>32360.94</v>
      </c>
      <c r="K16" s="8" t="s">
        <v>74</v>
      </c>
    </row>
    <row r="17" spans="1:12" ht="33" customHeight="1" x14ac:dyDescent="0.25">
      <c r="A17" s="8" t="s">
        <v>147</v>
      </c>
      <c r="B17" s="8" t="s">
        <v>43</v>
      </c>
      <c r="C17" s="8" t="s">
        <v>15</v>
      </c>
      <c r="D17" s="8" t="s">
        <v>75</v>
      </c>
      <c r="F17" s="8" t="s">
        <v>66</v>
      </c>
      <c r="G17" s="8" t="s">
        <v>18</v>
      </c>
      <c r="H17" s="14">
        <v>20065.38</v>
      </c>
      <c r="K17" s="8" t="s">
        <v>76</v>
      </c>
    </row>
    <row r="18" spans="1:12" ht="33" customHeight="1" x14ac:dyDescent="0.25">
      <c r="A18" s="8" t="s">
        <v>148</v>
      </c>
      <c r="B18" s="8" t="s">
        <v>14</v>
      </c>
      <c r="C18" s="8" t="s">
        <v>15</v>
      </c>
      <c r="D18" s="8" t="s">
        <v>77</v>
      </c>
      <c r="E18" s="8" t="s">
        <v>78</v>
      </c>
      <c r="F18" s="8" t="s">
        <v>79</v>
      </c>
      <c r="G18" s="8" t="s">
        <v>80</v>
      </c>
      <c r="H18" s="14">
        <v>33818.06</v>
      </c>
      <c r="J18" s="8" t="s">
        <v>81</v>
      </c>
      <c r="K18" s="8" t="s">
        <v>82</v>
      </c>
      <c r="L18" s="8" t="s">
        <v>83</v>
      </c>
    </row>
    <row r="19" spans="1:12" ht="33" customHeight="1" x14ac:dyDescent="0.25">
      <c r="A19" s="8" t="s">
        <v>149</v>
      </c>
      <c r="B19" s="8" t="s">
        <v>14</v>
      </c>
      <c r="C19" s="8" t="s">
        <v>15</v>
      </c>
      <c r="D19" s="8" t="s">
        <v>84</v>
      </c>
      <c r="F19" s="8" t="s">
        <v>85</v>
      </c>
      <c r="G19" s="8" t="s">
        <v>80</v>
      </c>
      <c r="H19" s="14">
        <v>29349.06</v>
      </c>
      <c r="I19" s="8" t="s">
        <v>86</v>
      </c>
      <c r="K19" s="8" t="s">
        <v>87</v>
      </c>
    </row>
    <row r="20" spans="1:12" ht="33" customHeight="1" x14ac:dyDescent="0.25">
      <c r="A20" s="8" t="s">
        <v>150</v>
      </c>
      <c r="B20" s="8" t="s">
        <v>14</v>
      </c>
      <c r="C20" s="8" t="s">
        <v>15</v>
      </c>
      <c r="D20" s="8" t="s">
        <v>88</v>
      </c>
      <c r="F20" s="8" t="s">
        <v>89</v>
      </c>
      <c r="G20" s="8" t="s">
        <v>80</v>
      </c>
      <c r="H20" s="14">
        <v>7372.88</v>
      </c>
      <c r="I20" s="8" t="s">
        <v>90</v>
      </c>
      <c r="K20" s="8" t="s">
        <v>91</v>
      </c>
    </row>
    <row r="21" spans="1:12" ht="33" customHeight="1" x14ac:dyDescent="0.25">
      <c r="A21" s="8" t="s">
        <v>151</v>
      </c>
      <c r="B21" s="8" t="s">
        <v>43</v>
      </c>
      <c r="C21" s="8" t="s">
        <v>15</v>
      </c>
      <c r="D21" s="8" t="s">
        <v>92</v>
      </c>
      <c r="E21" s="8" t="s">
        <v>93</v>
      </c>
      <c r="F21" s="8" t="s">
        <v>94</v>
      </c>
      <c r="G21" s="8" t="s">
        <v>80</v>
      </c>
      <c r="H21" s="14">
        <v>28065.99</v>
      </c>
      <c r="I21" s="8" t="s">
        <v>95</v>
      </c>
      <c r="K21" s="8" t="s">
        <v>96</v>
      </c>
      <c r="L21" s="8" t="s">
        <v>97</v>
      </c>
    </row>
    <row r="22" spans="1:12" ht="33" customHeight="1" x14ac:dyDescent="0.25">
      <c r="A22" s="8" t="s">
        <v>152</v>
      </c>
      <c r="B22" s="8" t="s">
        <v>14</v>
      </c>
      <c r="C22" s="8" t="s">
        <v>15</v>
      </c>
      <c r="D22" s="8" t="s">
        <v>98</v>
      </c>
      <c r="F22" s="8" t="s">
        <v>21</v>
      </c>
      <c r="G22" s="8" t="s">
        <v>80</v>
      </c>
      <c r="H22" s="14">
        <v>28736.880000000001</v>
      </c>
      <c r="I22" s="8" t="s">
        <v>99</v>
      </c>
      <c r="K22" s="8" t="s">
        <v>100</v>
      </c>
    </row>
    <row r="23" spans="1:12" ht="33" customHeight="1" x14ac:dyDescent="0.25">
      <c r="A23" s="8" t="s">
        <v>153</v>
      </c>
      <c r="B23" s="8" t="s">
        <v>14</v>
      </c>
      <c r="C23" s="8" t="s">
        <v>15</v>
      </c>
      <c r="D23" s="8" t="s">
        <v>101</v>
      </c>
      <c r="F23" s="8" t="s">
        <v>89</v>
      </c>
      <c r="G23" s="8" t="s">
        <v>80</v>
      </c>
      <c r="H23" s="14">
        <v>32985</v>
      </c>
      <c r="K23" s="8" t="s">
        <v>102</v>
      </c>
    </row>
    <row r="24" spans="1:12" ht="33" customHeight="1" x14ac:dyDescent="0.25">
      <c r="A24" s="8" t="s">
        <v>154</v>
      </c>
      <c r="B24" s="8" t="s">
        <v>14</v>
      </c>
      <c r="C24" s="8" t="s">
        <v>15</v>
      </c>
      <c r="D24" s="8" t="s">
        <v>103</v>
      </c>
      <c r="F24" s="8" t="s">
        <v>104</v>
      </c>
      <c r="G24" s="8" t="s">
        <v>80</v>
      </c>
      <c r="H24" s="14">
        <v>19104.189999999999</v>
      </c>
      <c r="I24" s="8" t="s">
        <v>105</v>
      </c>
      <c r="K24" s="8" t="s">
        <v>106</v>
      </c>
    </row>
    <row r="25" spans="1:12" ht="33" customHeight="1" x14ac:dyDescent="0.25">
      <c r="A25" s="8" t="s">
        <v>155</v>
      </c>
      <c r="B25" s="8" t="s">
        <v>43</v>
      </c>
      <c r="C25" s="8" t="s">
        <v>15</v>
      </c>
      <c r="D25" s="8" t="s">
        <v>107</v>
      </c>
      <c r="F25" s="8" t="s">
        <v>108</v>
      </c>
      <c r="G25" s="8" t="s">
        <v>80</v>
      </c>
      <c r="H25" s="14">
        <v>33414.199999999997</v>
      </c>
      <c r="I25" s="8" t="s">
        <v>109</v>
      </c>
      <c r="K25" s="8" t="s">
        <v>110</v>
      </c>
    </row>
    <row r="26" spans="1:12" ht="33" customHeight="1" x14ac:dyDescent="0.25">
      <c r="A26" s="15">
        <v>151225317</v>
      </c>
      <c r="B26" s="8" t="s">
        <v>43</v>
      </c>
      <c r="C26" s="8" t="s">
        <v>51</v>
      </c>
      <c r="D26" s="8" t="s">
        <v>112</v>
      </c>
      <c r="F26" s="8" t="s">
        <v>113</v>
      </c>
      <c r="G26" s="8" t="s">
        <v>80</v>
      </c>
      <c r="H26" s="14">
        <v>35038.01</v>
      </c>
      <c r="I26" s="8" t="s">
        <v>114</v>
      </c>
      <c r="K26" s="8" t="s">
        <v>115</v>
      </c>
    </row>
    <row r="27" spans="1:12" ht="33" customHeight="1" x14ac:dyDescent="0.25">
      <c r="A27" s="8" t="s">
        <v>156</v>
      </c>
      <c r="B27" s="8" t="s">
        <v>43</v>
      </c>
      <c r="C27" s="8" t="s">
        <v>15</v>
      </c>
      <c r="D27" s="8" t="s">
        <v>116</v>
      </c>
      <c r="F27" s="8" t="s">
        <v>117</v>
      </c>
      <c r="G27" s="8" t="s">
        <v>80</v>
      </c>
      <c r="H27" s="14">
        <v>42430.53</v>
      </c>
      <c r="I27" s="8" t="s">
        <v>118</v>
      </c>
      <c r="K27" s="8" t="s">
        <v>119</v>
      </c>
    </row>
    <row r="28" spans="1:12" ht="33" customHeight="1" x14ac:dyDescent="0.25">
      <c r="A28" s="8" t="s">
        <v>157</v>
      </c>
      <c r="B28" s="8" t="s">
        <v>43</v>
      </c>
      <c r="C28" s="8" t="s">
        <v>15</v>
      </c>
      <c r="D28" s="8" t="s">
        <v>120</v>
      </c>
      <c r="F28" s="8" t="s">
        <v>61</v>
      </c>
      <c r="G28" s="8" t="s">
        <v>80</v>
      </c>
      <c r="H28" s="14">
        <v>38257.81</v>
      </c>
      <c r="I28" s="8" t="s">
        <v>121</v>
      </c>
      <c r="K28" s="8" t="s">
        <v>122</v>
      </c>
    </row>
    <row r="29" spans="1:12" x14ac:dyDescent="0.25">
      <c r="A29" s="16"/>
      <c r="B29" s="16"/>
      <c r="C29" s="16"/>
      <c r="D29" s="16" t="s">
        <v>123</v>
      </c>
      <c r="E29" s="16"/>
      <c r="F29" s="16"/>
      <c r="G29" s="16"/>
      <c r="H29" s="17">
        <f>SUM(H4:H28)</f>
        <v>711687.14999999991</v>
      </c>
      <c r="I29" s="16"/>
      <c r="J29" s="16"/>
      <c r="K29" s="16"/>
      <c r="L29" s="16"/>
    </row>
  </sheetData>
  <mergeCells count="3">
    <mergeCell ref="A2:F2"/>
    <mergeCell ref="G2:L2"/>
    <mergeCell ref="K1:L1"/>
  </mergeCells>
  <pageMargins left="0.7" right="0.7" top="0.75" bottom="0.75" header="0.3" footer="0.3"/>
  <pageSetup paperSize="5" scale="71" fitToHeight="0" orientation="landscape" r:id="rId1"/>
  <headerFooter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55CB-5A5F-4C6E-862E-D8AFF964167D}">
  <sheetPr>
    <pageSetUpPr fitToPage="1"/>
  </sheetPr>
  <dimension ref="A1:H48"/>
  <sheetViews>
    <sheetView topLeftCell="A31" workbookViewId="0">
      <selection activeCell="J26" sqref="J26"/>
    </sheetView>
  </sheetViews>
  <sheetFormatPr defaultRowHeight="15.75" x14ac:dyDescent="0.25"/>
  <cols>
    <col min="1" max="1" width="25.42578125" style="8" customWidth="1"/>
    <col min="2" max="2" width="15.42578125" style="8" customWidth="1"/>
    <col min="3" max="3" width="18.28515625" style="8" customWidth="1"/>
    <col min="4" max="4" width="23.5703125" style="8" customWidth="1"/>
    <col min="5" max="5" width="18.42578125" style="8" customWidth="1"/>
    <col min="6" max="6" width="21.140625" style="8" customWidth="1"/>
    <col min="7" max="7" width="16.42578125" style="8" customWidth="1"/>
    <col min="8" max="8" width="19.85546875" style="8" customWidth="1"/>
    <col min="9" max="16384" width="9.140625" style="8"/>
  </cols>
  <sheetData>
    <row r="1" spans="1:8" x14ac:dyDescent="0.25">
      <c r="E1" s="21"/>
      <c r="H1" s="21">
        <v>45916.999988425923</v>
      </c>
    </row>
    <row r="2" spans="1:8" x14ac:dyDescent="0.25">
      <c r="A2" s="11" t="s">
        <v>0</v>
      </c>
      <c r="B2" s="11"/>
      <c r="C2" s="12"/>
      <c r="D2" s="12"/>
      <c r="E2" s="13" t="s">
        <v>124</v>
      </c>
      <c r="F2" s="12"/>
      <c r="G2" s="12"/>
      <c r="H2" s="12"/>
    </row>
    <row r="3" spans="1:8" x14ac:dyDescent="0.25">
      <c r="A3" s="8" t="s">
        <v>7</v>
      </c>
      <c r="B3" s="8" t="s">
        <v>131</v>
      </c>
      <c r="C3" s="8" t="s">
        <v>8</v>
      </c>
      <c r="D3" s="8" t="s">
        <v>125</v>
      </c>
      <c r="E3" s="8" t="s">
        <v>126</v>
      </c>
      <c r="F3" s="8" t="s">
        <v>127</v>
      </c>
      <c r="G3" s="8" t="s">
        <v>130</v>
      </c>
      <c r="H3" s="8" t="s">
        <v>128</v>
      </c>
    </row>
    <row r="4" spans="1:8" ht="24.95" customHeight="1" x14ac:dyDescent="0.25">
      <c r="A4" s="8" t="s">
        <v>104</v>
      </c>
      <c r="C4" s="8" t="s">
        <v>80</v>
      </c>
      <c r="D4" s="14">
        <v>500</v>
      </c>
      <c r="E4" s="14">
        <v>0</v>
      </c>
      <c r="F4" s="22">
        <v>19029.189999999999</v>
      </c>
      <c r="G4" s="14"/>
      <c r="H4" s="14">
        <v>19104.189999999999</v>
      </c>
    </row>
    <row r="5" spans="1:8" ht="24.95" customHeight="1" x14ac:dyDescent="0.25">
      <c r="D5" s="14"/>
      <c r="E5" s="14"/>
      <c r="F5" s="22"/>
      <c r="G5" s="14"/>
      <c r="H5" s="14"/>
    </row>
    <row r="6" spans="1:8" ht="24.95" customHeight="1" x14ac:dyDescent="0.25">
      <c r="A6" s="8" t="s">
        <v>17</v>
      </c>
      <c r="C6" s="8" t="s">
        <v>18</v>
      </c>
      <c r="D6" s="14">
        <v>500</v>
      </c>
      <c r="E6" s="14">
        <v>0</v>
      </c>
      <c r="F6" s="22">
        <v>19542.310000000001</v>
      </c>
      <c r="G6" s="14"/>
      <c r="H6" s="14">
        <v>19617.310000000001</v>
      </c>
    </row>
    <row r="7" spans="1:8" ht="24.95" customHeight="1" x14ac:dyDescent="0.25">
      <c r="D7" s="14"/>
      <c r="E7" s="14"/>
      <c r="F7" s="14"/>
      <c r="G7" s="14"/>
      <c r="H7" s="14"/>
    </row>
    <row r="8" spans="1:8" ht="24.95" customHeight="1" x14ac:dyDescent="0.25">
      <c r="A8" s="8" t="s">
        <v>61</v>
      </c>
      <c r="C8" s="8" t="s">
        <v>80</v>
      </c>
      <c r="D8" s="14">
        <v>950</v>
      </c>
      <c r="E8" s="14">
        <v>0</v>
      </c>
      <c r="F8" s="14">
        <v>38182.81</v>
      </c>
      <c r="G8" s="14"/>
      <c r="H8" s="14">
        <v>38257.81</v>
      </c>
    </row>
    <row r="9" spans="1:8" ht="24.95" customHeight="1" x14ac:dyDescent="0.25">
      <c r="A9" s="8" t="s">
        <v>61</v>
      </c>
      <c r="C9" s="8" t="s">
        <v>27</v>
      </c>
      <c r="D9" s="14">
        <v>950</v>
      </c>
      <c r="E9" s="14">
        <v>0</v>
      </c>
      <c r="F9" s="14">
        <v>37212.76</v>
      </c>
      <c r="G9" s="22">
        <f>SUM(F8:F9)</f>
        <v>75395.570000000007</v>
      </c>
      <c r="H9" s="14">
        <v>37287.760000000002</v>
      </c>
    </row>
    <row r="10" spans="1:8" ht="24.95" customHeight="1" x14ac:dyDescent="0.25">
      <c r="D10" s="14"/>
      <c r="E10" s="14"/>
      <c r="F10" s="14"/>
      <c r="G10" s="14"/>
      <c r="H10" s="14"/>
    </row>
    <row r="11" spans="1:8" ht="24.95" customHeight="1" x14ac:dyDescent="0.25">
      <c r="A11" s="8" t="s">
        <v>66</v>
      </c>
      <c r="C11" s="8" t="s">
        <v>18</v>
      </c>
      <c r="D11" s="14">
        <v>650</v>
      </c>
      <c r="E11" s="14">
        <v>0</v>
      </c>
      <c r="F11" s="14">
        <v>19990.38</v>
      </c>
      <c r="G11" s="14"/>
      <c r="H11" s="14">
        <v>20065.38</v>
      </c>
    </row>
    <row r="12" spans="1:8" ht="24.95" customHeight="1" x14ac:dyDescent="0.25">
      <c r="A12" s="8" t="s">
        <v>66</v>
      </c>
      <c r="C12" s="8" t="s">
        <v>18</v>
      </c>
      <c r="D12" s="14">
        <v>650</v>
      </c>
      <c r="E12" s="14">
        <v>0</v>
      </c>
      <c r="F12" s="14">
        <v>21713.63</v>
      </c>
      <c r="G12" s="14"/>
      <c r="H12" s="14">
        <v>21788.63</v>
      </c>
    </row>
    <row r="13" spans="1:8" ht="24.95" customHeight="1" x14ac:dyDescent="0.25">
      <c r="A13" s="8" t="s">
        <v>66</v>
      </c>
      <c r="C13" s="8" t="s">
        <v>18</v>
      </c>
      <c r="D13" s="14">
        <v>650</v>
      </c>
      <c r="E13" s="14">
        <v>0</v>
      </c>
      <c r="F13" s="14">
        <v>23409.68</v>
      </c>
      <c r="G13" s="22">
        <f>SUM(F11:F13)</f>
        <v>65113.69</v>
      </c>
      <c r="H13" s="14">
        <v>23484.68</v>
      </c>
    </row>
    <row r="14" spans="1:8" ht="24.95" customHeight="1" x14ac:dyDescent="0.25">
      <c r="D14" s="14"/>
      <c r="E14" s="14"/>
      <c r="F14" s="14"/>
      <c r="G14" s="14"/>
      <c r="H14" s="14"/>
    </row>
    <row r="15" spans="1:8" ht="24.95" customHeight="1" x14ac:dyDescent="0.25">
      <c r="A15" s="8" t="s">
        <v>85</v>
      </c>
      <c r="C15" s="8" t="s">
        <v>80</v>
      </c>
      <c r="D15" s="14">
        <v>750</v>
      </c>
      <c r="E15" s="14">
        <v>0</v>
      </c>
      <c r="F15" s="22">
        <v>29274.06</v>
      </c>
      <c r="G15" s="14"/>
      <c r="H15" s="14">
        <v>29349.06</v>
      </c>
    </row>
    <row r="16" spans="1:8" ht="24.95" customHeight="1" x14ac:dyDescent="0.25">
      <c r="D16" s="14"/>
      <c r="E16" s="14"/>
      <c r="F16" s="22"/>
      <c r="G16" s="14"/>
      <c r="H16" s="14"/>
    </row>
    <row r="17" spans="1:8" ht="24.95" customHeight="1" x14ac:dyDescent="0.25">
      <c r="A17" s="8" t="s">
        <v>36</v>
      </c>
      <c r="C17" s="8" t="s">
        <v>18</v>
      </c>
      <c r="D17" s="14">
        <v>750</v>
      </c>
      <c r="E17" s="14">
        <v>0</v>
      </c>
      <c r="F17" s="22">
        <v>26393.7</v>
      </c>
      <c r="G17" s="14"/>
      <c r="H17" s="14">
        <v>26468.7</v>
      </c>
    </row>
    <row r="18" spans="1:8" ht="24.95" customHeight="1" x14ac:dyDescent="0.25">
      <c r="D18" s="14"/>
      <c r="E18" s="14"/>
      <c r="F18" s="22"/>
      <c r="G18" s="14"/>
      <c r="H18" s="14"/>
    </row>
    <row r="19" spans="1:8" ht="24.95" customHeight="1" x14ac:dyDescent="0.25">
      <c r="A19" s="8" t="s">
        <v>108</v>
      </c>
      <c r="C19" s="8" t="s">
        <v>80</v>
      </c>
      <c r="D19" s="14">
        <v>850</v>
      </c>
      <c r="E19" s="14">
        <v>0</v>
      </c>
      <c r="F19" s="22">
        <v>33339.199999999997</v>
      </c>
      <c r="G19" s="14"/>
      <c r="H19" s="14">
        <v>33414.199999999997</v>
      </c>
    </row>
    <row r="20" spans="1:8" ht="24.95" customHeight="1" x14ac:dyDescent="0.25">
      <c r="D20" s="14"/>
      <c r="E20" s="14"/>
      <c r="F20" s="22"/>
      <c r="G20" s="14"/>
      <c r="H20" s="14"/>
    </row>
    <row r="21" spans="1:8" ht="24.95" customHeight="1" x14ac:dyDescent="0.25">
      <c r="A21" s="8" t="s">
        <v>117</v>
      </c>
      <c r="C21" s="8" t="s">
        <v>80</v>
      </c>
      <c r="D21" s="14">
        <v>1050</v>
      </c>
      <c r="E21" s="14">
        <v>0</v>
      </c>
      <c r="F21" s="22">
        <v>42355.53</v>
      </c>
      <c r="G21" s="14"/>
      <c r="H21" s="14">
        <v>42430.53</v>
      </c>
    </row>
    <row r="22" spans="1:8" ht="24.95" customHeight="1" x14ac:dyDescent="0.25">
      <c r="D22" s="14"/>
      <c r="E22" s="14"/>
      <c r="F22" s="22"/>
      <c r="G22" s="14"/>
      <c r="H22" s="14"/>
    </row>
    <row r="23" spans="1:8" ht="24.95" customHeight="1" x14ac:dyDescent="0.25">
      <c r="A23" s="8" t="s">
        <v>94</v>
      </c>
      <c r="C23" s="8" t="s">
        <v>80</v>
      </c>
      <c r="D23" s="14">
        <v>750</v>
      </c>
      <c r="E23" s="14">
        <v>0</v>
      </c>
      <c r="F23" s="22">
        <v>27990.99</v>
      </c>
      <c r="G23" s="14"/>
      <c r="H23" s="14">
        <v>28065.99</v>
      </c>
    </row>
    <row r="24" spans="1:8" ht="24.95" customHeight="1" x14ac:dyDescent="0.25">
      <c r="D24" s="14"/>
      <c r="E24" s="14"/>
      <c r="F24" s="22"/>
      <c r="G24" s="14"/>
      <c r="H24" s="14"/>
    </row>
    <row r="25" spans="1:8" ht="24.95" customHeight="1" x14ac:dyDescent="0.25">
      <c r="A25" s="8" t="s">
        <v>33</v>
      </c>
      <c r="C25" s="8" t="s">
        <v>27</v>
      </c>
      <c r="D25" s="14">
        <v>1050</v>
      </c>
      <c r="E25" s="14">
        <v>0</v>
      </c>
      <c r="F25" s="22">
        <v>44333.5</v>
      </c>
      <c r="G25" s="14"/>
      <c r="H25" s="14">
        <v>44408.5</v>
      </c>
    </row>
    <row r="26" spans="1:8" ht="24.95" customHeight="1" x14ac:dyDescent="0.25">
      <c r="D26" s="14"/>
      <c r="E26" s="14"/>
      <c r="F26" s="22"/>
      <c r="G26" s="14"/>
      <c r="H26" s="14"/>
    </row>
    <row r="27" spans="1:8" ht="24.95" customHeight="1" x14ac:dyDescent="0.25">
      <c r="A27" s="8" t="s">
        <v>40</v>
      </c>
      <c r="C27" s="8" t="s">
        <v>27</v>
      </c>
      <c r="D27" s="14">
        <v>500</v>
      </c>
      <c r="E27" s="14">
        <v>0</v>
      </c>
      <c r="F27" s="22">
        <v>17527.79</v>
      </c>
      <c r="G27" s="14"/>
      <c r="H27" s="14">
        <v>17602.79</v>
      </c>
    </row>
    <row r="28" spans="1:8" ht="24.95" customHeight="1" x14ac:dyDescent="0.25">
      <c r="D28" s="14"/>
      <c r="E28" s="14"/>
      <c r="F28" s="22"/>
      <c r="G28" s="14"/>
      <c r="H28" s="14"/>
    </row>
    <row r="29" spans="1:8" ht="24.95" customHeight="1" x14ac:dyDescent="0.25">
      <c r="A29" s="8" t="s">
        <v>26</v>
      </c>
      <c r="C29" s="8" t="s">
        <v>27</v>
      </c>
      <c r="D29" s="14">
        <v>950</v>
      </c>
      <c r="E29" s="14">
        <v>0</v>
      </c>
      <c r="F29" s="22">
        <v>36182.85</v>
      </c>
      <c r="G29" s="14"/>
      <c r="H29" s="14">
        <v>36257.85</v>
      </c>
    </row>
    <row r="30" spans="1:8" ht="24.95" customHeight="1" x14ac:dyDescent="0.25">
      <c r="D30" s="14"/>
      <c r="E30" s="14"/>
      <c r="F30" s="22"/>
      <c r="G30" s="14"/>
      <c r="H30" s="14"/>
    </row>
    <row r="31" spans="1:8" ht="24.95" customHeight="1" x14ac:dyDescent="0.25">
      <c r="A31" s="8" t="s">
        <v>48</v>
      </c>
      <c r="B31" s="23" t="s">
        <v>158</v>
      </c>
      <c r="C31" s="8" t="s">
        <v>27</v>
      </c>
      <c r="D31" s="14">
        <v>850</v>
      </c>
      <c r="E31" s="14">
        <v>0</v>
      </c>
      <c r="F31" s="22">
        <v>31262.67</v>
      </c>
      <c r="G31" s="14"/>
      <c r="H31" s="14">
        <v>31337.67</v>
      </c>
    </row>
    <row r="32" spans="1:8" ht="24.95" customHeight="1" x14ac:dyDescent="0.25">
      <c r="D32" s="14"/>
      <c r="E32" s="14"/>
      <c r="F32" s="14"/>
      <c r="G32" s="14"/>
      <c r="H32" s="14"/>
    </row>
    <row r="33" spans="1:8" ht="24.95" customHeight="1" x14ac:dyDescent="0.25">
      <c r="A33" s="8" t="s">
        <v>89</v>
      </c>
      <c r="C33" s="8" t="s">
        <v>80</v>
      </c>
      <c r="D33" s="14">
        <v>850</v>
      </c>
      <c r="E33" s="14">
        <v>0</v>
      </c>
      <c r="F33" s="14">
        <v>32910</v>
      </c>
      <c r="G33" s="14"/>
      <c r="H33" s="14">
        <v>32985</v>
      </c>
    </row>
    <row r="34" spans="1:8" ht="24.95" customHeight="1" x14ac:dyDescent="0.25">
      <c r="A34" s="8" t="s">
        <v>89</v>
      </c>
      <c r="C34" s="8" t="s">
        <v>80</v>
      </c>
      <c r="D34" s="14">
        <v>0</v>
      </c>
      <c r="E34" s="14">
        <v>0</v>
      </c>
      <c r="F34" s="14">
        <v>7297.88</v>
      </c>
      <c r="G34" s="22">
        <f>SUM(F33:F34)</f>
        <v>40207.879999999997</v>
      </c>
      <c r="H34" s="14">
        <v>7372.88</v>
      </c>
    </row>
    <row r="35" spans="1:8" ht="24.95" customHeight="1" x14ac:dyDescent="0.25">
      <c r="D35" s="14"/>
      <c r="E35" s="14"/>
      <c r="F35" s="14"/>
      <c r="G35" s="14"/>
      <c r="H35" s="14"/>
    </row>
    <row r="36" spans="1:8" ht="24.95" customHeight="1" x14ac:dyDescent="0.25">
      <c r="A36" s="8" t="s">
        <v>132</v>
      </c>
      <c r="C36" s="8" t="s">
        <v>27</v>
      </c>
      <c r="D36" s="14">
        <v>750</v>
      </c>
      <c r="E36" s="14">
        <v>0</v>
      </c>
      <c r="F36" s="22">
        <v>25713.06</v>
      </c>
      <c r="G36" s="14"/>
      <c r="H36" s="14">
        <v>25788.06</v>
      </c>
    </row>
    <row r="37" spans="1:8" ht="24.95" customHeight="1" x14ac:dyDescent="0.25">
      <c r="D37" s="14"/>
      <c r="E37" s="14"/>
      <c r="F37" s="22"/>
      <c r="G37" s="14"/>
      <c r="H37" s="14"/>
    </row>
    <row r="38" spans="1:8" ht="24.95" customHeight="1" x14ac:dyDescent="0.25">
      <c r="A38" s="8" t="s">
        <v>113</v>
      </c>
      <c r="C38" s="8" t="s">
        <v>80</v>
      </c>
      <c r="D38" s="14">
        <v>950</v>
      </c>
      <c r="E38" s="14">
        <v>0</v>
      </c>
      <c r="F38" s="22">
        <v>34963.01</v>
      </c>
      <c r="G38" s="14"/>
      <c r="H38" s="14">
        <v>35038.01</v>
      </c>
    </row>
    <row r="39" spans="1:8" ht="24.95" customHeight="1" x14ac:dyDescent="0.25">
      <c r="D39" s="14"/>
      <c r="E39" s="14"/>
      <c r="F39" s="22"/>
      <c r="G39" s="14"/>
      <c r="H39" s="14"/>
    </row>
    <row r="40" spans="1:8" ht="24.95" customHeight="1" x14ac:dyDescent="0.25">
      <c r="A40" s="8" t="s">
        <v>54</v>
      </c>
      <c r="C40" s="8" t="s">
        <v>27</v>
      </c>
      <c r="D40" s="14">
        <v>950</v>
      </c>
      <c r="E40" s="14">
        <v>0</v>
      </c>
      <c r="F40" s="22">
        <v>35695.15</v>
      </c>
      <c r="G40" s="14"/>
      <c r="H40" s="14">
        <v>35770.15</v>
      </c>
    </row>
    <row r="41" spans="1:8" ht="24.95" customHeight="1" x14ac:dyDescent="0.25">
      <c r="D41" s="14"/>
      <c r="E41" s="14"/>
      <c r="F41" s="22"/>
      <c r="G41" s="14"/>
      <c r="H41" s="14"/>
    </row>
    <row r="42" spans="1:8" ht="24.95" customHeight="1" x14ac:dyDescent="0.25">
      <c r="A42" s="8" t="s">
        <v>79</v>
      </c>
      <c r="C42" s="8" t="s">
        <v>80</v>
      </c>
      <c r="D42" s="14">
        <v>850</v>
      </c>
      <c r="E42" s="14">
        <v>0</v>
      </c>
      <c r="F42" s="22">
        <v>33743.06</v>
      </c>
      <c r="G42" s="14"/>
      <c r="H42" s="14">
        <v>33818.06</v>
      </c>
    </row>
    <row r="43" spans="1:8" ht="24.95" customHeight="1" x14ac:dyDescent="0.25">
      <c r="D43" s="14"/>
      <c r="E43" s="14"/>
      <c r="F43" s="14"/>
      <c r="G43" s="14"/>
      <c r="H43" s="14"/>
    </row>
    <row r="44" spans="1:8" ht="24.95" customHeight="1" x14ac:dyDescent="0.25">
      <c r="A44" s="8" t="s">
        <v>21</v>
      </c>
      <c r="C44" s="8" t="s">
        <v>18</v>
      </c>
      <c r="D44" s="14">
        <v>850</v>
      </c>
      <c r="E44" s="14">
        <v>0</v>
      </c>
      <c r="F44" s="14">
        <v>32285.94</v>
      </c>
      <c r="G44" s="14"/>
      <c r="H44" s="14">
        <v>32360.94</v>
      </c>
    </row>
    <row r="45" spans="1:8" ht="24.95" customHeight="1" x14ac:dyDescent="0.25">
      <c r="A45" s="8" t="s">
        <v>21</v>
      </c>
      <c r="C45" s="8" t="s">
        <v>18</v>
      </c>
      <c r="D45" s="14">
        <v>300</v>
      </c>
      <c r="E45" s="14">
        <v>0</v>
      </c>
      <c r="F45" s="14">
        <v>10801.12</v>
      </c>
      <c r="G45" s="14"/>
      <c r="H45" s="14">
        <v>10876.12</v>
      </c>
    </row>
    <row r="46" spans="1:8" ht="24.95" customHeight="1" x14ac:dyDescent="0.25">
      <c r="A46" s="8" t="s">
        <v>21</v>
      </c>
      <c r="C46" s="8" t="s">
        <v>80</v>
      </c>
      <c r="D46" s="14">
        <v>750</v>
      </c>
      <c r="E46" s="14">
        <v>0</v>
      </c>
      <c r="F46" s="14">
        <v>28661.88</v>
      </c>
      <c r="G46" s="22">
        <f>SUM(F44:F46)</f>
        <v>71748.94</v>
      </c>
      <c r="H46" s="14">
        <v>28736.880000000001</v>
      </c>
    </row>
    <row r="47" spans="1:8" x14ac:dyDescent="0.25">
      <c r="D47" s="14"/>
      <c r="E47" s="14"/>
      <c r="F47" s="14"/>
      <c r="G47" s="14"/>
      <c r="H47" s="14"/>
    </row>
    <row r="48" spans="1:8" x14ac:dyDescent="0.25">
      <c r="A48" s="16"/>
      <c r="B48" s="16"/>
      <c r="C48" s="16"/>
      <c r="D48" s="17">
        <f>SUM(D4:D46)</f>
        <v>18600</v>
      </c>
      <c r="E48" s="17">
        <f>SUM(E4:E46)</f>
        <v>0</v>
      </c>
      <c r="F48" s="17">
        <f>SUM(F4:F46)</f>
        <v>709812.14999999991</v>
      </c>
      <c r="G48" s="17"/>
      <c r="H48" s="17">
        <f>SUM(H4:H46)</f>
        <v>711687.14999999991</v>
      </c>
    </row>
  </sheetData>
  <mergeCells count="2">
    <mergeCell ref="A2:D2"/>
    <mergeCell ref="E2:H2"/>
  </mergeCells>
  <pageMargins left="0.7" right="0.45" top="0.75" bottom="0.75" header="0.3" footer="0.3"/>
  <pageSetup scale="74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0D9E-CC95-4383-BD59-774D21C9AE77}">
  <dimension ref="A1:E24"/>
  <sheetViews>
    <sheetView workbookViewId="0">
      <selection activeCell="J9" sqref="J9"/>
    </sheetView>
  </sheetViews>
  <sheetFormatPr defaultRowHeight="15" x14ac:dyDescent="0.25"/>
  <cols>
    <col min="1" max="1" width="14.28515625" customWidth="1"/>
    <col min="2" max="2" width="12" customWidth="1"/>
    <col min="3" max="3" width="18.5703125" customWidth="1"/>
    <col min="4" max="4" width="14.28515625" customWidth="1"/>
    <col min="5" max="5" width="28.28515625" customWidth="1"/>
  </cols>
  <sheetData>
    <row r="1" spans="1:5" ht="24.95" customHeight="1" x14ac:dyDescent="0.25">
      <c r="A1" t="s">
        <v>134</v>
      </c>
      <c r="D1" s="2"/>
      <c r="E1" s="6">
        <v>45916</v>
      </c>
    </row>
    <row r="2" spans="1:5" ht="24.95" customHeight="1" x14ac:dyDescent="0.25">
      <c r="A2" s="3" t="s">
        <v>0</v>
      </c>
      <c r="B2" s="4"/>
      <c r="C2" s="4"/>
      <c r="D2" s="5" t="s">
        <v>129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</row>
    <row r="5" spans="1:5" ht="24.95" customHeight="1" x14ac:dyDescent="0.25">
      <c r="A5" t="s">
        <v>59</v>
      </c>
      <c r="B5" t="s">
        <v>51</v>
      </c>
      <c r="C5" t="s">
        <v>60</v>
      </c>
      <c r="E5" t="s">
        <v>61</v>
      </c>
    </row>
    <row r="6" spans="1:5" ht="24.95" customHeight="1" x14ac:dyDescent="0.25">
      <c r="A6" t="s">
        <v>64</v>
      </c>
      <c r="B6" t="s">
        <v>51</v>
      </c>
      <c r="C6" t="s">
        <v>65</v>
      </c>
      <c r="E6" t="s">
        <v>66</v>
      </c>
    </row>
    <row r="7" spans="1:5" ht="24.95" customHeight="1" x14ac:dyDescent="0.25">
      <c r="A7" t="s">
        <v>69</v>
      </c>
      <c r="B7" t="s">
        <v>51</v>
      </c>
      <c r="C7" t="s">
        <v>70</v>
      </c>
      <c r="E7" t="s">
        <v>66</v>
      </c>
    </row>
    <row r="8" spans="1:5" ht="24.95" customHeight="1" x14ac:dyDescent="0.25">
      <c r="A8" t="s">
        <v>111</v>
      </c>
      <c r="B8" t="s">
        <v>51</v>
      </c>
      <c r="C8" t="s">
        <v>112</v>
      </c>
      <c r="E8" t="s">
        <v>113</v>
      </c>
    </row>
    <row r="9" spans="1:5" ht="24.95" customHeight="1" x14ac:dyDescent="0.25">
      <c r="A9" s="1"/>
      <c r="B9" s="1"/>
      <c r="C9" s="1" t="s">
        <v>133</v>
      </c>
      <c r="D9" s="1"/>
      <c r="E9" s="1"/>
    </row>
    <row r="14" spans="1:5" x14ac:dyDescent="0.25">
      <c r="A14" t="s">
        <v>135</v>
      </c>
      <c r="B14" s="7"/>
      <c r="C14" s="7"/>
      <c r="D14" s="7"/>
    </row>
    <row r="19" spans="1:4" x14ac:dyDescent="0.25">
      <c r="A19" t="s">
        <v>136</v>
      </c>
      <c r="B19" s="7"/>
      <c r="C19" s="7"/>
      <c r="D19" s="7"/>
    </row>
    <row r="24" spans="1:4" x14ac:dyDescent="0.25">
      <c r="A24" t="s">
        <v>137</v>
      </c>
      <c r="B24" s="7"/>
      <c r="C24" s="7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2025-09-16T18:49:52Z</cp:lastPrinted>
  <dcterms:created xsi:type="dcterms:W3CDTF">2025-09-16T18:25:27Z</dcterms:created>
  <dcterms:modified xsi:type="dcterms:W3CDTF">2025-09-16T19:22:31Z</dcterms:modified>
</cp:coreProperties>
</file>