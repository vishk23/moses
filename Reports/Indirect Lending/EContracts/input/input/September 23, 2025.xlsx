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CCC77506-98B7-41C1-AD52-806F522F3353}" xr6:coauthVersionLast="47" xr6:coauthVersionMax="47" xr10:uidLastSave="{00000000-0000-0000-0000-000000000000}"/>
  <bookViews>
    <workbookView xWindow="30540" yWindow="315" windowWidth="19140" windowHeight="15090" xr2:uid="{00000000-000D-0000-FFFF-FFFF00000000}"/>
  </bookViews>
  <sheets>
    <sheet name="Funding Worksheet - Folder Vers" sheetId="1" r:id="rId1"/>
    <sheet name="Funding Worksheet - ACH 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2" l="1"/>
  <c r="G22" i="2"/>
  <c r="G16" i="2"/>
  <c r="G5" i="2"/>
  <c r="H33" i="2"/>
  <c r="F33" i="2"/>
  <c r="E33" i="2"/>
  <c r="D33" i="2"/>
  <c r="H21" i="1"/>
</calcChain>
</file>

<file path=xl/sharedStrings.xml><?xml version="1.0" encoding="utf-8"?>
<sst xmlns="http://schemas.openxmlformats.org/spreadsheetml/2006/main" count="236" uniqueCount="121">
  <si>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</si>
  <si>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</si>
  <si>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</si>
  <si>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</si>
  <si>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</si>
  <si>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</si>
  <si>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</si>
  <si>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</si>
  <si>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</si>
  <si>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</si>
  <si>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</si>
  <si>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App MMN</t>
  </si>
  <si>
    <t>Co-App MMN</t>
  </si>
  <si>
    <t>Route One</t>
  </si>
  <si>
    <t>E Contract</t>
  </si>
  <si>
    <t>AYRE, ARTHUR</t>
  </si>
  <si>
    <t>MIRICK, JANET</t>
  </si>
  <si>
    <t>Patriot Auto Group Inc d/b/a</t>
  </si>
  <si>
    <t>Marlene Braganca</t>
  </si>
  <si>
    <t>ARTHURAYRE@COMCAST.NET</t>
  </si>
  <si>
    <t>Marino</t>
  </si>
  <si>
    <t>Jatsura</t>
  </si>
  <si>
    <t>DealerTrack</t>
  </si>
  <si>
    <t>BOREY, ADAM</t>
  </si>
  <si>
    <t>Grieco Enterprises, LLC d/b/a</t>
  </si>
  <si>
    <t>ADAMBOREY@GMAIL.COM</t>
  </si>
  <si>
    <t>Borey</t>
  </si>
  <si>
    <t>KIRBY, ARLENE</t>
  </si>
  <si>
    <t>Neli Oliveira</t>
  </si>
  <si>
    <t>mkirb@comcast.net</t>
  </si>
  <si>
    <t>JONES</t>
  </si>
  <si>
    <t>SOMERS, MICHAEL</t>
  </si>
  <si>
    <t>Bourne Enterprises Inc</t>
  </si>
  <si>
    <t>MSOMERS68@GMAIL.COM</t>
  </si>
  <si>
    <t>ARMSTRONG</t>
  </si>
  <si>
    <t>BURBANK, HANNAH</t>
  </si>
  <si>
    <t>T F Murphy Enterprises Inc</t>
  </si>
  <si>
    <t>HANNAHGNONG@GMAIL.COM</t>
  </si>
  <si>
    <t>STARR</t>
  </si>
  <si>
    <t>POLCARI, SARA</t>
  </si>
  <si>
    <t>R3V Motors, Inc</t>
  </si>
  <si>
    <t>SARA031_2000@YAHOO.COM</t>
  </si>
  <si>
    <t>Mulligan</t>
  </si>
  <si>
    <t>DEMARCO, ANTHONY</t>
  </si>
  <si>
    <t>ANTHONYRDEMARCO@GMAIL.COM</t>
  </si>
  <si>
    <t>ZEGERALLA</t>
  </si>
  <si>
    <t>151227610</t>
  </si>
  <si>
    <t>Paper</t>
  </si>
  <si>
    <t>CARBONE, JOHN</t>
  </si>
  <si>
    <t>CARBONE, SUZANNE</t>
  </si>
  <si>
    <t>NARSA AMC LLC d/b/a</t>
  </si>
  <si>
    <t>JOHNJKC11@YAHOO.COM</t>
  </si>
  <si>
    <t>SANBERG</t>
  </si>
  <si>
    <t>BENJAMIN</t>
  </si>
  <si>
    <t>DELANO, JAMES</t>
  </si>
  <si>
    <t>JVDELANO27@GMAIL.COM</t>
  </si>
  <si>
    <t>Sgarzi</t>
  </si>
  <si>
    <t>151227644</t>
  </si>
  <si>
    <t>SALDIVAR, DINA</t>
  </si>
  <si>
    <t>Rachel Gorham</t>
  </si>
  <si>
    <t>LOVE8KAOS@AOL.COM</t>
  </si>
  <si>
    <t>TORRES</t>
  </si>
  <si>
    <t>151227652</t>
  </si>
  <si>
    <t>ROSSI, LOUIS</t>
  </si>
  <si>
    <t>Volvo of Tiverton</t>
  </si>
  <si>
    <t>ROSSILOUIS@GMAIL.COM</t>
  </si>
  <si>
    <t>JOHANN</t>
  </si>
  <si>
    <t>COLONNA, SARAH</t>
  </si>
  <si>
    <t>Hiller Co Inc</t>
  </si>
  <si>
    <t>SARAHJEANNE29@YAHOO.COM</t>
  </si>
  <si>
    <t>CRAFT</t>
  </si>
  <si>
    <t>151227678</t>
  </si>
  <si>
    <t>HENRY, MICHAEL</t>
  </si>
  <si>
    <t>HENRY, MARY</t>
  </si>
  <si>
    <t>Planet Subaru</t>
  </si>
  <si>
    <t>MICHHENR1978@GMAIL.COM</t>
  </si>
  <si>
    <t>WHITE</t>
  </si>
  <si>
    <t>FITZPATRICK</t>
  </si>
  <si>
    <t>151227719</t>
  </si>
  <si>
    <t>GONZALEZ, GARY</t>
  </si>
  <si>
    <t>SANCHEZ</t>
  </si>
  <si>
    <t>151227743</t>
  </si>
  <si>
    <t>VARA, SCOTT-CHRISTIAN</t>
  </si>
  <si>
    <t>S&amp;E Auto Services and Sales Inc</t>
  </si>
  <si>
    <t>SCOTTYVARA@GMAIL.COM</t>
  </si>
  <si>
    <t>KERNER</t>
  </si>
  <si>
    <t>MENDEZ PONTARELLI, Angela</t>
  </si>
  <si>
    <t>Flood Mazda</t>
  </si>
  <si>
    <t>DEJESUS</t>
  </si>
  <si>
    <t>HUNTINGTON, PETER</t>
  </si>
  <si>
    <t>Wareham Ford</t>
  </si>
  <si>
    <t>phuntington55@gmail.com</t>
  </si>
  <si>
    <t>NORTON</t>
  </si>
  <si>
    <t># 17</t>
  </si>
  <si>
    <t>Funding Worksheet - ACH Version</t>
  </si>
  <si>
    <t>Dealer Flat</t>
  </si>
  <si>
    <t>Dealer Split</t>
  </si>
  <si>
    <t>Net to Dealer</t>
  </si>
  <si>
    <t>Contracted Amount Financed</t>
  </si>
  <si>
    <t>Funding Worksheet - Signoff Version</t>
  </si>
  <si>
    <t># 6</t>
  </si>
  <si>
    <t>Column1</t>
  </si>
  <si>
    <t>Column2</t>
  </si>
  <si>
    <t>Auto- NARSA AMC LLC d/b/a</t>
  </si>
  <si>
    <t>Auto-NARSA AMC LLC d/b/a</t>
  </si>
  <si>
    <t>honda-Patriot Auto Group Inc d/b/a</t>
  </si>
  <si>
    <t>151227230 E</t>
  </si>
  <si>
    <t>151227347 E</t>
  </si>
  <si>
    <t>151227511 E</t>
  </si>
  <si>
    <t>151227529 E</t>
  </si>
  <si>
    <t>151227537 E</t>
  </si>
  <si>
    <t>151227579 E</t>
  </si>
  <si>
    <t>151227595 E</t>
  </si>
  <si>
    <t>151227636 E</t>
  </si>
  <si>
    <t>151227660 E</t>
  </si>
  <si>
    <t>151227751 E</t>
  </si>
  <si>
    <t>151227769 E</t>
  </si>
  <si>
    <t>Original Notes Delivered</t>
  </si>
  <si>
    <t>Delivered by:</t>
  </si>
  <si>
    <t>Received by:</t>
  </si>
  <si>
    <t>Date 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</si>
</sst>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14" fontId="0" fillId="0" borderId="0" xfId="0" applyNumberFormat="1"/>
    <xf numFmtId="0" fontId="0" fillId="0" borderId="0" xfId="0" applyAlignment="1"/>
    <xf numFmtId="0" fontId="2" fillId="0" borderId="0" xfId="0" applyFont="1"/>
    <xf numFmtId="164" fontId="2" fillId="0" borderId="0" xfId="0" applyNumberFormat="1" applyFont="1" applyAlignment="1">
      <alignment horizontal="right"/>
    </xf>
    <xf numFmtId="14" fontId="2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7" fontId="4" fillId="0" borderId="0" xfId="0" applyNumberFormat="1" applyFont="1"/>
    <xf numFmtId="0" fontId="3" fillId="0" borderId="0" xfId="0" applyFont="1"/>
    <xf numFmtId="7" fontId="3" fillId="0" borderId="0" xfId="0" applyNumberFormat="1" applyFont="1"/>
    <xf numFmtId="164" fontId="0" fillId="0" borderId="0" xfId="0" applyNumberFormat="1" applyAlignment="1">
      <alignment horizontal="right"/>
    </xf>
    <xf numFmtId="0" fontId="0" fillId="0" borderId="1" xfId="0" applyBorder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K21">
  <tableColumns count="11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1" xr3:uid="{00000000-0010-0000-0000-00000B000000}" name="App MMN"/>
    <tableColumn id="12" xr3:uid="{00000000-0010-0000-0000-00000C000000}" name="Co-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10184E-A828-469E-87D0-94A2FE5A0D8C}" name="Table_14" displayName="Table_14" ref="A3:H33" headerRowDxfId="2" dataDxfId="0" totalsRowDxfId="1">
  <sortState xmlns:xlrd2="http://schemas.microsoft.com/office/spreadsheetml/2017/richdata2" ref="A4:H33">
    <sortCondition ref="A4:A33"/>
  </sortState>
  <tableColumns count="8">
    <tableColumn id="1" xr3:uid="{BCBF9979-E026-43B7-9CDB-F8D975F9CBE8}" name="Dealer Name" dataDxfId="10"/>
    <tableColumn id="8" xr3:uid="{3E4A362C-D1A8-4AC7-9BFB-5B811BA428A2}" name="Column2" dataDxfId="9"/>
    <tableColumn id="2" xr3:uid="{48345405-96F0-4684-891F-57AD5B42C669}" name="Funded by" dataDxfId="8"/>
    <tableColumn id="3" xr3:uid="{B883DC5D-1701-4E16-803F-FD6BA937EE9D}" name="Dealer Flat" dataDxfId="7"/>
    <tableColumn id="4" xr3:uid="{4AECEA89-D208-4281-B871-F8AA31A066F2}" name="Dealer Split" dataDxfId="6"/>
    <tableColumn id="5" xr3:uid="{E51BA827-0C3C-4473-A928-C5573A0029FA}" name="Net to Dealer" dataDxfId="5"/>
    <tableColumn id="7" xr3:uid="{9BA464D4-95CF-4CB5-BAEC-F7C62E95CC4F}" name="Column1" dataDxfId="4"/>
    <tableColumn id="6" xr3:uid="{91D9A4F0-1173-4456-B2C6-C81E74A7DAB3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38C379-5935-4060-AAD8-1E7837BA578D}" name="Table_15" displayName="Table_15" ref="A3:E10">
  <tableColumns count="5">
    <tableColumn id="1" xr3:uid="{F54B3C39-CBA0-44F6-969A-AB2AAB619ADE}" name="Account Number"/>
    <tableColumn id="2" xr3:uid="{8E098EA8-FE4C-4BB0-84BB-9721E74D896F}" name="Contract Type"/>
    <tableColumn id="3" xr3:uid="{F5E5D892-2F75-4F61-AF63-C9871041FF67}" name="Applicant Name"/>
    <tableColumn id="4" xr3:uid="{011E9E3D-3394-4F01-ABA6-051293901285}" name="Co-Applicant Name"/>
    <tableColumn id="5" xr3:uid="{F448C0B9-E63C-4A45-A57C-27E79B82CCE8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workbookViewId="0">
      <pane ySplit="3" topLeftCell="A4" activePane="bottomLeft" state="frozen"/>
      <selection pane="bottomLeft" activeCell="D17" sqref="D17"/>
    </sheetView>
  </sheetViews>
  <sheetFormatPr defaultRowHeight="15" x14ac:dyDescent="0.25"/>
  <cols>
    <col min="1" max="1" width="13" customWidth="1"/>
    <col min="2" max="2" width="12.140625" bestFit="1" customWidth="1"/>
    <col min="3" max="3" width="14" bestFit="1" customWidth="1"/>
    <col min="4" max="4" width="25.28515625" customWidth="1"/>
    <col min="5" max="5" width="19.28515625" customWidth="1"/>
    <col min="6" max="6" width="30.7109375" bestFit="1" customWidth="1"/>
    <col min="7" max="7" width="17.7109375" bestFit="1" customWidth="1"/>
    <col min="8" max="8" width="17.140625" bestFit="1" customWidth="1"/>
    <col min="9" max="9" width="33.28515625" bestFit="1" customWidth="1"/>
    <col min="10" max="10" width="11.7109375" customWidth="1"/>
    <col min="11" max="11" width="12.85546875" bestFit="1" customWidth="1"/>
  </cols>
  <sheetData>
    <row r="1" spans="1:11" x14ac:dyDescent="0.25">
      <c r="J1" s="21">
        <v>45923</v>
      </c>
      <c r="K1" s="9"/>
    </row>
    <row r="2" spans="1:11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</row>
    <row r="3" spans="1:11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</row>
    <row r="4" spans="1:11" ht="30" customHeight="1" x14ac:dyDescent="0.25">
      <c r="A4" t="s">
        <v>106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s="2">
        <v>10989.31</v>
      </c>
      <c r="I4" t="s">
        <v>19</v>
      </c>
      <c r="J4" t="s">
        <v>20</v>
      </c>
      <c r="K4" t="s">
        <v>21</v>
      </c>
    </row>
    <row r="5" spans="1:11" ht="30" customHeight="1" x14ac:dyDescent="0.25">
      <c r="A5" t="s">
        <v>107</v>
      </c>
      <c r="B5" t="s">
        <v>22</v>
      </c>
      <c r="C5" t="s">
        <v>14</v>
      </c>
      <c r="D5" t="s">
        <v>23</v>
      </c>
      <c r="F5" t="s">
        <v>24</v>
      </c>
      <c r="G5" t="s">
        <v>18</v>
      </c>
      <c r="H5" s="2">
        <v>46560.31</v>
      </c>
      <c r="I5" t="s">
        <v>25</v>
      </c>
      <c r="J5" t="s">
        <v>26</v>
      </c>
    </row>
    <row r="6" spans="1:11" ht="30" customHeight="1" x14ac:dyDescent="0.25">
      <c r="A6" t="s">
        <v>108</v>
      </c>
      <c r="B6" t="s">
        <v>13</v>
      </c>
      <c r="C6" t="s">
        <v>14</v>
      </c>
      <c r="D6" t="s">
        <v>27</v>
      </c>
      <c r="F6" t="s">
        <v>17</v>
      </c>
      <c r="G6" t="s">
        <v>28</v>
      </c>
      <c r="H6" s="2">
        <v>20132.689999999999</v>
      </c>
      <c r="I6" t="s">
        <v>29</v>
      </c>
      <c r="J6" t="s">
        <v>30</v>
      </c>
    </row>
    <row r="7" spans="1:11" ht="30" customHeight="1" x14ac:dyDescent="0.25">
      <c r="A7" t="s">
        <v>109</v>
      </c>
      <c r="B7" t="s">
        <v>22</v>
      </c>
      <c r="C7" t="s">
        <v>14</v>
      </c>
      <c r="D7" t="s">
        <v>31</v>
      </c>
      <c r="F7" t="s">
        <v>32</v>
      </c>
      <c r="G7" t="s">
        <v>28</v>
      </c>
      <c r="H7" s="2">
        <v>40042.370000000003</v>
      </c>
      <c r="I7" t="s">
        <v>33</v>
      </c>
      <c r="J7" t="s">
        <v>34</v>
      </c>
    </row>
    <row r="8" spans="1:11" ht="30" customHeight="1" x14ac:dyDescent="0.25">
      <c r="A8" t="s">
        <v>110</v>
      </c>
      <c r="B8" t="s">
        <v>13</v>
      </c>
      <c r="C8" t="s">
        <v>14</v>
      </c>
      <c r="D8" t="s">
        <v>35</v>
      </c>
      <c r="F8" t="s">
        <v>36</v>
      </c>
      <c r="G8" t="s">
        <v>28</v>
      </c>
      <c r="H8" s="2">
        <v>29491.37</v>
      </c>
      <c r="I8" t="s">
        <v>37</v>
      </c>
      <c r="J8" t="s">
        <v>38</v>
      </c>
    </row>
    <row r="9" spans="1:11" ht="30" customHeight="1" x14ac:dyDescent="0.25">
      <c r="A9" t="s">
        <v>111</v>
      </c>
      <c r="B9" t="s">
        <v>22</v>
      </c>
      <c r="C9" t="s">
        <v>14</v>
      </c>
      <c r="D9" t="s">
        <v>39</v>
      </c>
      <c r="F9" t="s">
        <v>40</v>
      </c>
      <c r="G9" t="s">
        <v>18</v>
      </c>
      <c r="H9" s="2">
        <v>34409.620000000003</v>
      </c>
      <c r="I9" t="s">
        <v>41</v>
      </c>
      <c r="J9" t="s">
        <v>42</v>
      </c>
    </row>
    <row r="10" spans="1:11" ht="30" customHeight="1" x14ac:dyDescent="0.25">
      <c r="A10" t="s">
        <v>112</v>
      </c>
      <c r="B10" t="s">
        <v>22</v>
      </c>
      <c r="C10" t="s">
        <v>14</v>
      </c>
      <c r="D10" t="s">
        <v>43</v>
      </c>
      <c r="F10" t="s">
        <v>40</v>
      </c>
      <c r="G10" t="s">
        <v>18</v>
      </c>
      <c r="H10" s="2">
        <v>14035.31</v>
      </c>
      <c r="I10" t="s">
        <v>44</v>
      </c>
      <c r="J10" t="s">
        <v>45</v>
      </c>
    </row>
    <row r="11" spans="1:11" ht="30" customHeight="1" x14ac:dyDescent="0.25">
      <c r="A11" t="s">
        <v>46</v>
      </c>
      <c r="B11" t="s">
        <v>22</v>
      </c>
      <c r="C11" t="s">
        <v>47</v>
      </c>
      <c r="D11" t="s">
        <v>48</v>
      </c>
      <c r="E11" t="s">
        <v>49</v>
      </c>
      <c r="F11" t="s">
        <v>50</v>
      </c>
      <c r="G11" t="s">
        <v>18</v>
      </c>
      <c r="H11" s="2">
        <v>27534.69</v>
      </c>
      <c r="I11" t="s">
        <v>51</v>
      </c>
      <c r="J11" t="s">
        <v>52</v>
      </c>
      <c r="K11" t="s">
        <v>53</v>
      </c>
    </row>
    <row r="12" spans="1:11" ht="30" customHeight="1" x14ac:dyDescent="0.25">
      <c r="A12" t="s">
        <v>113</v>
      </c>
      <c r="B12" t="s">
        <v>22</v>
      </c>
      <c r="C12" t="s">
        <v>14</v>
      </c>
      <c r="D12" t="s">
        <v>54</v>
      </c>
      <c r="F12" t="s">
        <v>40</v>
      </c>
      <c r="G12" t="s">
        <v>18</v>
      </c>
      <c r="H12" s="2">
        <v>34005.33</v>
      </c>
      <c r="I12" t="s">
        <v>55</v>
      </c>
      <c r="J12" t="s">
        <v>56</v>
      </c>
    </row>
    <row r="13" spans="1:11" ht="30" customHeight="1" x14ac:dyDescent="0.25">
      <c r="A13" t="s">
        <v>57</v>
      </c>
      <c r="B13" t="s">
        <v>13</v>
      </c>
      <c r="C13" t="s">
        <v>47</v>
      </c>
      <c r="D13" t="s">
        <v>58</v>
      </c>
      <c r="F13" t="s">
        <v>36</v>
      </c>
      <c r="G13" t="s">
        <v>59</v>
      </c>
      <c r="H13" s="2">
        <v>31892.38</v>
      </c>
      <c r="I13" t="s">
        <v>60</v>
      </c>
      <c r="J13" t="s">
        <v>61</v>
      </c>
    </row>
    <row r="14" spans="1:11" ht="30" customHeight="1" x14ac:dyDescent="0.25">
      <c r="A14" t="s">
        <v>62</v>
      </c>
      <c r="B14" t="s">
        <v>22</v>
      </c>
      <c r="C14" t="s">
        <v>47</v>
      </c>
      <c r="D14" t="s">
        <v>63</v>
      </c>
      <c r="F14" t="s">
        <v>64</v>
      </c>
      <c r="G14" t="s">
        <v>59</v>
      </c>
      <c r="H14" s="2">
        <v>56904.25</v>
      </c>
      <c r="I14" t="s">
        <v>65</v>
      </c>
      <c r="J14" t="s">
        <v>66</v>
      </c>
    </row>
    <row r="15" spans="1:11" ht="30" customHeight="1" x14ac:dyDescent="0.25">
      <c r="A15" t="s">
        <v>114</v>
      </c>
      <c r="B15" t="s">
        <v>13</v>
      </c>
      <c r="C15" t="s">
        <v>14</v>
      </c>
      <c r="D15" t="s">
        <v>67</v>
      </c>
      <c r="F15" t="s">
        <v>68</v>
      </c>
      <c r="G15" t="s">
        <v>59</v>
      </c>
      <c r="H15" s="2">
        <v>49107.6</v>
      </c>
      <c r="I15" t="s">
        <v>69</v>
      </c>
      <c r="J15" t="s">
        <v>70</v>
      </c>
    </row>
    <row r="16" spans="1:11" ht="30" customHeight="1" x14ac:dyDescent="0.25">
      <c r="A16" t="s">
        <v>71</v>
      </c>
      <c r="B16" t="s">
        <v>22</v>
      </c>
      <c r="C16" t="s">
        <v>47</v>
      </c>
      <c r="D16" t="s">
        <v>72</v>
      </c>
      <c r="E16" t="s">
        <v>73</v>
      </c>
      <c r="F16" t="s">
        <v>74</v>
      </c>
      <c r="G16" t="s">
        <v>59</v>
      </c>
      <c r="H16" s="2">
        <v>18804.25</v>
      </c>
      <c r="I16" t="s">
        <v>75</v>
      </c>
      <c r="J16" t="s">
        <v>76</v>
      </c>
      <c r="K16" t="s">
        <v>77</v>
      </c>
    </row>
    <row r="17" spans="1:11" ht="30" customHeight="1" x14ac:dyDescent="0.25">
      <c r="A17" t="s">
        <v>78</v>
      </c>
      <c r="B17" t="s">
        <v>22</v>
      </c>
      <c r="C17" t="s">
        <v>47</v>
      </c>
      <c r="D17" t="s">
        <v>79</v>
      </c>
      <c r="F17" t="s">
        <v>50</v>
      </c>
      <c r="G17" t="s">
        <v>59</v>
      </c>
      <c r="H17" s="2">
        <v>25359.69</v>
      </c>
      <c r="J17" t="s">
        <v>80</v>
      </c>
    </row>
    <row r="18" spans="1:11" ht="30" customHeight="1" x14ac:dyDescent="0.25">
      <c r="A18" t="s">
        <v>81</v>
      </c>
      <c r="B18" t="s">
        <v>22</v>
      </c>
      <c r="C18" t="s">
        <v>47</v>
      </c>
      <c r="D18" t="s">
        <v>82</v>
      </c>
      <c r="F18" t="s">
        <v>83</v>
      </c>
      <c r="G18" t="s">
        <v>59</v>
      </c>
      <c r="H18" s="2">
        <v>24034.560000000001</v>
      </c>
      <c r="I18" t="s">
        <v>84</v>
      </c>
      <c r="J18" t="s">
        <v>85</v>
      </c>
    </row>
    <row r="19" spans="1:11" ht="30" customHeight="1" x14ac:dyDescent="0.25">
      <c r="A19" t="s">
        <v>115</v>
      </c>
      <c r="B19" t="s">
        <v>13</v>
      </c>
      <c r="C19" t="s">
        <v>14</v>
      </c>
      <c r="D19" t="s">
        <v>86</v>
      </c>
      <c r="F19" t="s">
        <v>87</v>
      </c>
      <c r="G19" t="s">
        <v>28</v>
      </c>
      <c r="H19" s="2">
        <v>25995.83</v>
      </c>
      <c r="J19" t="s">
        <v>88</v>
      </c>
    </row>
    <row r="20" spans="1:11" ht="30" customHeight="1" x14ac:dyDescent="0.25">
      <c r="A20" t="s">
        <v>116</v>
      </c>
      <c r="B20" t="s">
        <v>13</v>
      </c>
      <c r="C20" t="s">
        <v>14</v>
      </c>
      <c r="D20" t="s">
        <v>89</v>
      </c>
      <c r="F20" t="s">
        <v>90</v>
      </c>
      <c r="G20" t="s">
        <v>28</v>
      </c>
      <c r="H20" s="2">
        <v>21636.41</v>
      </c>
      <c r="I20" t="s">
        <v>91</v>
      </c>
      <c r="J20" t="s">
        <v>92</v>
      </c>
    </row>
    <row r="21" spans="1:11" x14ac:dyDescent="0.25">
      <c r="A21" s="1"/>
      <c r="B21" s="1"/>
      <c r="C21" s="1"/>
      <c r="D21" s="1" t="s">
        <v>93</v>
      </c>
      <c r="E21" s="1"/>
      <c r="F21" s="1"/>
      <c r="G21" s="1"/>
      <c r="H21" s="3">
        <f>SUM(H4:H20)</f>
        <v>510935.97</v>
      </c>
      <c r="I21" s="1"/>
      <c r="J21" s="1"/>
      <c r="K21" s="1"/>
    </row>
  </sheetData>
  <mergeCells count="3">
    <mergeCell ref="A2:F2"/>
    <mergeCell ref="G2:K2"/>
    <mergeCell ref="J1:K1"/>
  </mergeCells>
  <pageMargins left="0.7" right="0" top="0.75" bottom="0.75" header="0.3" footer="0.3"/>
  <pageSetup paperSize="5" scale="80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8A22-55BE-4A5F-8096-780C3DE82C47}">
  <sheetPr>
    <pageSetUpPr fitToPage="1"/>
  </sheetPr>
  <dimension ref="A1:H33"/>
  <sheetViews>
    <sheetView workbookViewId="0">
      <selection activeCell="L10" sqref="L10"/>
    </sheetView>
  </sheetViews>
  <sheetFormatPr defaultRowHeight="15.75" x14ac:dyDescent="0.25"/>
  <cols>
    <col min="1" max="1" width="22.5703125" style="10" customWidth="1"/>
    <col min="2" max="2" width="10" style="10" customWidth="1"/>
    <col min="3" max="3" width="19.28515625" style="10" customWidth="1"/>
    <col min="4" max="4" width="14.85546875" style="10" customWidth="1"/>
    <col min="5" max="5" width="13.140625" style="10" customWidth="1"/>
    <col min="6" max="7" width="16" style="10" customWidth="1"/>
    <col min="8" max="8" width="17" style="10" customWidth="1"/>
    <col min="9" max="16384" width="9.140625" style="10"/>
  </cols>
  <sheetData>
    <row r="1" spans="1:8" x14ac:dyDescent="0.25">
      <c r="E1" s="11"/>
      <c r="G1" s="12">
        <v>45923</v>
      </c>
      <c r="H1" s="13"/>
    </row>
    <row r="2" spans="1:8" x14ac:dyDescent="0.25">
      <c r="A2" s="14" t="s">
        <v>0</v>
      </c>
      <c r="B2" s="14"/>
      <c r="C2" s="15"/>
      <c r="D2" s="15"/>
      <c r="E2" s="16" t="s">
        <v>94</v>
      </c>
      <c r="F2" s="15"/>
      <c r="G2" s="15"/>
      <c r="H2" s="15"/>
    </row>
    <row r="3" spans="1:8" x14ac:dyDescent="0.25">
      <c r="A3" s="10" t="s">
        <v>7</v>
      </c>
      <c r="B3" s="10" t="s">
        <v>102</v>
      </c>
      <c r="C3" s="10" t="s">
        <v>8</v>
      </c>
      <c r="D3" s="10" t="s">
        <v>95</v>
      </c>
      <c r="E3" s="10" t="s">
        <v>96</v>
      </c>
      <c r="F3" s="10" t="s">
        <v>97</v>
      </c>
      <c r="G3" s="10" t="s">
        <v>101</v>
      </c>
      <c r="H3" s="10" t="s">
        <v>98</v>
      </c>
    </row>
    <row r="4" spans="1:8" ht="24.95" customHeight="1" x14ac:dyDescent="0.25">
      <c r="A4" s="10" t="s">
        <v>103</v>
      </c>
      <c r="C4" s="10" t="s">
        <v>18</v>
      </c>
      <c r="D4" s="17">
        <v>750</v>
      </c>
      <c r="E4" s="17">
        <v>0</v>
      </c>
      <c r="F4" s="17">
        <v>27459.69</v>
      </c>
      <c r="G4" s="17"/>
      <c r="H4" s="17">
        <v>27534.69</v>
      </c>
    </row>
    <row r="5" spans="1:8" ht="24.95" customHeight="1" x14ac:dyDescent="0.25">
      <c r="A5" s="10" t="s">
        <v>104</v>
      </c>
      <c r="C5" s="10" t="s">
        <v>59</v>
      </c>
      <c r="D5" s="17">
        <v>750</v>
      </c>
      <c r="E5" s="17">
        <v>0</v>
      </c>
      <c r="F5" s="17">
        <v>25284.69</v>
      </c>
      <c r="G5" s="18">
        <f>SUM(F4:F5)</f>
        <v>52744.38</v>
      </c>
      <c r="H5" s="17">
        <v>25359.69</v>
      </c>
    </row>
    <row r="6" spans="1:8" ht="24.95" customHeight="1" x14ac:dyDescent="0.25">
      <c r="D6" s="17"/>
      <c r="E6" s="17"/>
      <c r="F6" s="17"/>
      <c r="G6" s="17"/>
      <c r="H6" s="17"/>
    </row>
    <row r="7" spans="1:8" ht="24.95" customHeight="1" x14ac:dyDescent="0.25">
      <c r="A7" s="10" t="s">
        <v>32</v>
      </c>
      <c r="C7" s="10" t="s">
        <v>28</v>
      </c>
      <c r="D7" s="17">
        <v>1050</v>
      </c>
      <c r="E7" s="17">
        <v>0</v>
      </c>
      <c r="F7" s="18">
        <v>39967.370000000003</v>
      </c>
      <c r="G7" s="17"/>
      <c r="H7" s="17">
        <v>40042.370000000003</v>
      </c>
    </row>
    <row r="8" spans="1:8" ht="24.95" customHeight="1" x14ac:dyDescent="0.25">
      <c r="D8" s="17"/>
      <c r="E8" s="17"/>
      <c r="F8" s="18"/>
      <c r="G8" s="17"/>
      <c r="H8" s="17"/>
    </row>
    <row r="9" spans="1:8" ht="24.95" customHeight="1" x14ac:dyDescent="0.25">
      <c r="A9" s="10" t="s">
        <v>87</v>
      </c>
      <c r="C9" s="10" t="s">
        <v>28</v>
      </c>
      <c r="D9" s="17">
        <v>750</v>
      </c>
      <c r="E9" s="17">
        <v>0</v>
      </c>
      <c r="F9" s="18">
        <v>25920.83</v>
      </c>
      <c r="G9" s="17"/>
      <c r="H9" s="17">
        <v>25995.83</v>
      </c>
    </row>
    <row r="10" spans="1:8" ht="24.95" customHeight="1" x14ac:dyDescent="0.25">
      <c r="D10" s="17"/>
      <c r="E10" s="17"/>
      <c r="F10" s="18"/>
      <c r="G10" s="17"/>
      <c r="H10" s="17"/>
    </row>
    <row r="11" spans="1:8" ht="24.95" customHeight="1" x14ac:dyDescent="0.25">
      <c r="A11" s="10" t="s">
        <v>24</v>
      </c>
      <c r="C11" s="10" t="s">
        <v>18</v>
      </c>
      <c r="D11" s="17">
        <v>1150</v>
      </c>
      <c r="E11" s="17">
        <v>0</v>
      </c>
      <c r="F11" s="18">
        <v>46485.31</v>
      </c>
      <c r="G11" s="17"/>
      <c r="H11" s="17">
        <v>46560.31</v>
      </c>
    </row>
    <row r="12" spans="1:8" ht="24.95" customHeight="1" x14ac:dyDescent="0.25">
      <c r="D12" s="17"/>
      <c r="E12" s="17"/>
      <c r="F12" s="18"/>
      <c r="G12" s="17"/>
      <c r="H12" s="17"/>
    </row>
    <row r="13" spans="1:8" ht="24.95" customHeight="1" x14ac:dyDescent="0.25">
      <c r="A13" s="10" t="s">
        <v>68</v>
      </c>
      <c r="C13" s="10" t="s">
        <v>59</v>
      </c>
      <c r="D13" s="17">
        <v>1150</v>
      </c>
      <c r="E13" s="17">
        <v>0</v>
      </c>
      <c r="F13" s="18">
        <v>49032.6</v>
      </c>
      <c r="G13" s="17"/>
      <c r="H13" s="17">
        <v>49107.6</v>
      </c>
    </row>
    <row r="14" spans="1:8" ht="24.95" customHeight="1" x14ac:dyDescent="0.25">
      <c r="D14" s="17"/>
      <c r="E14" s="17"/>
      <c r="F14" s="17"/>
      <c r="G14" s="17"/>
      <c r="H14" s="17"/>
    </row>
    <row r="15" spans="1:8" ht="24.95" customHeight="1" x14ac:dyDescent="0.25">
      <c r="A15" s="10" t="s">
        <v>105</v>
      </c>
      <c r="C15" s="10" t="s">
        <v>18</v>
      </c>
      <c r="D15" s="17">
        <v>300</v>
      </c>
      <c r="E15" s="17">
        <v>0</v>
      </c>
      <c r="F15" s="17">
        <v>10914.31</v>
      </c>
      <c r="G15" s="17"/>
      <c r="H15" s="17">
        <v>10989.31</v>
      </c>
    </row>
    <row r="16" spans="1:8" ht="24.95" customHeight="1" x14ac:dyDescent="0.25">
      <c r="A16" s="10" t="s">
        <v>105</v>
      </c>
      <c r="C16" s="10" t="s">
        <v>28</v>
      </c>
      <c r="D16" s="17">
        <v>650</v>
      </c>
      <c r="E16" s="17">
        <v>0</v>
      </c>
      <c r="F16" s="17">
        <v>20057.689999999999</v>
      </c>
      <c r="G16" s="18">
        <f>SUM(F15:F16)</f>
        <v>30972</v>
      </c>
      <c r="H16" s="17">
        <v>20132.689999999999</v>
      </c>
    </row>
    <row r="17" spans="1:8" ht="24.95" customHeight="1" x14ac:dyDescent="0.25">
      <c r="D17" s="17"/>
      <c r="E17" s="17"/>
      <c r="F17" s="17"/>
      <c r="G17" s="17"/>
      <c r="H17" s="17"/>
    </row>
    <row r="18" spans="1:8" ht="24.95" customHeight="1" x14ac:dyDescent="0.25">
      <c r="A18" s="10" t="s">
        <v>74</v>
      </c>
      <c r="C18" s="10" t="s">
        <v>59</v>
      </c>
      <c r="D18" s="17">
        <v>500</v>
      </c>
      <c r="E18" s="17">
        <v>0</v>
      </c>
      <c r="F18" s="18">
        <v>18729.25</v>
      </c>
      <c r="G18" s="17"/>
      <c r="H18" s="17">
        <v>18804.25</v>
      </c>
    </row>
    <row r="19" spans="1:8" ht="24.95" customHeight="1" x14ac:dyDescent="0.25">
      <c r="D19" s="17"/>
      <c r="E19" s="17"/>
      <c r="F19" s="17"/>
      <c r="G19" s="17"/>
      <c r="H19" s="17"/>
    </row>
    <row r="20" spans="1:8" ht="24.95" customHeight="1" x14ac:dyDescent="0.25">
      <c r="A20" s="10" t="s">
        <v>40</v>
      </c>
      <c r="C20" s="10" t="s">
        <v>18</v>
      </c>
      <c r="D20" s="17">
        <v>850</v>
      </c>
      <c r="E20" s="17">
        <v>0</v>
      </c>
      <c r="F20" s="17">
        <v>33930.33</v>
      </c>
      <c r="G20" s="17"/>
      <c r="H20" s="17">
        <v>34005.33</v>
      </c>
    </row>
    <row r="21" spans="1:8" ht="24.95" customHeight="1" x14ac:dyDescent="0.25">
      <c r="A21" s="10" t="s">
        <v>40</v>
      </c>
      <c r="C21" s="10" t="s">
        <v>18</v>
      </c>
      <c r="D21" s="17">
        <v>850</v>
      </c>
      <c r="E21" s="17">
        <v>0</v>
      </c>
      <c r="F21" s="17">
        <v>34334.620000000003</v>
      </c>
      <c r="G21" s="17"/>
      <c r="H21" s="17">
        <v>34409.620000000003</v>
      </c>
    </row>
    <row r="22" spans="1:8" ht="24.95" customHeight="1" x14ac:dyDescent="0.25">
      <c r="A22" s="10" t="s">
        <v>40</v>
      </c>
      <c r="C22" s="10" t="s">
        <v>18</v>
      </c>
      <c r="D22" s="17">
        <v>300</v>
      </c>
      <c r="E22" s="17">
        <v>0</v>
      </c>
      <c r="F22" s="17">
        <v>13960.31</v>
      </c>
      <c r="G22" s="18">
        <f>SUM(F20:F22)</f>
        <v>82225.260000000009</v>
      </c>
      <c r="H22" s="17">
        <v>14035.31</v>
      </c>
    </row>
    <row r="23" spans="1:8" ht="24.95" customHeight="1" x14ac:dyDescent="0.25">
      <c r="D23" s="17"/>
      <c r="E23" s="17"/>
      <c r="F23" s="17"/>
      <c r="G23" s="17"/>
      <c r="H23" s="17"/>
    </row>
    <row r="24" spans="1:8" ht="24.95" customHeight="1" x14ac:dyDescent="0.25">
      <c r="A24" s="10" t="s">
        <v>83</v>
      </c>
      <c r="C24" s="10" t="s">
        <v>59</v>
      </c>
      <c r="D24" s="17">
        <v>650</v>
      </c>
      <c r="E24" s="17">
        <v>0</v>
      </c>
      <c r="F24" s="18">
        <v>23959.56</v>
      </c>
      <c r="G24" s="17"/>
      <c r="H24" s="17">
        <v>24034.560000000001</v>
      </c>
    </row>
    <row r="25" spans="1:8" ht="24.95" customHeight="1" x14ac:dyDescent="0.25">
      <c r="D25" s="17"/>
      <c r="E25" s="17"/>
      <c r="F25" s="17"/>
      <c r="G25" s="17"/>
      <c r="H25" s="17"/>
    </row>
    <row r="26" spans="1:8" ht="24.95" customHeight="1" x14ac:dyDescent="0.25">
      <c r="A26" s="10" t="s">
        <v>36</v>
      </c>
      <c r="C26" s="10" t="s">
        <v>59</v>
      </c>
      <c r="D26" s="17">
        <v>850</v>
      </c>
      <c r="E26" s="17">
        <v>0</v>
      </c>
      <c r="F26" s="17">
        <v>31817.38</v>
      </c>
      <c r="G26" s="17"/>
      <c r="H26" s="17">
        <v>31892.38</v>
      </c>
    </row>
    <row r="27" spans="1:8" ht="24.95" customHeight="1" x14ac:dyDescent="0.25">
      <c r="A27" s="10" t="s">
        <v>36</v>
      </c>
      <c r="C27" s="10" t="s">
        <v>28</v>
      </c>
      <c r="D27" s="17">
        <v>750</v>
      </c>
      <c r="E27" s="17">
        <v>0</v>
      </c>
      <c r="F27" s="17">
        <v>29416.37</v>
      </c>
      <c r="G27" s="18">
        <f>SUM(F26:F27)</f>
        <v>61233.75</v>
      </c>
      <c r="H27" s="17">
        <v>29491.37</v>
      </c>
    </row>
    <row r="28" spans="1:8" ht="24.95" customHeight="1" x14ac:dyDescent="0.25">
      <c r="D28" s="17"/>
      <c r="E28" s="17"/>
      <c r="F28" s="17"/>
      <c r="G28" s="17"/>
      <c r="H28" s="17"/>
    </row>
    <row r="29" spans="1:8" ht="24.95" customHeight="1" x14ac:dyDescent="0.25">
      <c r="A29" s="10" t="s">
        <v>64</v>
      </c>
      <c r="C29" s="10" t="s">
        <v>59</v>
      </c>
      <c r="D29" s="17">
        <v>1350</v>
      </c>
      <c r="E29" s="17">
        <v>0</v>
      </c>
      <c r="F29" s="18">
        <v>56829.25</v>
      </c>
      <c r="G29" s="17"/>
      <c r="H29" s="17">
        <v>56904.25</v>
      </c>
    </row>
    <row r="30" spans="1:8" ht="24.95" customHeight="1" x14ac:dyDescent="0.25">
      <c r="D30" s="17"/>
      <c r="E30" s="17"/>
      <c r="F30" s="18"/>
      <c r="G30" s="17"/>
      <c r="H30" s="17"/>
    </row>
    <row r="31" spans="1:8" ht="24.95" customHeight="1" x14ac:dyDescent="0.25">
      <c r="A31" s="10" t="s">
        <v>90</v>
      </c>
      <c r="C31" s="10" t="s">
        <v>28</v>
      </c>
      <c r="D31" s="17">
        <v>650</v>
      </c>
      <c r="E31" s="17">
        <v>0</v>
      </c>
      <c r="F31" s="18">
        <v>21561.41</v>
      </c>
      <c r="G31" s="17"/>
      <c r="H31" s="17">
        <v>21636.41</v>
      </c>
    </row>
    <row r="32" spans="1:8" x14ac:dyDescent="0.25">
      <c r="D32" s="17"/>
      <c r="E32" s="17"/>
      <c r="F32" s="17"/>
      <c r="G32" s="17"/>
      <c r="H32" s="17"/>
    </row>
    <row r="33" spans="1:8" x14ac:dyDescent="0.25">
      <c r="A33" s="19"/>
      <c r="B33" s="19"/>
      <c r="C33" s="19"/>
      <c r="D33" s="20">
        <f>SUM(D4:D31)</f>
        <v>13300</v>
      </c>
      <c r="E33" s="20">
        <f>SUM(E4:E31)</f>
        <v>0</v>
      </c>
      <c r="F33" s="20">
        <f>SUM(F4:F31)</f>
        <v>509660.97</v>
      </c>
      <c r="G33" s="20"/>
      <c r="H33" s="20">
        <f>SUM(H4:H31)</f>
        <v>510935.97</v>
      </c>
    </row>
  </sheetData>
  <mergeCells count="3">
    <mergeCell ref="A2:D2"/>
    <mergeCell ref="E2:H2"/>
    <mergeCell ref="G1:H1"/>
  </mergeCells>
  <pageMargins left="0.7" right="0.7" top="0.5" bottom="0.75" header="0.3" footer="0.3"/>
  <pageSetup scale="88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D7FE-BD5B-4422-9752-8E3B1EAEB1A9}">
  <sheetPr>
    <pageSetUpPr fitToPage="1"/>
  </sheetPr>
  <dimension ref="A1:E24"/>
  <sheetViews>
    <sheetView workbookViewId="0">
      <selection activeCell="E17" sqref="E17"/>
    </sheetView>
  </sheetViews>
  <sheetFormatPr defaultRowHeight="15" x14ac:dyDescent="0.25"/>
  <cols>
    <col min="1" max="1" width="14.85546875" customWidth="1"/>
    <col min="2" max="2" width="8.7109375" customWidth="1"/>
    <col min="3" max="3" width="24.85546875" customWidth="1"/>
    <col min="4" max="4" width="20.5703125" customWidth="1"/>
    <col min="5" max="5" width="30.28515625" customWidth="1"/>
  </cols>
  <sheetData>
    <row r="1" spans="1:5" ht="24.95" customHeight="1" x14ac:dyDescent="0.25">
      <c r="A1" t="s">
        <v>117</v>
      </c>
      <c r="D1" s="4"/>
      <c r="E1" s="8">
        <v>45923</v>
      </c>
    </row>
    <row r="2" spans="1:5" ht="24.95" customHeight="1" x14ac:dyDescent="0.25">
      <c r="A2" s="5" t="s">
        <v>0</v>
      </c>
      <c r="B2" s="6"/>
      <c r="C2" s="6"/>
      <c r="D2" s="7" t="s">
        <v>99</v>
      </c>
      <c r="E2" s="6"/>
    </row>
    <row r="3" spans="1:5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</row>
    <row r="5" spans="1:5" ht="24.95" customHeight="1" x14ac:dyDescent="0.25">
      <c r="A5" t="s">
        <v>57</v>
      </c>
      <c r="B5" t="s">
        <v>47</v>
      </c>
      <c r="C5" t="s">
        <v>58</v>
      </c>
      <c r="E5" t="s">
        <v>36</v>
      </c>
    </row>
    <row r="6" spans="1:5" ht="24.95" customHeight="1" x14ac:dyDescent="0.25">
      <c r="A6" t="s">
        <v>62</v>
      </c>
      <c r="B6" t="s">
        <v>47</v>
      </c>
      <c r="C6" t="s">
        <v>63</v>
      </c>
      <c r="E6" t="s">
        <v>64</v>
      </c>
    </row>
    <row r="7" spans="1:5" ht="24.95" customHeight="1" x14ac:dyDescent="0.25">
      <c r="A7" t="s">
        <v>71</v>
      </c>
      <c r="B7" t="s">
        <v>47</v>
      </c>
      <c r="C7" t="s">
        <v>72</v>
      </c>
      <c r="D7" t="s">
        <v>73</v>
      </c>
      <c r="E7" t="s">
        <v>74</v>
      </c>
    </row>
    <row r="8" spans="1:5" ht="24.95" customHeight="1" x14ac:dyDescent="0.25">
      <c r="A8" t="s">
        <v>78</v>
      </c>
      <c r="B8" t="s">
        <v>47</v>
      </c>
      <c r="C8" t="s">
        <v>79</v>
      </c>
      <c r="E8" t="s">
        <v>50</v>
      </c>
    </row>
    <row r="9" spans="1:5" ht="24.95" customHeight="1" x14ac:dyDescent="0.25">
      <c r="A9" t="s">
        <v>81</v>
      </c>
      <c r="B9" t="s">
        <v>47</v>
      </c>
      <c r="C9" t="s">
        <v>82</v>
      </c>
      <c r="E9" t="s">
        <v>83</v>
      </c>
    </row>
    <row r="10" spans="1:5" x14ac:dyDescent="0.25">
      <c r="A10" s="1"/>
      <c r="B10" s="1"/>
      <c r="C10" s="1" t="s">
        <v>100</v>
      </c>
      <c r="D10" s="1"/>
      <c r="E10" s="1"/>
    </row>
    <row r="15" spans="1:5" x14ac:dyDescent="0.25">
      <c r="A15" t="s">
        <v>118</v>
      </c>
      <c r="B15" s="22"/>
      <c r="C15" s="22"/>
      <c r="D15" s="22"/>
    </row>
    <row r="19" spans="1:4" x14ac:dyDescent="0.25">
      <c r="A19" t="s">
        <v>119</v>
      </c>
      <c r="B19" s="22"/>
      <c r="C19" s="22"/>
      <c r="D19" s="22"/>
    </row>
    <row r="24" spans="1:4" x14ac:dyDescent="0.25">
      <c r="A24" t="s">
        <v>120</v>
      </c>
      <c r="B24" s="22"/>
      <c r="C24" s="22"/>
    </row>
  </sheetData>
  <mergeCells count="2">
    <mergeCell ref="A2:C2"/>
    <mergeCell ref="D2:E2"/>
  </mergeCells>
  <pageMargins left="0.7" right="0.7" top="0.75" bottom="0.75" header="0.3" footer="0.3"/>
  <pageSetup scale="91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 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2025-09-23T18:38:32Z</cp:lastPrinted>
  <dcterms:created xsi:type="dcterms:W3CDTF">2025-09-23T18:15:28Z</dcterms:created>
  <dcterms:modified xsi:type="dcterms:W3CDTF">2025-09-23T18:54:07Z</dcterms:modified>
</cp:coreProperties>
</file>