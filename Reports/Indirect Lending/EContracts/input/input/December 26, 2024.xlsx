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0CDED6CB-799B-4AC5-8E7E-24955FF7E448}" xr6:coauthVersionLast="47" xr6:coauthVersionMax="47" xr10:uidLastSave="{00000000-0000-0000-0000-000000000000}"/>
  <bookViews>
    <workbookView xWindow="31170" yWindow="1650" windowWidth="19965" windowHeight="1326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F10" i="2"/>
  <c r="E10" i="2"/>
  <c r="D10" i="2"/>
  <c r="H7" i="1"/>
</calcChain>
</file>

<file path=xl/sharedStrings.xml><?xml version="1.0" encoding="utf-8"?>
<sst xmlns="http://schemas.openxmlformats.org/spreadsheetml/2006/main" count="72" uniqueCount="50">
  <si>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</si>
  <si>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</si>
  <si>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</si>
  <si>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</si>
  <si>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</si>
  <si>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</si>
  <si>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</si>
  <si>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</si>
  <si>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</si>
  <si>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</si>
  <si>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</si>
  <si>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</si>
  <si>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</si>
  <si>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</si>
  <si>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</si>
  <si>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</si>
  <si>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</si>
  <si>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</si>
  <si>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SULLIVAN, SEAN</t>
  </si>
  <si>
    <t>Viti Mercedes</t>
  </si>
  <si>
    <t>Rachel Gorham</t>
  </si>
  <si>
    <t>SDSULLY@GMAIL.COM</t>
  </si>
  <si>
    <t>BRAMLAGE</t>
  </si>
  <si>
    <t>151131332</t>
  </si>
  <si>
    <t>Route One</t>
  </si>
  <si>
    <t>Paper</t>
  </si>
  <si>
    <t>CIANCIO, YVETTE</t>
  </si>
  <si>
    <t>T F Murphy Enterprises Inc</t>
  </si>
  <si>
    <t>Neli Oliveira</t>
  </si>
  <si>
    <t>Denny</t>
  </si>
  <si>
    <t>ORLANDI, JUSTIN</t>
  </si>
  <si>
    <t>Herb Chambers Cadillac Inc</t>
  </si>
  <si>
    <t>OCEANNA.JAMISON@GMAIL.COM</t>
  </si>
  <si>
    <t>PROCACCINI</t>
  </si>
  <si>
    <t># 3</t>
  </si>
  <si>
    <t>Funding Worksheet - Signoff Version</t>
  </si>
  <si>
    <t># 1</t>
  </si>
  <si>
    <t>Original Note Delivered</t>
  </si>
  <si>
    <t>Delivered by:</t>
  </si>
  <si>
    <t>Received by:</t>
  </si>
  <si>
    <t>Date Signed: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</si>
  <si>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</si>
  <si>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</si>
  <si>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</si>
  <si>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</si>
  <si>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</si>
  <si>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</si>
  <si>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</si>
  <si>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151131316 E</t>
  </si>
  <si>
    <t>151131358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</si>
</sst>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1" xfId="0" applyBorder="1"/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0" fontId="4" fillId="0" borderId="0" xfId="0" applyFont="1"/>
    <xf numFmtId="7" fontId="4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7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E40247-AE94-40FC-B1A4-1EE6AF562226}" name="Table_15" displayName="Table_15" ref="A3:H10">
  <tableColumns count="8">
    <tableColumn id="1" xr3:uid="{913FD77F-E980-44F0-B67B-C3A8C92E94CB}" name="Dealer Name"/>
    <tableColumn id="7" xr3:uid="{D959CECD-C679-4A9E-BF8A-91047166FD6F}" name="Column1"/>
    <tableColumn id="2" xr3:uid="{039335F2-969E-4D93-8DA2-743D48F54E99}" name="Funded by"/>
    <tableColumn id="3" xr3:uid="{BD0D55EA-6B5A-46D2-B6C8-1EDBA35AF4CE}" name="Dealer Flat"/>
    <tableColumn id="4" xr3:uid="{FE06AC24-8068-48A0-91BD-42A6C89198E4}" name="Dealer Split"/>
    <tableColumn id="5" xr3:uid="{431CA8B1-EC9A-4ADD-A7C0-F10716DD2D5E}" name="Net to Dealer"/>
    <tableColumn id="8" xr3:uid="{57F9CB66-9E2E-4717-8D56-44E36C56FE5A}" name="Column2" dataDxfId="16"/>
    <tableColumn id="6" xr3:uid="{ED8C986F-0E58-4466-85C3-3EE39BAA0F5E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94B86A-4F63-4D6F-8E16-BEB049E21198}" name="Table_14" displayName="Table_14" ref="A3:E5">
  <tableColumns count="5">
    <tableColumn id="1" xr3:uid="{C237232F-4262-4865-8921-4658FB4EEC91}" name="Account Number"/>
    <tableColumn id="2" xr3:uid="{7BB793C1-AE86-4C52-9A6C-2A708FC06C8D}" name="Contract Type"/>
    <tableColumn id="3" xr3:uid="{DA9DE20F-91C3-4FAB-907D-F1A49A4AD1AC}" name="Applicant Name"/>
    <tableColumn id="4" xr3:uid="{A51A01B4-2C6A-4AC2-AF20-52525B5A8F0E}" name="Co-Applicant Name"/>
    <tableColumn id="5" xr3:uid="{4A442DFF-7CC3-4F33-98C1-F7F6A2DCE9A4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workbookViewId="0">
      <pane ySplit="3" topLeftCell="A4" activePane="bottomLeft" state="frozen"/>
      <selection pane="bottomLeft" activeCell="G15" sqref="G15"/>
    </sheetView>
  </sheetViews>
  <sheetFormatPr defaultRowHeight="15.75" x14ac:dyDescent="0.25"/>
  <cols>
    <col min="1" max="1" width="13.85546875" style="10" customWidth="1"/>
    <col min="2" max="2" width="12.140625" style="10" bestFit="1" customWidth="1"/>
    <col min="3" max="3" width="14" style="10" bestFit="1" customWidth="1"/>
    <col min="4" max="4" width="16.85546875" style="10" bestFit="1" customWidth="1"/>
    <col min="5" max="5" width="7.140625" style="10" customWidth="1"/>
    <col min="6" max="6" width="26.5703125" style="10" bestFit="1" customWidth="1"/>
    <col min="7" max="7" width="15.140625" style="10" bestFit="1" customWidth="1"/>
    <col min="8" max="8" width="17.140625" style="10" bestFit="1" customWidth="1"/>
    <col min="9" max="9" width="31.140625" style="10" bestFit="1" customWidth="1"/>
    <col min="10" max="10" width="7.42578125" style="10" customWidth="1"/>
    <col min="11" max="11" width="19.28515625" style="10" bestFit="1" customWidth="1"/>
    <col min="12" max="12" width="12.85546875" style="10" hidden="1" customWidth="1"/>
    <col min="13" max="13" width="19.28515625" style="10" hidden="1" customWidth="1"/>
    <col min="14" max="16384" width="9.140625" style="10"/>
  </cols>
  <sheetData>
    <row r="1" spans="1:13" ht="30" customHeight="1" x14ac:dyDescent="0.25">
      <c r="K1" s="11">
        <v>45652</v>
      </c>
      <c r="L1" s="10" t="s">
        <v>2</v>
      </c>
      <c r="M1" s="11">
        <v>45652.999988425923</v>
      </c>
    </row>
    <row r="2" spans="1:13" ht="30" customHeight="1" x14ac:dyDescent="0.25">
      <c r="A2" s="12" t="s">
        <v>0</v>
      </c>
      <c r="B2" s="13"/>
      <c r="C2" s="13"/>
      <c r="D2" s="13"/>
      <c r="E2" s="13"/>
      <c r="F2" s="13"/>
      <c r="G2" s="14" t="s">
        <v>1</v>
      </c>
      <c r="H2" s="13"/>
      <c r="I2" s="13"/>
      <c r="J2" s="13"/>
      <c r="K2" s="13"/>
      <c r="L2" s="13"/>
      <c r="M2" s="13"/>
    </row>
    <row r="3" spans="1:13" ht="30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</row>
    <row r="4" spans="1:13" ht="30" customHeight="1" x14ac:dyDescent="0.25">
      <c r="A4" s="10" t="s">
        <v>48</v>
      </c>
      <c r="B4" s="10" t="s">
        <v>16</v>
      </c>
      <c r="C4" s="10" t="s">
        <v>17</v>
      </c>
      <c r="D4" s="10" t="s">
        <v>18</v>
      </c>
      <c r="F4" s="10" t="s">
        <v>19</v>
      </c>
      <c r="G4" s="10" t="s">
        <v>20</v>
      </c>
      <c r="H4" s="15">
        <v>78052.92</v>
      </c>
      <c r="I4" s="10" t="s">
        <v>21</v>
      </c>
      <c r="K4" s="10" t="s">
        <v>22</v>
      </c>
    </row>
    <row r="5" spans="1:13" ht="30" customHeight="1" x14ac:dyDescent="0.25">
      <c r="A5" s="10" t="s">
        <v>23</v>
      </c>
      <c r="B5" s="10" t="s">
        <v>24</v>
      </c>
      <c r="C5" s="10" t="s">
        <v>25</v>
      </c>
      <c r="D5" s="10" t="s">
        <v>26</v>
      </c>
      <c r="F5" s="10" t="s">
        <v>27</v>
      </c>
      <c r="G5" s="10" t="s">
        <v>28</v>
      </c>
      <c r="H5" s="15">
        <v>5075</v>
      </c>
      <c r="K5" s="10" t="s">
        <v>29</v>
      </c>
    </row>
    <row r="6" spans="1:13" ht="30" customHeight="1" x14ac:dyDescent="0.25">
      <c r="A6" s="10" t="s">
        <v>49</v>
      </c>
      <c r="B6" s="10" t="s">
        <v>24</v>
      </c>
      <c r="C6" s="10" t="s">
        <v>17</v>
      </c>
      <c r="D6" s="10" t="s">
        <v>30</v>
      </c>
      <c r="F6" s="10" t="s">
        <v>31</v>
      </c>
      <c r="G6" s="10" t="s">
        <v>20</v>
      </c>
      <c r="H6" s="15">
        <v>41988.34</v>
      </c>
      <c r="I6" s="10" t="s">
        <v>32</v>
      </c>
      <c r="K6" s="10" t="s">
        <v>33</v>
      </c>
    </row>
    <row r="7" spans="1:13" ht="30" customHeight="1" x14ac:dyDescent="0.25">
      <c r="A7" s="16"/>
      <c r="B7" s="16"/>
      <c r="C7" s="16"/>
      <c r="D7" s="16" t="s">
        <v>34</v>
      </c>
      <c r="E7" s="16"/>
      <c r="F7" s="16"/>
      <c r="G7" s="16"/>
      <c r="H7" s="17">
        <f>SUM(H4:H6)</f>
        <v>125116.26</v>
      </c>
      <c r="I7" s="16"/>
      <c r="J7" s="16"/>
      <c r="K7" s="16"/>
      <c r="L7" s="16"/>
      <c r="M7" s="16"/>
    </row>
    <row r="8" spans="1:13" ht="30" customHeight="1" x14ac:dyDescent="0.25"/>
    <row r="9" spans="1:13" ht="30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8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EEA3-F717-4BD9-904E-04D18EE487EB}">
  <dimension ref="A1:H10"/>
  <sheetViews>
    <sheetView workbookViewId="0">
      <selection activeCell="J11" sqref="J11"/>
    </sheetView>
  </sheetViews>
  <sheetFormatPr defaultRowHeight="15" x14ac:dyDescent="0.25"/>
  <cols>
    <col min="1" max="1" width="25.42578125" customWidth="1"/>
    <col min="2" max="2" width="8.85546875" customWidth="1"/>
    <col min="3" max="3" width="15.42578125" customWidth="1"/>
    <col min="4" max="4" width="14.85546875" customWidth="1"/>
    <col min="5" max="5" width="13.42578125" customWidth="1"/>
    <col min="6" max="6" width="14.7109375" customWidth="1"/>
    <col min="7" max="7" width="8.85546875" customWidth="1"/>
    <col min="8" max="8" width="17.7109375" customWidth="1"/>
  </cols>
  <sheetData>
    <row r="1" spans="1:8" ht="27" customHeight="1" x14ac:dyDescent="0.25">
      <c r="E1" s="4"/>
      <c r="H1" s="6">
        <v>45652.999988425923</v>
      </c>
    </row>
    <row r="2" spans="1:8" ht="27" customHeight="1" x14ac:dyDescent="0.25">
      <c r="A2" s="7" t="s">
        <v>0</v>
      </c>
      <c r="B2" s="7"/>
      <c r="C2" s="8"/>
      <c r="D2" s="8"/>
      <c r="E2" s="9" t="s">
        <v>41</v>
      </c>
      <c r="F2" s="8"/>
      <c r="G2" s="8"/>
      <c r="H2" s="8"/>
    </row>
    <row r="3" spans="1:8" ht="27" customHeight="1" x14ac:dyDescent="0.25">
      <c r="A3" t="s">
        <v>8</v>
      </c>
      <c r="B3" t="s">
        <v>46</v>
      </c>
      <c r="C3" t="s">
        <v>9</v>
      </c>
      <c r="D3" t="s">
        <v>42</v>
      </c>
      <c r="E3" t="s">
        <v>43</v>
      </c>
      <c r="F3" t="s">
        <v>44</v>
      </c>
      <c r="G3" t="s">
        <v>47</v>
      </c>
      <c r="H3" t="s">
        <v>45</v>
      </c>
    </row>
    <row r="4" spans="1:8" ht="27" customHeight="1" x14ac:dyDescent="0.25">
      <c r="A4" t="s">
        <v>31</v>
      </c>
      <c r="C4" t="s">
        <v>20</v>
      </c>
      <c r="D4" s="2">
        <v>700</v>
      </c>
      <c r="E4" s="2">
        <v>0</v>
      </c>
      <c r="F4" s="2">
        <v>41913.339999999997</v>
      </c>
      <c r="G4" s="2"/>
      <c r="H4" s="2">
        <v>41988.34</v>
      </c>
    </row>
    <row r="5" spans="1:8" ht="27" customHeight="1" x14ac:dyDescent="0.25">
      <c r="D5" s="2"/>
      <c r="E5" s="2"/>
      <c r="F5" s="2"/>
      <c r="G5" s="2"/>
      <c r="H5" s="2"/>
    </row>
    <row r="6" spans="1:8" ht="27" customHeight="1" x14ac:dyDescent="0.25">
      <c r="A6" t="s">
        <v>27</v>
      </c>
      <c r="C6" t="s">
        <v>28</v>
      </c>
      <c r="D6" s="2">
        <v>100</v>
      </c>
      <c r="E6" s="2">
        <v>0</v>
      </c>
      <c r="F6" s="2">
        <v>5000</v>
      </c>
      <c r="G6" s="2"/>
      <c r="H6" s="2">
        <v>5075</v>
      </c>
    </row>
    <row r="7" spans="1:8" ht="27" customHeight="1" x14ac:dyDescent="0.25">
      <c r="D7" s="2"/>
      <c r="E7" s="2"/>
      <c r="F7" s="2"/>
      <c r="G7" s="2"/>
      <c r="H7" s="2"/>
    </row>
    <row r="8" spans="1:8" ht="27" customHeight="1" x14ac:dyDescent="0.25">
      <c r="A8" t="s">
        <v>19</v>
      </c>
      <c r="C8" t="s">
        <v>20</v>
      </c>
      <c r="D8" s="2">
        <v>1200</v>
      </c>
      <c r="E8" s="2">
        <v>0</v>
      </c>
      <c r="F8" s="2">
        <v>77977.919999999998</v>
      </c>
      <c r="G8" s="2"/>
      <c r="H8" s="2">
        <v>78052.92</v>
      </c>
    </row>
    <row r="9" spans="1:8" ht="19.5" customHeight="1" x14ac:dyDescent="0.25">
      <c r="D9" s="2"/>
      <c r="E9" s="2"/>
      <c r="F9" s="2"/>
      <c r="G9" s="2"/>
      <c r="H9" s="2"/>
    </row>
    <row r="10" spans="1:8" ht="27" customHeight="1" x14ac:dyDescent="0.25">
      <c r="A10" s="1"/>
      <c r="B10" s="1"/>
      <c r="C10" s="1"/>
      <c r="D10" s="3">
        <f>SUM(D4:D8)</f>
        <v>2000</v>
      </c>
      <c r="E10" s="3">
        <f>SUM(E4:E8)</f>
        <v>0</v>
      </c>
      <c r="F10" s="3">
        <f>SUM(F4:F8)</f>
        <v>124891.26</v>
      </c>
      <c r="G10" s="3"/>
      <c r="H10" s="3">
        <f>SUM(H4:H8)</f>
        <v>125116.26</v>
      </c>
    </row>
  </sheetData>
  <mergeCells count="2">
    <mergeCell ref="A2:D2"/>
    <mergeCell ref="E2:H2"/>
  </mergeCells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A39C-D581-4B50-B56F-FF5309E23CD0}">
  <dimension ref="A1:E20"/>
  <sheetViews>
    <sheetView workbookViewId="0">
      <selection activeCell="D21" sqref="D21"/>
    </sheetView>
  </sheetViews>
  <sheetFormatPr defaultRowHeight="15" x14ac:dyDescent="0.25"/>
  <cols>
    <col min="1" max="1" width="17.140625" customWidth="1"/>
    <col min="2" max="2" width="11.7109375" customWidth="1"/>
    <col min="3" max="3" width="17.85546875" customWidth="1"/>
    <col min="4" max="4" width="12.7109375" customWidth="1"/>
    <col min="5" max="5" width="25.5703125" customWidth="1"/>
  </cols>
  <sheetData>
    <row r="1" spans="1:5" ht="22.5" customHeight="1" x14ac:dyDescent="0.25">
      <c r="A1" t="s">
        <v>37</v>
      </c>
      <c r="D1" s="4"/>
    </row>
    <row r="2" spans="1:5" ht="27" customHeight="1" x14ac:dyDescent="0.25">
      <c r="A2" s="7" t="s">
        <v>0</v>
      </c>
      <c r="B2" s="8"/>
      <c r="C2" s="8"/>
      <c r="D2" s="9" t="s">
        <v>35</v>
      </c>
      <c r="E2" s="8"/>
    </row>
    <row r="3" spans="1:5" ht="27" customHeight="1" x14ac:dyDescent="0.25">
      <c r="A3" t="s">
        <v>3</v>
      </c>
      <c r="B3" t="s">
        <v>5</v>
      </c>
      <c r="C3" t="s">
        <v>6</v>
      </c>
      <c r="D3" t="s">
        <v>7</v>
      </c>
      <c r="E3" t="s">
        <v>8</v>
      </c>
    </row>
    <row r="4" spans="1:5" ht="27" customHeight="1" x14ac:dyDescent="0.25">
      <c r="A4" t="s">
        <v>23</v>
      </c>
      <c r="B4" t="s">
        <v>25</v>
      </c>
      <c r="C4" t="s">
        <v>26</v>
      </c>
      <c r="E4" t="s">
        <v>27</v>
      </c>
    </row>
    <row r="5" spans="1:5" ht="27" customHeight="1" x14ac:dyDescent="0.25">
      <c r="A5" s="1"/>
      <c r="B5" s="1"/>
      <c r="C5" s="1" t="s">
        <v>36</v>
      </c>
      <c r="D5" s="1"/>
      <c r="E5" s="1"/>
    </row>
    <row r="6" spans="1:5" ht="27" customHeight="1" x14ac:dyDescent="0.25"/>
    <row r="10" spans="1:5" x14ac:dyDescent="0.25">
      <c r="A10" t="s">
        <v>38</v>
      </c>
      <c r="B10" s="5"/>
      <c r="C10" s="5"/>
      <c r="D10" s="5"/>
    </row>
    <row r="15" spans="1:5" x14ac:dyDescent="0.25">
      <c r="A15" t="s">
        <v>39</v>
      </c>
      <c r="B15" s="5"/>
      <c r="C15" s="5"/>
      <c r="D15" s="5"/>
    </row>
    <row r="20" spans="1:3" x14ac:dyDescent="0.25">
      <c r="A20" t="s">
        <v>40</v>
      </c>
      <c r="B20" s="5"/>
      <c r="C20" s="5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2024-12-26T19:03:39Z</cp:lastPrinted>
  <dcterms:created xsi:type="dcterms:W3CDTF">2024-12-26T18:30:07Z</dcterms:created>
  <dcterms:modified xsi:type="dcterms:W3CDTF">2024-12-26T19:20:53Z</dcterms:modified>
</cp:coreProperties>
</file>