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94DB313-C5CE-45C1-98E0-EB4C7D9382CC}" xr6:coauthVersionLast="47" xr6:coauthVersionMax="47" xr10:uidLastSave="{00000000-0000-0000-0000-000000000000}"/>
  <bookViews>
    <workbookView xWindow="30675" yWindow="1395" windowWidth="25875" windowHeight="13650" xr2:uid="{00000000-000D-0000-FFFF-FFFF00000000}"/>
  </bookViews>
  <sheets>
    <sheet name="Funding Worksheet - Folder Vers" sheetId="1" r:id="rId1"/>
    <sheet name="Funding Worksheet - ACH" sheetId="2" r:id="rId2"/>
    <sheet name="Original Note Log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H15" i="2"/>
  <c r="F15" i="2"/>
  <c r="E15" i="2"/>
  <c r="D15" i="2"/>
  <c r="H10" i="1"/>
</calcChain>
</file>

<file path=xl/sharedStrings.xml><?xml version="1.0" encoding="utf-8"?>
<sst xmlns="http://schemas.openxmlformats.org/spreadsheetml/2006/main" count="106" uniqueCount="63">
  <si>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</si>
  <si>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</si>
  <si>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</si>
  <si>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</si>
  <si>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</si>
  <si>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</si>
  <si>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</si>
  <si>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</si>
  <si>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</si>
  <si>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</si>
  <si>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</si>
  <si>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</si>
  <si>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</si>
  <si>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</si>
  <si>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</si>
  <si>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</si>
  <si>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</si>
  <si>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Baker, Kevin</t>
  </si>
  <si>
    <t>Mathieu Ford Sales, Inc</t>
  </si>
  <si>
    <t>Neli Oliveira</t>
  </si>
  <si>
    <t>nevik06@hotmail.com</t>
  </si>
  <si>
    <t>STARCK</t>
  </si>
  <si>
    <t>151142941</t>
  </si>
  <si>
    <t>DealerTrack</t>
  </si>
  <si>
    <t>Paper</t>
  </si>
  <si>
    <t>SMITH, MICHAEL</t>
  </si>
  <si>
    <t>Planet Automotive Sales LLC</t>
  </si>
  <si>
    <t>MICHAELFSMITH05@GMAIL.COM</t>
  </si>
  <si>
    <t>BALOGA</t>
  </si>
  <si>
    <t>ZIOBRO, JUSTIN</t>
  </si>
  <si>
    <t>Alden Buick Pontiac GMC</t>
  </si>
  <si>
    <t>Rachel Gorham</t>
  </si>
  <si>
    <t>JUSTINZIOBRO@COMCAST.NET</t>
  </si>
  <si>
    <t>GAUTHIER</t>
  </si>
  <si>
    <t>LOPES, GEOFFREY</t>
  </si>
  <si>
    <t>Mastria Buick Pontiac</t>
  </si>
  <si>
    <t>PRADA</t>
  </si>
  <si>
    <t>151143072</t>
  </si>
  <si>
    <t>LAKE, ANDREW</t>
  </si>
  <si>
    <t>T F Murphy Enterprises Inc</t>
  </si>
  <si>
    <t>ANDREWLAKE06@GMAIL.COM</t>
  </si>
  <si>
    <t>BAILEY</t>
  </si>
  <si>
    <t>ALMEIDA, MICHAEL</t>
  </si>
  <si>
    <t>CABRAL</t>
  </si>
  <si>
    <t># 6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</si>
  <si>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</si>
  <si>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</si>
  <si>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</si>
  <si>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</si>
  <si>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</si>
  <si>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</si>
  <si>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151142917 E</t>
  </si>
  <si>
    <t>151142967 E</t>
  </si>
  <si>
    <t>151142983 E</t>
  </si>
  <si>
    <t>151143147 E</t>
  </si>
  <si>
    <t>Column1</t>
  </si>
  <si>
    <t>Column2</t>
  </si>
  <si>
    <t>4453-2150</t>
  </si>
  <si>
    <t># 2</t>
  </si>
  <si>
    <t>Delivered by:</t>
  </si>
  <si>
    <t>Received by:</t>
  </si>
  <si>
    <t xml:space="preserve">Date Signed: 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</si>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</sst>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0" headerRowDxfId="13" dataDxfId="11" totalsRowDxfId="12">
  <tableColumns count="13">
    <tableColumn id="1" xr3:uid="{00000000-0010-0000-0000-000001000000}" name="Account Number" dataDxfId="26"/>
    <tableColumn id="2" xr3:uid="{00000000-0010-0000-0000-000002000000}" name="Portal" dataDxfId="25"/>
    <tableColumn id="3" xr3:uid="{00000000-0010-0000-0000-000003000000}" name="Contract Type" dataDxfId="24"/>
    <tableColumn id="4" xr3:uid="{00000000-0010-0000-0000-000004000000}" name="Applicant Name" dataDxfId="23"/>
    <tableColumn id="5" xr3:uid="{00000000-0010-0000-0000-000005000000}" name="Co-Applicant Name" dataDxfId="22"/>
    <tableColumn id="6" xr3:uid="{00000000-0010-0000-0000-000006000000}" name="Dealer Name" dataDxfId="21"/>
    <tableColumn id="7" xr3:uid="{00000000-0010-0000-0000-000007000000}" name="Funded by" dataDxfId="20"/>
    <tableColumn id="8" xr3:uid="{00000000-0010-0000-0000-000008000000}" name="Amount Financed" dataDxfId="19"/>
    <tableColumn id="9" xr3:uid="{00000000-0010-0000-0000-000009000000}" name="Applicant Email" dataDxfId="18"/>
    <tableColumn id="10" xr3:uid="{00000000-0010-0000-0000-00000A000000}" name="Co-Applicant Email" dataDxfId="17"/>
    <tableColumn id="11" xr3:uid="{00000000-0010-0000-0000-00000B000000}" name="App MMN" dataDxfId="16"/>
    <tableColumn id="12" xr3:uid="{00000000-0010-0000-0000-00000C000000}" name="Co-App MMN" dataDxfId="15"/>
    <tableColumn id="13" xr3:uid="{00000000-0010-0000-0000-00000D000000}" name="Business Name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7E2B69-FC6E-4031-B6C2-50865B4F1FB7}" name="Table_14" displayName="Table_14" ref="A3:H15" headerRowDxfId="2" dataDxfId="0" totalsRowDxfId="1">
  <tableColumns count="8">
    <tableColumn id="1" xr3:uid="{451E2273-AB42-456B-8087-98802E804580}" name="Dealer Name" dataDxfId="10"/>
    <tableColumn id="8" xr3:uid="{35421420-A5F2-4C0B-B3CD-451AA85F3A89}" name="Column2" dataDxfId="9"/>
    <tableColumn id="2" xr3:uid="{8A34D3ED-7C9E-4303-8B2A-E9FEF5596F4C}" name="Funded by" dataDxfId="8"/>
    <tableColumn id="3" xr3:uid="{E9104D77-2072-4DF6-83A2-DC7F14C296CF}" name="Dealer Flat" dataDxfId="7"/>
    <tableColumn id="4" xr3:uid="{21A319DA-9EBE-4008-885C-B2F6831BDB7D}" name="Dealer Split" dataDxfId="6"/>
    <tableColumn id="5" xr3:uid="{CC30B268-565A-480C-B990-29E43D626FA3}" name="Net to Dealer" dataDxfId="5"/>
    <tableColumn id="7" xr3:uid="{FB75BA3C-E514-47BE-8109-F03C8396A5EE}" name="Column1" dataDxfId="4"/>
    <tableColumn id="6" xr3:uid="{F6C8334A-8081-486C-B450-8C16427D30F0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E8B55B-C504-4CA1-A3AC-47BEF1FC038F}" name="Table_15" displayName="Table_15" ref="A3:F6">
  <tableColumns count="6">
    <tableColumn id="1" xr3:uid="{3EB1CEE9-BEC6-4D26-AB1B-77DC4F53BD09}" name="Account Number"/>
    <tableColumn id="2" xr3:uid="{54098BB9-967A-45DC-9E83-1984ED30FCEB}" name="Contract Type"/>
    <tableColumn id="3" xr3:uid="{64A69F54-0724-4B7C-B20F-0D6CDDFE6DC8}" name="Applicant Name"/>
    <tableColumn id="4" xr3:uid="{5589E5CE-637C-4D99-A4D4-E26339579985}" name="Co-Applicant Name"/>
    <tableColumn id="5" xr3:uid="{C0F42823-5E47-4D38-8474-A8A3179EE479}" name="Dealer Name"/>
    <tableColumn id="6" xr3:uid="{46011894-37FC-45FD-A9B6-9F8B221B9CCA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"/>
  <sheetViews>
    <sheetView tabSelected="1" workbookViewId="0">
      <pane ySplit="3" topLeftCell="A4" activePane="bottomLeft" state="frozen"/>
      <selection pane="bottomLeft" activeCell="F16" sqref="F16"/>
    </sheetView>
  </sheetViews>
  <sheetFormatPr defaultRowHeight="15.75" x14ac:dyDescent="0.25"/>
  <cols>
    <col min="1" max="1" width="11.42578125" style="6" customWidth="1"/>
    <col min="2" max="2" width="12.140625" style="6" bestFit="1" customWidth="1"/>
    <col min="3" max="3" width="14" style="6" bestFit="1" customWidth="1"/>
    <col min="4" max="4" width="18.7109375" style="6" bestFit="1" customWidth="1"/>
    <col min="5" max="5" width="5" style="6" customWidth="1"/>
    <col min="6" max="6" width="27.28515625" style="6" bestFit="1" customWidth="1"/>
    <col min="7" max="7" width="15.140625" style="6" bestFit="1" customWidth="1"/>
    <col min="8" max="8" width="17.140625" style="6" bestFit="1" customWidth="1"/>
    <col min="9" max="9" width="31" style="6" bestFit="1" customWidth="1"/>
    <col min="10" max="10" width="4.5703125" style="6" customWidth="1"/>
    <col min="11" max="11" width="16.7109375" style="6" bestFit="1" customWidth="1"/>
    <col min="12" max="12" width="12.85546875" style="6" hidden="1" customWidth="1"/>
    <col min="13" max="13" width="16.7109375" style="6" hidden="1" customWidth="1"/>
    <col min="14" max="16384" width="9.140625" style="6"/>
  </cols>
  <sheetData>
    <row r="1" spans="1:13" x14ac:dyDescent="0.25">
      <c r="K1" s="14">
        <v>45685</v>
      </c>
      <c r="M1" s="7"/>
    </row>
    <row r="2" spans="1:13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  <c r="M2" s="9"/>
    </row>
    <row r="3" spans="1:13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</row>
    <row r="4" spans="1:13" ht="30" customHeight="1" x14ac:dyDescent="0.25">
      <c r="A4" s="6" t="s">
        <v>51</v>
      </c>
      <c r="B4" s="6" t="s">
        <v>15</v>
      </c>
      <c r="C4" s="6" t="s">
        <v>16</v>
      </c>
      <c r="D4" s="6" t="s">
        <v>17</v>
      </c>
      <c r="F4" s="6" t="s">
        <v>18</v>
      </c>
      <c r="G4" s="6" t="s">
        <v>19</v>
      </c>
      <c r="H4" s="11">
        <v>13051.88</v>
      </c>
      <c r="I4" s="6" t="s">
        <v>20</v>
      </c>
      <c r="K4" s="6" t="s">
        <v>21</v>
      </c>
    </row>
    <row r="5" spans="1:13" ht="30" customHeight="1" x14ac:dyDescent="0.25">
      <c r="A5" s="6" t="s">
        <v>22</v>
      </c>
      <c r="B5" s="6" t="s">
        <v>23</v>
      </c>
      <c r="C5" s="6" t="s">
        <v>24</v>
      </c>
      <c r="D5" s="6" t="s">
        <v>25</v>
      </c>
      <c r="F5" s="6" t="s">
        <v>26</v>
      </c>
      <c r="G5" s="6" t="s">
        <v>19</v>
      </c>
      <c r="H5" s="11">
        <v>30526.06</v>
      </c>
      <c r="I5" s="6" t="s">
        <v>27</v>
      </c>
      <c r="K5" s="6" t="s">
        <v>28</v>
      </c>
    </row>
    <row r="6" spans="1:13" ht="30" customHeight="1" x14ac:dyDescent="0.25">
      <c r="A6" s="6" t="s">
        <v>52</v>
      </c>
      <c r="B6" s="6" t="s">
        <v>15</v>
      </c>
      <c r="C6" s="6" t="s">
        <v>16</v>
      </c>
      <c r="D6" s="6" t="s">
        <v>29</v>
      </c>
      <c r="F6" s="6" t="s">
        <v>30</v>
      </c>
      <c r="G6" s="6" t="s">
        <v>31</v>
      </c>
      <c r="H6" s="11">
        <v>34552.81</v>
      </c>
      <c r="I6" s="6" t="s">
        <v>32</v>
      </c>
      <c r="K6" s="6" t="s">
        <v>33</v>
      </c>
    </row>
    <row r="7" spans="1:13" ht="30" customHeight="1" x14ac:dyDescent="0.25">
      <c r="A7" s="6" t="s">
        <v>53</v>
      </c>
      <c r="B7" s="6" t="s">
        <v>15</v>
      </c>
      <c r="C7" s="6" t="s">
        <v>16</v>
      </c>
      <c r="D7" s="6" t="s">
        <v>34</v>
      </c>
      <c r="F7" s="6" t="s">
        <v>35</v>
      </c>
      <c r="G7" s="6" t="s">
        <v>19</v>
      </c>
      <c r="H7" s="11">
        <v>40000</v>
      </c>
      <c r="K7" s="6" t="s">
        <v>36</v>
      </c>
    </row>
    <row r="8" spans="1:13" ht="30" customHeight="1" x14ac:dyDescent="0.25">
      <c r="A8" s="6" t="s">
        <v>37</v>
      </c>
      <c r="B8" s="6" t="s">
        <v>15</v>
      </c>
      <c r="C8" s="6" t="s">
        <v>24</v>
      </c>
      <c r="D8" s="6" t="s">
        <v>38</v>
      </c>
      <c r="F8" s="6" t="s">
        <v>39</v>
      </c>
      <c r="G8" s="6" t="s">
        <v>31</v>
      </c>
      <c r="H8" s="11">
        <v>31603.13</v>
      </c>
      <c r="I8" s="6" t="s">
        <v>40</v>
      </c>
      <c r="K8" s="6" t="s">
        <v>41</v>
      </c>
    </row>
    <row r="9" spans="1:13" ht="30" customHeight="1" x14ac:dyDescent="0.25">
      <c r="A9" s="6" t="s">
        <v>54</v>
      </c>
      <c r="B9" s="6" t="s">
        <v>15</v>
      </c>
      <c r="C9" s="6" t="s">
        <v>16</v>
      </c>
      <c r="D9" s="6" t="s">
        <v>42</v>
      </c>
      <c r="F9" s="6" t="s">
        <v>30</v>
      </c>
      <c r="G9" s="6" t="s">
        <v>19</v>
      </c>
      <c r="H9" s="11">
        <v>24389.38</v>
      </c>
      <c r="K9" s="6" t="s">
        <v>43</v>
      </c>
    </row>
    <row r="10" spans="1:13" x14ac:dyDescent="0.25">
      <c r="A10" s="12"/>
      <c r="B10" s="12"/>
      <c r="C10" s="12"/>
      <c r="D10" s="12" t="s">
        <v>44</v>
      </c>
      <c r="E10" s="12"/>
      <c r="F10" s="12"/>
      <c r="G10" s="12"/>
      <c r="H10" s="13">
        <f>SUM(H4:H9)</f>
        <v>174123.26</v>
      </c>
      <c r="I10" s="12"/>
      <c r="J10" s="12"/>
      <c r="K10" s="12"/>
      <c r="L10" s="12"/>
      <c r="M10" s="12"/>
    </row>
  </sheetData>
  <mergeCells count="2">
    <mergeCell ref="A2:F2"/>
    <mergeCell ref="G2:M2"/>
  </mergeCells>
  <pageMargins left="0.7" right="0.7" top="0.75" bottom="0.75" header="0.3" footer="0.3"/>
  <pageSetup paperSize="5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33F8-E32A-4F1E-AB51-6BC76CAEC9FA}">
  <sheetPr>
    <pageSetUpPr fitToPage="1"/>
  </sheetPr>
  <dimension ref="A1:H15"/>
  <sheetViews>
    <sheetView workbookViewId="0">
      <selection activeCell="L11" sqref="L11"/>
    </sheetView>
  </sheetViews>
  <sheetFormatPr defaultRowHeight="15.75" x14ac:dyDescent="0.25"/>
  <cols>
    <col min="1" max="1" width="22.85546875" style="6" customWidth="1"/>
    <col min="2" max="2" width="12.28515625" style="6" customWidth="1"/>
    <col min="3" max="3" width="20.42578125" style="6" customWidth="1"/>
    <col min="4" max="4" width="16.42578125" style="6" customWidth="1"/>
    <col min="5" max="5" width="20" style="6" customWidth="1"/>
    <col min="6" max="6" width="15.140625" style="6" customWidth="1"/>
    <col min="7" max="7" width="15.42578125" style="6" customWidth="1"/>
    <col min="8" max="8" width="19" style="6" customWidth="1"/>
    <col min="9" max="16384" width="9.140625" style="6"/>
  </cols>
  <sheetData>
    <row r="1" spans="1:8" x14ac:dyDescent="0.25">
      <c r="E1" s="7"/>
      <c r="H1" s="7">
        <v>45685.999988425923</v>
      </c>
    </row>
    <row r="2" spans="1:8" x14ac:dyDescent="0.25">
      <c r="A2" s="8" t="s">
        <v>0</v>
      </c>
      <c r="B2" s="8"/>
      <c r="C2" s="9"/>
      <c r="D2" s="9"/>
      <c r="E2" s="10" t="s">
        <v>45</v>
      </c>
      <c r="F2" s="9"/>
      <c r="G2" s="9"/>
      <c r="H2" s="9"/>
    </row>
    <row r="3" spans="1:8" x14ac:dyDescent="0.25">
      <c r="A3" s="6" t="s">
        <v>7</v>
      </c>
      <c r="B3" s="6" t="s">
        <v>56</v>
      </c>
      <c r="C3" s="6" t="s">
        <v>8</v>
      </c>
      <c r="D3" s="6" t="s">
        <v>46</v>
      </c>
      <c r="E3" s="6" t="s">
        <v>47</v>
      </c>
      <c r="F3" s="6" t="s">
        <v>48</v>
      </c>
      <c r="G3" s="6" t="s">
        <v>55</v>
      </c>
      <c r="H3" s="6" t="s">
        <v>49</v>
      </c>
    </row>
    <row r="4" spans="1:8" ht="27" customHeight="1" x14ac:dyDescent="0.25">
      <c r="A4" s="6" t="s">
        <v>30</v>
      </c>
      <c r="C4" s="6" t="s">
        <v>31</v>
      </c>
      <c r="D4" s="11">
        <v>600</v>
      </c>
      <c r="E4" s="11">
        <v>0</v>
      </c>
      <c r="F4" s="11">
        <v>34477.81</v>
      </c>
      <c r="G4" s="11"/>
      <c r="H4" s="11">
        <v>34552.81</v>
      </c>
    </row>
    <row r="5" spans="1:8" ht="27" customHeight="1" x14ac:dyDescent="0.25">
      <c r="A5" s="6" t="s">
        <v>30</v>
      </c>
      <c r="C5" s="6" t="s">
        <v>19</v>
      </c>
      <c r="D5" s="11">
        <v>450</v>
      </c>
      <c r="E5" s="11">
        <v>0</v>
      </c>
      <c r="F5" s="11">
        <v>24314.38</v>
      </c>
      <c r="G5" s="11">
        <f>SUM(F4:F5)</f>
        <v>58792.19</v>
      </c>
      <c r="H5" s="11">
        <v>24389.38</v>
      </c>
    </row>
    <row r="6" spans="1:8" ht="27" customHeight="1" x14ac:dyDescent="0.25">
      <c r="D6" s="11"/>
      <c r="E6" s="11"/>
      <c r="F6" s="11"/>
      <c r="G6" s="11"/>
      <c r="H6" s="11"/>
    </row>
    <row r="7" spans="1:8" ht="27" customHeight="1" x14ac:dyDescent="0.25">
      <c r="A7" s="6" t="s">
        <v>35</v>
      </c>
      <c r="B7" s="15" t="s">
        <v>57</v>
      </c>
      <c r="C7" s="6" t="s">
        <v>19</v>
      </c>
      <c r="D7" s="11">
        <v>700</v>
      </c>
      <c r="E7" s="11">
        <v>0</v>
      </c>
      <c r="F7" s="11">
        <v>39925</v>
      </c>
      <c r="G7" s="11"/>
      <c r="H7" s="11">
        <v>40000</v>
      </c>
    </row>
    <row r="8" spans="1:8" ht="27" customHeight="1" x14ac:dyDescent="0.25">
      <c r="B8" s="15"/>
      <c r="D8" s="11"/>
      <c r="E8" s="11"/>
      <c r="F8" s="11"/>
      <c r="G8" s="11"/>
      <c r="H8" s="11"/>
    </row>
    <row r="9" spans="1:8" ht="27" customHeight="1" x14ac:dyDescent="0.25">
      <c r="A9" s="6" t="s">
        <v>18</v>
      </c>
      <c r="C9" s="6" t="s">
        <v>19</v>
      </c>
      <c r="D9" s="11">
        <v>200</v>
      </c>
      <c r="E9" s="11">
        <v>0</v>
      </c>
      <c r="F9" s="11">
        <v>12976.88</v>
      </c>
      <c r="G9" s="11"/>
      <c r="H9" s="11">
        <v>13051.88</v>
      </c>
    </row>
    <row r="10" spans="1:8" ht="27" customHeight="1" x14ac:dyDescent="0.25">
      <c r="D10" s="11"/>
      <c r="E10" s="11"/>
      <c r="F10" s="11"/>
      <c r="G10" s="11"/>
      <c r="H10" s="11"/>
    </row>
    <row r="11" spans="1:8" ht="27" customHeight="1" x14ac:dyDescent="0.25">
      <c r="A11" s="6" t="s">
        <v>26</v>
      </c>
      <c r="C11" s="6" t="s">
        <v>19</v>
      </c>
      <c r="D11" s="11">
        <v>600</v>
      </c>
      <c r="E11" s="11">
        <v>0</v>
      </c>
      <c r="F11" s="11">
        <v>30451.06</v>
      </c>
      <c r="G11" s="11"/>
      <c r="H11" s="11">
        <v>30526.06</v>
      </c>
    </row>
    <row r="12" spans="1:8" ht="27" customHeight="1" x14ac:dyDescent="0.25">
      <c r="D12" s="11"/>
      <c r="E12" s="11"/>
      <c r="F12" s="11"/>
      <c r="G12" s="11"/>
      <c r="H12" s="11"/>
    </row>
    <row r="13" spans="1:8" ht="27" customHeight="1" x14ac:dyDescent="0.25">
      <c r="A13" s="6" t="s">
        <v>39</v>
      </c>
      <c r="C13" s="6" t="s">
        <v>31</v>
      </c>
      <c r="D13" s="11">
        <v>600</v>
      </c>
      <c r="E13" s="11">
        <v>0</v>
      </c>
      <c r="F13" s="11">
        <v>31528.13</v>
      </c>
      <c r="G13" s="11"/>
      <c r="H13" s="11">
        <v>31603.13</v>
      </c>
    </row>
    <row r="14" spans="1:8" x14ac:dyDescent="0.25">
      <c r="D14" s="11"/>
      <c r="E14" s="11"/>
      <c r="F14" s="11"/>
      <c r="G14" s="11"/>
      <c r="H14" s="11"/>
    </row>
    <row r="15" spans="1:8" x14ac:dyDescent="0.25">
      <c r="A15" s="12"/>
      <c r="B15" s="12"/>
      <c r="C15" s="12"/>
      <c r="D15" s="13">
        <f>SUM(D4:D13)</f>
        <v>3150</v>
      </c>
      <c r="E15" s="13">
        <f>SUM(E4:E13)</f>
        <v>0</v>
      </c>
      <c r="F15" s="13">
        <f>SUM(F4:F13)</f>
        <v>173673.26</v>
      </c>
      <c r="G15" s="13"/>
      <c r="H15" s="13">
        <f>SUM(H4:H13)</f>
        <v>174123.26</v>
      </c>
    </row>
  </sheetData>
  <mergeCells count="2">
    <mergeCell ref="A2:D2"/>
    <mergeCell ref="E2:H2"/>
  </mergeCells>
  <pageMargins left="0.7" right="0.2" top="0.75" bottom="0.75" header="0.3" footer="0.3"/>
  <pageSetup scale="8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C01A-6F7A-4241-8E68-23777A3ABFC1}">
  <sheetPr>
    <pageSetUpPr fitToPage="1"/>
  </sheetPr>
  <dimension ref="A1:F21"/>
  <sheetViews>
    <sheetView workbookViewId="0">
      <selection activeCell="D22" sqref="D21:D22"/>
    </sheetView>
  </sheetViews>
  <sheetFormatPr defaultRowHeight="15" x14ac:dyDescent="0.25"/>
  <cols>
    <col min="1" max="1" width="14" customWidth="1"/>
    <col min="2" max="2" width="12.28515625" customWidth="1"/>
    <col min="3" max="4" width="14" customWidth="1"/>
    <col min="5" max="5" width="13.42578125" customWidth="1"/>
    <col min="6" max="6" width="16.28515625" customWidth="1"/>
  </cols>
  <sheetData>
    <row r="1" spans="1:6" ht="17.25" customHeight="1" x14ac:dyDescent="0.25">
      <c r="A1" t="s">
        <v>62</v>
      </c>
      <c r="D1" s="2"/>
      <c r="F1" s="2">
        <v>45685.999988425923</v>
      </c>
    </row>
    <row r="2" spans="1:6" ht="24.95" customHeight="1" x14ac:dyDescent="0.25">
      <c r="A2" s="3" t="s">
        <v>0</v>
      </c>
      <c r="B2" s="4"/>
      <c r="C2" s="4"/>
      <c r="D2" s="5" t="s">
        <v>50</v>
      </c>
      <c r="E2" s="4"/>
      <c r="F2" s="4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22</v>
      </c>
      <c r="B4" t="s">
        <v>24</v>
      </c>
      <c r="C4" t="s">
        <v>25</v>
      </c>
      <c r="E4" t="s">
        <v>26</v>
      </c>
    </row>
    <row r="5" spans="1:6" ht="24.95" customHeight="1" x14ac:dyDescent="0.25">
      <c r="A5" t="s">
        <v>37</v>
      </c>
      <c r="B5" t="s">
        <v>24</v>
      </c>
      <c r="C5" t="s">
        <v>38</v>
      </c>
      <c r="E5" t="s">
        <v>39</v>
      </c>
    </row>
    <row r="6" spans="1:6" ht="24.95" customHeight="1" x14ac:dyDescent="0.25">
      <c r="A6" s="1"/>
      <c r="B6" s="1"/>
      <c r="C6" s="1" t="s">
        <v>58</v>
      </c>
      <c r="D6" s="1"/>
      <c r="E6" s="1"/>
      <c r="F6" s="1"/>
    </row>
    <row r="11" spans="1:6" x14ac:dyDescent="0.25">
      <c r="A11" t="s">
        <v>59</v>
      </c>
      <c r="B11" s="16"/>
      <c r="C11" s="16"/>
      <c r="D11" s="16"/>
    </row>
    <row r="16" spans="1:6" x14ac:dyDescent="0.25">
      <c r="A16" t="s">
        <v>60</v>
      </c>
      <c r="B16" s="16"/>
      <c r="C16" s="16"/>
      <c r="D16" s="16"/>
    </row>
    <row r="21" spans="1:3" x14ac:dyDescent="0.25">
      <c r="A21" t="s">
        <v>61</v>
      </c>
      <c r="B21" s="16"/>
      <c r="C21" s="16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2025-01-28T19:23:58Z</cp:lastPrinted>
  <dcterms:created xsi:type="dcterms:W3CDTF">2025-01-28T19:12:09Z</dcterms:created>
  <dcterms:modified xsi:type="dcterms:W3CDTF">2025-01-28T19:33:29Z</dcterms:modified>
</cp:coreProperties>
</file>