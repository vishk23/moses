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310F0F5A-5D23-4423-84E2-8F51332C52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F9" i="1"/>
  <c r="F15" i="1"/>
  <c r="F22" i="1"/>
  <c r="H23" i="1"/>
  <c r="E23" i="1"/>
  <c r="D23" i="1"/>
  <c r="C23" i="1"/>
</calcChain>
</file>

<file path=xl/sharedStrings.xml><?xml version="1.0" encoding="utf-8"?>
<sst xmlns="http://schemas.openxmlformats.org/spreadsheetml/2006/main" count="180" uniqueCount="94">
  <si>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</si>
  <si>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</si>
  <si>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</si>
  <si>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</si>
  <si>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</si>
  <si>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</si>
  <si>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</si>
  <si>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</si>
  <si>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</si>
  <si>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</si>
  <si>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</si>
  <si>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Rachel Gorham</t>
  </si>
  <si>
    <t>First Hyundai</t>
  </si>
  <si>
    <t>Lucchettis Service Center Inc</t>
  </si>
  <si>
    <t>NARSA AMC LLC d/b/a</t>
  </si>
  <si>
    <t>Patriot Auto Group Inc d/b/a</t>
  </si>
  <si>
    <t>Priority Automotive LLC</t>
  </si>
  <si>
    <t>Neli Oliveira</t>
  </si>
  <si>
    <t>Richard Lundgren, Inc. d/b/a</t>
  </si>
  <si>
    <t>Volvo of Tiverton</t>
  </si>
  <si>
    <t>Column1</t>
  </si>
  <si>
    <t>Column2</t>
  </si>
  <si>
    <t># 12</t>
  </si>
  <si>
    <t>MARMILLION</t>
  </si>
  <si>
    <t>JREZELL11@GMAIL.COM</t>
  </si>
  <si>
    <t>EZELL, JOHNATHAN</t>
  </si>
  <si>
    <t>E Contract</t>
  </si>
  <si>
    <t>Route One</t>
  </si>
  <si>
    <t>151231942E</t>
  </si>
  <si>
    <t>ORLANDO</t>
  </si>
  <si>
    <t>faysuccess3@aol.com</t>
  </si>
  <si>
    <t>FAY, JAMES</t>
  </si>
  <si>
    <t>151231934E</t>
  </si>
  <si>
    <t>VAHEY</t>
  </si>
  <si>
    <t>MEREDITHANTHONY4474@GMAIL.COM</t>
  </si>
  <si>
    <t>BLUHM, ROBERTA</t>
  </si>
  <si>
    <t>DealerTrack</t>
  </si>
  <si>
    <t>151231926E</t>
  </si>
  <si>
    <t>RONKINS</t>
  </si>
  <si>
    <t>DSCOTTEDDY1@MSN.COM</t>
  </si>
  <si>
    <t>EDDY, DONALD</t>
  </si>
  <si>
    <t>Paper</t>
  </si>
  <si>
    <t>SINGER</t>
  </si>
  <si>
    <t>KARENSLEMKE@GMAIL.COM</t>
  </si>
  <si>
    <t>LEMKE, KAREN</t>
  </si>
  <si>
    <t>151231869</t>
  </si>
  <si>
    <t>Lee</t>
  </si>
  <si>
    <t>BANGMCD@GMAIL.COM</t>
  </si>
  <si>
    <t>MCDAVITT, LISA</t>
  </si>
  <si>
    <t>151231760E</t>
  </si>
  <si>
    <t>MATTERAZZO</t>
  </si>
  <si>
    <t>JWEBER1765@YAHOO.COM</t>
  </si>
  <si>
    <t>WEBER, JACQUALINE</t>
  </si>
  <si>
    <t>151231736E</t>
  </si>
  <si>
    <t>ANDERSON</t>
  </si>
  <si>
    <t>bwhit3048@gmail.com</t>
  </si>
  <si>
    <t>WHITMAN, BRYNDA</t>
  </si>
  <si>
    <t>151231728E</t>
  </si>
  <si>
    <t>JACOBSEN</t>
  </si>
  <si>
    <t>KVIKING1129@GMAIL.COM</t>
  </si>
  <si>
    <t>SOVIK, KARL</t>
  </si>
  <si>
    <t>151231702E</t>
  </si>
  <si>
    <t>FABROSKI</t>
  </si>
  <si>
    <t>lmln1967@gmail.com</t>
  </si>
  <si>
    <t>NICKERSON, LISA</t>
  </si>
  <si>
    <t>151231695E</t>
  </si>
  <si>
    <t>PINEO</t>
  </si>
  <si>
    <t>LANE</t>
  </si>
  <si>
    <t>PEGGYJOUBERT571@YAHOO.COM</t>
  </si>
  <si>
    <t>JOUBERT, MARGARET</t>
  </si>
  <si>
    <t>JOUBERT, LEO</t>
  </si>
  <si>
    <t>151231687</t>
  </si>
  <si>
    <t>LARGTOA</t>
  </si>
  <si>
    <t>HKSPORTS23@GMAIL.COM</t>
  </si>
  <si>
    <t>KABAT, HARRISON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</si>
  <si>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</si>
  <si>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</si>
  <si>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</si>
  <si>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</si>
  <si>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</si>
  <si>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</si>
  <si>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</si>
  <si>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</si>
  <si>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</si>
  <si>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</si>
  <si>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</si>
  <si>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Signed________________________________________________________________</t>
  </si>
  <si>
    <t>Received BY__________________________________________________________________________________________</t>
  </si>
  <si>
    <t>Delivered By_________________________________________________________________________________________</t>
  </si>
  <si>
    <t># 3</t>
  </si>
  <si>
    <t>151231877</t>
  </si>
  <si>
    <t>151231679</t>
  </si>
  <si>
    <t>Funding Worksheet - Signoff Version</t>
  </si>
  <si>
    <t>2330     8209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</si>
</sst>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2" fillId="0" borderId="0" xfId="1" applyFill="1" applyAlignment="1">
      <alignment horizontal="lef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9742D672-A299-4A3D-A64B-3ECA3678B28F}"/>
  </cellStyles>
  <dxfs count="2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3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815D6C52-F974-4FB5-B619-A3818DF5B16D}" name="Column1" dataDxfId="23"/>
    <tableColumn id="8" xr3:uid="{C14B1CBC-2618-4783-B954-C151463E466A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079DBA-75A9-4A48-A57A-4E85F3A4A50C}" name="Table_13" displayName="Table_13" ref="A3:L16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D9C1E5-478D-429A-968F-1FD42E18C22F}" name="Table_14" displayName="Table_14" ref="A3:E8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tabSelected="1" workbookViewId="0">
      <pane ySplit="3" topLeftCell="A4" activePane="bottomLeft" state="frozen"/>
      <selection pane="bottomLeft" activeCell="E6" sqref="E6"/>
    </sheetView>
  </sheetViews>
  <sheetFormatPr defaultRowHeight="15" x14ac:dyDescent="0.25"/>
  <cols>
    <col min="1" max="1" width="27.85546875" bestFit="1" customWidth="1"/>
    <col min="2" max="2" width="15.140625" bestFit="1" customWidth="1"/>
    <col min="3" max="3" width="11.140625" bestFit="1" customWidth="1"/>
    <col min="4" max="4" width="16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45933</v>
      </c>
      <c r="E1" t="s">
        <v>2</v>
      </c>
      <c r="H1" s="4">
        <v>45933.999988425923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20</v>
      </c>
      <c r="G3" t="s">
        <v>21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23261.439999999999</v>
      </c>
      <c r="F4" s="2"/>
      <c r="G4" s="2"/>
      <c r="H4" s="2">
        <v>23336.44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650</v>
      </c>
      <c r="D6" s="2">
        <v>0</v>
      </c>
      <c r="E6" s="2">
        <v>22298.75</v>
      </c>
      <c r="F6" s="2"/>
      <c r="G6" s="2" t="s">
        <v>93</v>
      </c>
      <c r="H6" s="2">
        <v>22373.75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11</v>
      </c>
      <c r="C8" s="2">
        <v>500</v>
      </c>
      <c r="D8" s="2">
        <v>0</v>
      </c>
      <c r="E8" s="2">
        <v>19240.189999999999</v>
      </c>
      <c r="F8" s="2"/>
      <c r="G8" s="2"/>
      <c r="H8" s="2">
        <v>19315.189999999999</v>
      </c>
    </row>
    <row r="9" spans="1:8" x14ac:dyDescent="0.25">
      <c r="A9" t="s">
        <v>13</v>
      </c>
      <c r="B9" t="s">
        <v>11</v>
      </c>
      <c r="C9" s="2">
        <v>850</v>
      </c>
      <c r="D9" s="2">
        <v>0</v>
      </c>
      <c r="E9" s="2">
        <v>32006.25</v>
      </c>
      <c r="F9" s="2">
        <f>SUM(E8:E9)</f>
        <v>51246.44</v>
      </c>
      <c r="G9" s="2"/>
      <c r="H9" s="2">
        <v>32081.25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14</v>
      </c>
      <c r="B11" t="s">
        <v>11</v>
      </c>
      <c r="C11" s="2">
        <v>500</v>
      </c>
      <c r="D11" s="2">
        <v>0</v>
      </c>
      <c r="E11" s="2">
        <v>16947.189999999999</v>
      </c>
      <c r="F11" s="2"/>
      <c r="G11" s="2"/>
      <c r="H11" s="2">
        <v>17022.189999999999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15</v>
      </c>
      <c r="B13" t="s">
        <v>11</v>
      </c>
      <c r="C13" s="2">
        <v>950</v>
      </c>
      <c r="D13" s="2">
        <v>0</v>
      </c>
      <c r="E13" s="2">
        <v>39531.69</v>
      </c>
      <c r="F13" s="2"/>
      <c r="G13" s="2"/>
      <c r="H13" s="2">
        <v>39606.69</v>
      </c>
    </row>
    <row r="14" spans="1:8" x14ac:dyDescent="0.25">
      <c r="A14" t="s">
        <v>15</v>
      </c>
      <c r="B14" t="s">
        <v>11</v>
      </c>
      <c r="C14" s="2">
        <v>950</v>
      </c>
      <c r="D14" s="2">
        <v>0</v>
      </c>
      <c r="E14" s="2">
        <v>38018.629999999997</v>
      </c>
      <c r="F14" s="2"/>
      <c r="G14" s="2"/>
      <c r="H14" s="2">
        <v>38093.629999999997</v>
      </c>
    </row>
    <row r="15" spans="1:8" x14ac:dyDescent="0.25">
      <c r="A15" t="s">
        <v>15</v>
      </c>
      <c r="B15" t="s">
        <v>11</v>
      </c>
      <c r="C15" s="2">
        <v>850</v>
      </c>
      <c r="D15" s="2">
        <v>0</v>
      </c>
      <c r="E15" s="2">
        <v>32532.63</v>
      </c>
      <c r="F15" s="2">
        <f>SUM(E13:E15)</f>
        <v>110082.95000000001</v>
      </c>
      <c r="G15" s="2"/>
      <c r="H15" s="2">
        <v>32607.63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16</v>
      </c>
      <c r="B17" t="s">
        <v>17</v>
      </c>
      <c r="C17" s="2">
        <v>750</v>
      </c>
      <c r="D17" s="2">
        <v>0</v>
      </c>
      <c r="E17" s="2">
        <v>25059.96</v>
      </c>
      <c r="F17" s="2"/>
      <c r="G17" s="2"/>
      <c r="H17" s="2">
        <v>25134.959999999999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18</v>
      </c>
      <c r="B19" t="s">
        <v>11</v>
      </c>
      <c r="C19" s="2">
        <v>300</v>
      </c>
      <c r="D19" s="2">
        <v>0</v>
      </c>
      <c r="E19" s="2">
        <v>11780.94</v>
      </c>
      <c r="F19" s="2"/>
      <c r="G19" s="2"/>
      <c r="H19" s="2">
        <v>11855.94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19</v>
      </c>
      <c r="B21" t="s">
        <v>17</v>
      </c>
      <c r="C21" s="2">
        <v>1150</v>
      </c>
      <c r="D21" s="2">
        <v>0</v>
      </c>
      <c r="E21" s="2">
        <v>49483.85</v>
      </c>
      <c r="F21" s="2"/>
      <c r="G21" s="2"/>
      <c r="H21" s="2">
        <v>49558.85</v>
      </c>
    </row>
    <row r="22" spans="1:8" x14ac:dyDescent="0.25">
      <c r="A22" t="s">
        <v>19</v>
      </c>
      <c r="B22" t="s">
        <v>17</v>
      </c>
      <c r="C22" s="2">
        <v>1050</v>
      </c>
      <c r="D22" s="2">
        <v>0</v>
      </c>
      <c r="E22" s="2">
        <v>43431.87</v>
      </c>
      <c r="F22" s="2">
        <f>SUM(E21:E22)</f>
        <v>92915.72</v>
      </c>
      <c r="G22" s="2"/>
      <c r="H22" s="2">
        <v>43506.87</v>
      </c>
    </row>
    <row r="23" spans="1:8" x14ac:dyDescent="0.25">
      <c r="A23" s="1"/>
      <c r="B23" s="1"/>
      <c r="C23" s="3">
        <f>SUM(C4:C22)</f>
        <v>9150</v>
      </c>
      <c r="D23" s="3">
        <f>SUM(D4:D22)</f>
        <v>0</v>
      </c>
      <c r="E23" s="3">
        <f>SUM(E4:E22)</f>
        <v>353593.39</v>
      </c>
      <c r="F23" s="3"/>
      <c r="G23" s="3"/>
      <c r="H23" s="3">
        <f>SUM(H4:H22)</f>
        <v>354493.39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91CB-7190-41ED-8D4D-076FD6467945}">
  <sheetPr>
    <pageSetUpPr fitToPage="1"/>
  </sheetPr>
  <dimension ref="A1:L19"/>
  <sheetViews>
    <sheetView workbookViewId="0">
      <pane ySplit="3" topLeftCell="A4" activePane="bottomLeft" state="frozen"/>
      <selection pane="bottomLeft" activeCell="A4" sqref="A4:A15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0.140625" style="8" bestFit="1" customWidth="1"/>
    <col min="5" max="5" width="20.7109375" style="8" bestFit="1" customWidth="1"/>
    <col min="6" max="6" width="27.85546875" style="8" bestFit="1" customWidth="1"/>
    <col min="7" max="7" width="15.140625" style="8" bestFit="1" customWidth="1"/>
    <col min="8" max="8" width="17.140625" style="8" bestFit="1" customWidth="1"/>
    <col min="9" max="9" width="37" style="8" bestFit="1" customWidth="1"/>
    <col min="10" max="10" width="32.28515625" style="8" bestFit="1" customWidth="1"/>
    <col min="11" max="11" width="16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45933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85</v>
      </c>
      <c r="H2" s="12"/>
      <c r="I2" s="12"/>
      <c r="J2" s="12"/>
      <c r="K2" s="12"/>
      <c r="L2" s="12"/>
    </row>
    <row r="3" spans="1:12" ht="35.1" customHeight="1" x14ac:dyDescent="0.25">
      <c r="A3" s="9" t="s">
        <v>84</v>
      </c>
      <c r="B3" s="9" t="s">
        <v>83</v>
      </c>
      <c r="C3" s="9" t="s">
        <v>82</v>
      </c>
      <c r="D3" s="9" t="s">
        <v>81</v>
      </c>
      <c r="E3" s="9" t="s">
        <v>80</v>
      </c>
      <c r="F3" s="9" t="s">
        <v>4</v>
      </c>
      <c r="G3" s="9" t="s">
        <v>5</v>
      </c>
      <c r="H3" s="9" t="s">
        <v>79</v>
      </c>
      <c r="I3" s="9" t="s">
        <v>78</v>
      </c>
      <c r="J3" s="9" t="s">
        <v>77</v>
      </c>
      <c r="K3" s="9" t="s">
        <v>76</v>
      </c>
      <c r="L3" s="9" t="s">
        <v>75</v>
      </c>
    </row>
    <row r="4" spans="1:12" ht="35.1" customHeight="1" x14ac:dyDescent="0.25">
      <c r="A4" s="14">
        <v>151231679</v>
      </c>
      <c r="B4" s="9" t="s">
        <v>36</v>
      </c>
      <c r="C4" s="9" t="s">
        <v>41</v>
      </c>
      <c r="D4" s="9" t="s">
        <v>74</v>
      </c>
      <c r="E4" s="9"/>
      <c r="F4" s="9" t="s">
        <v>14</v>
      </c>
      <c r="G4" s="9" t="s">
        <v>11</v>
      </c>
      <c r="H4" s="15">
        <v>17022.189999999999</v>
      </c>
      <c r="I4" s="9" t="s">
        <v>73</v>
      </c>
      <c r="J4" s="9"/>
      <c r="K4" s="9" t="s">
        <v>72</v>
      </c>
      <c r="L4" s="9"/>
    </row>
    <row r="5" spans="1:12" ht="35.1" customHeight="1" x14ac:dyDescent="0.25">
      <c r="A5" s="9" t="s">
        <v>71</v>
      </c>
      <c r="B5" s="9" t="s">
        <v>36</v>
      </c>
      <c r="C5" s="9" t="s">
        <v>41</v>
      </c>
      <c r="D5" s="9" t="s">
        <v>70</v>
      </c>
      <c r="E5" s="9" t="s">
        <v>69</v>
      </c>
      <c r="F5" s="9" t="s">
        <v>16</v>
      </c>
      <c r="G5" s="9" t="s">
        <v>17</v>
      </c>
      <c r="H5" s="15">
        <v>25134.959999999999</v>
      </c>
      <c r="I5" s="9"/>
      <c r="J5" s="9" t="s">
        <v>68</v>
      </c>
      <c r="K5" s="9" t="s">
        <v>67</v>
      </c>
      <c r="L5" s="9" t="s">
        <v>66</v>
      </c>
    </row>
    <row r="6" spans="1:12" ht="35.1" customHeight="1" x14ac:dyDescent="0.25">
      <c r="A6" s="9" t="s">
        <v>65</v>
      </c>
      <c r="B6" s="9" t="s">
        <v>27</v>
      </c>
      <c r="C6" s="9" t="s">
        <v>26</v>
      </c>
      <c r="D6" s="9" t="s">
        <v>64</v>
      </c>
      <c r="E6" s="9"/>
      <c r="F6" s="9" t="s">
        <v>15</v>
      </c>
      <c r="G6" s="9" t="s">
        <v>11</v>
      </c>
      <c r="H6" s="15">
        <v>39606.69</v>
      </c>
      <c r="I6" s="9" t="s">
        <v>63</v>
      </c>
      <c r="J6" s="9"/>
      <c r="K6" s="9" t="s">
        <v>62</v>
      </c>
      <c r="L6" s="9"/>
    </row>
    <row r="7" spans="1:12" ht="35.1" customHeight="1" x14ac:dyDescent="0.25">
      <c r="A7" s="9" t="s">
        <v>61</v>
      </c>
      <c r="B7" s="9" t="s">
        <v>27</v>
      </c>
      <c r="C7" s="9" t="s">
        <v>26</v>
      </c>
      <c r="D7" s="9" t="s">
        <v>60</v>
      </c>
      <c r="E7" s="9"/>
      <c r="F7" s="9" t="s">
        <v>10</v>
      </c>
      <c r="G7" s="9" t="s">
        <v>11</v>
      </c>
      <c r="H7" s="15">
        <v>23336.44</v>
      </c>
      <c r="I7" s="9" t="s">
        <v>59</v>
      </c>
      <c r="J7" s="9"/>
      <c r="K7" s="9" t="s">
        <v>58</v>
      </c>
      <c r="L7" s="9"/>
    </row>
    <row r="8" spans="1:12" ht="35.1" customHeight="1" x14ac:dyDescent="0.25">
      <c r="A8" s="9" t="s">
        <v>57</v>
      </c>
      <c r="B8" s="9" t="s">
        <v>27</v>
      </c>
      <c r="C8" s="9" t="s">
        <v>26</v>
      </c>
      <c r="D8" s="9" t="s">
        <v>56</v>
      </c>
      <c r="E8" s="9"/>
      <c r="F8" s="9" t="s">
        <v>15</v>
      </c>
      <c r="G8" s="9" t="s">
        <v>11</v>
      </c>
      <c r="H8" s="15">
        <v>32607.63</v>
      </c>
      <c r="I8" s="9" t="s">
        <v>55</v>
      </c>
      <c r="J8" s="9"/>
      <c r="K8" s="9" t="s">
        <v>54</v>
      </c>
      <c r="L8" s="9"/>
    </row>
    <row r="9" spans="1:12" ht="35.1" customHeight="1" x14ac:dyDescent="0.25">
      <c r="A9" s="9" t="s">
        <v>53</v>
      </c>
      <c r="B9" s="9" t="s">
        <v>27</v>
      </c>
      <c r="C9" s="9" t="s">
        <v>26</v>
      </c>
      <c r="D9" s="9" t="s">
        <v>52</v>
      </c>
      <c r="E9" s="9"/>
      <c r="F9" s="9" t="s">
        <v>13</v>
      </c>
      <c r="G9" s="9" t="s">
        <v>11</v>
      </c>
      <c r="H9" s="15">
        <v>32081.25</v>
      </c>
      <c r="I9" s="9" t="s">
        <v>51</v>
      </c>
      <c r="J9" s="9"/>
      <c r="K9" s="9" t="s">
        <v>50</v>
      </c>
      <c r="L9" s="9"/>
    </row>
    <row r="10" spans="1:12" ht="35.1" customHeight="1" x14ac:dyDescent="0.25">
      <c r="A10" s="9" t="s">
        <v>49</v>
      </c>
      <c r="B10" s="9" t="s">
        <v>36</v>
      </c>
      <c r="C10" s="9" t="s">
        <v>26</v>
      </c>
      <c r="D10" s="9" t="s">
        <v>48</v>
      </c>
      <c r="E10" s="9"/>
      <c r="F10" s="9" t="s">
        <v>18</v>
      </c>
      <c r="G10" s="9" t="s">
        <v>11</v>
      </c>
      <c r="H10" s="15">
        <v>11855.94</v>
      </c>
      <c r="I10" s="9" t="s">
        <v>47</v>
      </c>
      <c r="J10" s="9"/>
      <c r="K10" s="9" t="s">
        <v>46</v>
      </c>
      <c r="L10" s="9"/>
    </row>
    <row r="11" spans="1:12" ht="35.1" customHeight="1" x14ac:dyDescent="0.25">
      <c r="A11" s="9" t="s">
        <v>45</v>
      </c>
      <c r="B11" s="9" t="s">
        <v>36</v>
      </c>
      <c r="C11" s="9" t="s">
        <v>41</v>
      </c>
      <c r="D11" s="9" t="s">
        <v>44</v>
      </c>
      <c r="E11" s="9"/>
      <c r="F11" s="9" t="s">
        <v>19</v>
      </c>
      <c r="G11" s="9" t="s">
        <v>17</v>
      </c>
      <c r="H11" s="15">
        <v>49558.85</v>
      </c>
      <c r="I11" s="9" t="s">
        <v>43</v>
      </c>
      <c r="J11" s="9"/>
      <c r="K11" s="9" t="s">
        <v>42</v>
      </c>
      <c r="L11" s="9"/>
    </row>
    <row r="12" spans="1:12" ht="35.1" customHeight="1" x14ac:dyDescent="0.25">
      <c r="A12" s="14">
        <v>151231877</v>
      </c>
      <c r="B12" s="9" t="s">
        <v>36</v>
      </c>
      <c r="C12" s="9" t="s">
        <v>41</v>
      </c>
      <c r="D12" s="9" t="s">
        <v>40</v>
      </c>
      <c r="E12" s="9"/>
      <c r="F12" s="9" t="s">
        <v>19</v>
      </c>
      <c r="G12" s="9" t="s">
        <v>17</v>
      </c>
      <c r="H12" s="15">
        <v>43506.87</v>
      </c>
      <c r="I12" s="9" t="s">
        <v>39</v>
      </c>
      <c r="J12" s="9"/>
      <c r="K12" s="9" t="s">
        <v>38</v>
      </c>
      <c r="L12" s="9"/>
    </row>
    <row r="13" spans="1:12" ht="35.1" customHeight="1" x14ac:dyDescent="0.25">
      <c r="A13" s="14" t="s">
        <v>37</v>
      </c>
      <c r="B13" s="9" t="s">
        <v>36</v>
      </c>
      <c r="C13" s="9" t="s">
        <v>26</v>
      </c>
      <c r="D13" s="9" t="s">
        <v>35</v>
      </c>
      <c r="E13" s="9"/>
      <c r="F13" s="9" t="s">
        <v>12</v>
      </c>
      <c r="G13" s="9" t="s">
        <v>11</v>
      </c>
      <c r="H13" s="15">
        <v>22373.75</v>
      </c>
      <c r="I13" s="9" t="s">
        <v>34</v>
      </c>
      <c r="J13" s="9"/>
      <c r="K13" s="9" t="s">
        <v>33</v>
      </c>
      <c r="L13" s="9"/>
    </row>
    <row r="14" spans="1:12" ht="35.1" customHeight="1" x14ac:dyDescent="0.25">
      <c r="A14" s="9" t="s">
        <v>32</v>
      </c>
      <c r="B14" s="9" t="s">
        <v>27</v>
      </c>
      <c r="C14" s="9" t="s">
        <v>26</v>
      </c>
      <c r="D14" s="9" t="s">
        <v>31</v>
      </c>
      <c r="E14" s="9"/>
      <c r="F14" s="9" t="s">
        <v>15</v>
      </c>
      <c r="G14" s="9" t="s">
        <v>11</v>
      </c>
      <c r="H14" s="15">
        <v>38093.629999999997</v>
      </c>
      <c r="I14" s="9" t="s">
        <v>30</v>
      </c>
      <c r="J14" s="9"/>
      <c r="K14" s="9" t="s">
        <v>29</v>
      </c>
      <c r="L14" s="9"/>
    </row>
    <row r="15" spans="1:12" ht="35.1" customHeight="1" x14ac:dyDescent="0.25">
      <c r="A15" s="9" t="s">
        <v>28</v>
      </c>
      <c r="B15" s="9" t="s">
        <v>27</v>
      </c>
      <c r="C15" s="9" t="s">
        <v>26</v>
      </c>
      <c r="D15" s="9" t="s">
        <v>25</v>
      </c>
      <c r="E15" s="9"/>
      <c r="F15" s="9" t="s">
        <v>13</v>
      </c>
      <c r="G15" s="9" t="s">
        <v>11</v>
      </c>
      <c r="H15" s="15">
        <v>19315.189999999999</v>
      </c>
      <c r="I15" s="9" t="s">
        <v>24</v>
      </c>
      <c r="J15" s="9"/>
      <c r="K15" s="9" t="s">
        <v>23</v>
      </c>
      <c r="L15" s="9"/>
    </row>
    <row r="16" spans="1:12" ht="35.1" customHeight="1" x14ac:dyDescent="0.25">
      <c r="A16" s="16"/>
      <c r="B16" s="16"/>
      <c r="C16" s="16"/>
      <c r="D16" s="16" t="s">
        <v>22</v>
      </c>
      <c r="E16" s="16"/>
      <c r="F16" s="16"/>
      <c r="G16" s="16"/>
      <c r="H16" s="17">
        <f>SUM(H4:H15)</f>
        <v>354493.39</v>
      </c>
      <c r="I16" s="16"/>
      <c r="J16" s="16"/>
      <c r="K16" s="16"/>
      <c r="L16" s="16"/>
    </row>
    <row r="17" spans="1:12" ht="35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35.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5.1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</sheetData>
  <mergeCells count="2">
    <mergeCell ref="A2:F2"/>
    <mergeCell ref="G2:L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7EA7-8477-4631-9458-9809CC25A86F}">
  <sheetPr>
    <pageSetUpPr fitToPage="1"/>
  </sheetPr>
  <dimension ref="A1:E25"/>
  <sheetViews>
    <sheetView workbookViewId="0">
      <pane ySplit="3" topLeftCell="A4" activePane="bottomLeft" state="frozen"/>
      <selection pane="bottomLeft" activeCell="E25" sqref="A1:E25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0.140625" style="8" bestFit="1" customWidth="1"/>
    <col min="4" max="4" width="20.7109375" style="8" bestFit="1" customWidth="1"/>
    <col min="5" max="5" width="27.855468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45933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92</v>
      </c>
      <c r="E2" s="12"/>
    </row>
    <row r="3" spans="1:5" x14ac:dyDescent="0.25">
      <c r="A3" s="9" t="s">
        <v>84</v>
      </c>
      <c r="B3" s="9" t="s">
        <v>82</v>
      </c>
      <c r="C3" s="9" t="s">
        <v>81</v>
      </c>
      <c r="D3" s="9" t="s">
        <v>80</v>
      </c>
      <c r="E3" s="9" t="s">
        <v>4</v>
      </c>
    </row>
    <row r="4" spans="1:5" x14ac:dyDescent="0.25">
      <c r="A4" s="9" t="s">
        <v>91</v>
      </c>
      <c r="B4" s="9" t="s">
        <v>41</v>
      </c>
      <c r="C4" s="9" t="s">
        <v>74</v>
      </c>
      <c r="D4" s="9"/>
      <c r="E4" s="9" t="s">
        <v>14</v>
      </c>
    </row>
    <row r="5" spans="1:5" x14ac:dyDescent="0.25">
      <c r="A5" s="9" t="s">
        <v>71</v>
      </c>
      <c r="B5" s="9" t="s">
        <v>41</v>
      </c>
      <c r="C5" s="9" t="s">
        <v>70</v>
      </c>
      <c r="D5" s="9" t="s">
        <v>69</v>
      </c>
      <c r="E5" s="9" t="s">
        <v>16</v>
      </c>
    </row>
    <row r="6" spans="1:5" x14ac:dyDescent="0.25">
      <c r="A6" s="9" t="s">
        <v>45</v>
      </c>
      <c r="B6" s="9" t="s">
        <v>41</v>
      </c>
      <c r="C6" s="9" t="s">
        <v>44</v>
      </c>
      <c r="D6" s="9"/>
      <c r="E6" s="9" t="s">
        <v>19</v>
      </c>
    </row>
    <row r="7" spans="1:5" x14ac:dyDescent="0.25">
      <c r="A7" s="9" t="s">
        <v>90</v>
      </c>
      <c r="B7" s="9" t="s">
        <v>41</v>
      </c>
      <c r="C7" s="9" t="s">
        <v>40</v>
      </c>
      <c r="D7" s="9"/>
      <c r="E7" s="9" t="s">
        <v>19</v>
      </c>
    </row>
    <row r="8" spans="1:5" x14ac:dyDescent="0.25">
      <c r="A8" s="16"/>
      <c r="B8" s="16"/>
      <c r="C8" s="16" t="s">
        <v>89</v>
      </c>
      <c r="D8" s="16"/>
      <c r="E8" s="16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88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87</v>
      </c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 t="s">
        <v>86</v>
      </c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</sheetData>
  <mergeCells count="2">
    <mergeCell ref="A2:C2"/>
    <mergeCell ref="D2:E2"/>
  </mergeCells>
  <pageMargins left="0.7" right="0.7" top="0.75" bottom="0.75" header="0.3" footer="0.3"/>
  <pageSetup scale="9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2025-10-03T18:22:36Z</cp:lastPrinted>
  <dcterms:created xsi:type="dcterms:W3CDTF">2025-10-03T18:14:31Z</dcterms:created>
  <dcterms:modified xsi:type="dcterms:W3CDTF">2025-10-03T18:41:44Z</dcterms:modified>
</cp:coreProperties>
</file>