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61F40ABC-5133-43E2-A7CB-F6CAF4AC1EE5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F9" i="1"/>
  <c r="F22" i="1"/>
  <c r="F27" i="1"/>
  <c r="H28" i="1"/>
  <c r="E28" i="1"/>
  <c r="D28" i="1"/>
  <c r="C28" i="1"/>
</calcChain>
</file>

<file path=xl/sharedStrings.xml><?xml version="1.0" encoding="utf-8"?>
<sst xmlns="http://schemas.openxmlformats.org/spreadsheetml/2006/main" count="187" uniqueCount="101">
  <si>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</si>
  <si>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</si>
  <si>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</si>
  <si>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</si>
  <si>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</si>
  <si>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</si>
  <si>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</si>
  <si>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</si>
  <si>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</si>
  <si>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</si>
  <si>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AutoMax Preowned(Framingham)</t>
  </si>
  <si>
    <t>Marlene Braganca</t>
  </si>
  <si>
    <t>Bourne Enterprises Inc</t>
  </si>
  <si>
    <t>Coastal Volkswagon</t>
  </si>
  <si>
    <t>Grieco Toyota</t>
  </si>
  <si>
    <t>Metro Honda</t>
  </si>
  <si>
    <t>Patriot Auto Group Inc d/b/a</t>
  </si>
  <si>
    <t>Richard Lundgren, Inc. d/b/a</t>
  </si>
  <si>
    <t>Sandy Motors, Inc</t>
  </si>
  <si>
    <t>Neli Oliveira</t>
  </si>
  <si>
    <t>T F Murphy Enterprises Inc</t>
  </si>
  <si>
    <t>Volvo of Tiverton</t>
  </si>
  <si>
    <t>Wareham Ford</t>
  </si>
  <si>
    <t>Column1</t>
  </si>
  <si>
    <t>Column2</t>
  </si>
  <si>
    <t># 14</t>
  </si>
  <si>
    <t>Carbone</t>
  </si>
  <si>
    <t>kaylacirone@yahoo.com</t>
  </si>
  <si>
    <t>CIRONE, KAYLA</t>
  </si>
  <si>
    <t>Paper</t>
  </si>
  <si>
    <t>DealerTrack</t>
  </si>
  <si>
    <t>151218320</t>
  </si>
  <si>
    <t>Calderon</t>
  </si>
  <si>
    <t>maryannvasquezcruz@gmail.com</t>
  </si>
  <si>
    <t>VASQUEZ-CRUZ, MARYANN</t>
  </si>
  <si>
    <t>VASQUEZ-CRUZ, VIRGINIA</t>
  </si>
  <si>
    <t>E Contract</t>
  </si>
  <si>
    <t>Route One</t>
  </si>
  <si>
    <t>ALBANESE</t>
  </si>
  <si>
    <t>RUFFINI</t>
  </si>
  <si>
    <t>RACHEL_SWEENEY@COMCAST.NET</t>
  </si>
  <si>
    <t>SWEENEY, GERALD</t>
  </si>
  <si>
    <t>SWEENEY, RACHEL</t>
  </si>
  <si>
    <t>Patykula</t>
  </si>
  <si>
    <t>MGK48@COX.NET</t>
  </si>
  <si>
    <t>KENNEDY, MARY</t>
  </si>
  <si>
    <t>Fecteau</t>
  </si>
  <si>
    <t>PAUL.ARCH@MAC.COM</t>
  </si>
  <si>
    <t>ARCHAMBEAULT, PAUL</t>
  </si>
  <si>
    <t>LACORCIA</t>
  </si>
  <si>
    <t>DGIORDANO314@GMAIL.COM</t>
  </si>
  <si>
    <t>GIORDANO, DAWN</t>
  </si>
  <si>
    <t>STRATTON</t>
  </si>
  <si>
    <t>RAINEY, ROBERT</t>
  </si>
  <si>
    <t>151218221</t>
  </si>
  <si>
    <t>COSTA</t>
  </si>
  <si>
    <t>ACR22168@AOL.COM</t>
  </si>
  <si>
    <t>RESENDES, ADRIANO</t>
  </si>
  <si>
    <t>151218213</t>
  </si>
  <si>
    <t>Bowen</t>
  </si>
  <si>
    <t>RICKTIBBETTS62@GMAIL.COM</t>
  </si>
  <si>
    <t>TIBBETTS, RICHARD</t>
  </si>
  <si>
    <t>Duhamel</t>
  </si>
  <si>
    <t>dfolkard@aol.com</t>
  </si>
  <si>
    <t>FOLKARD, DEBORAH</t>
  </si>
  <si>
    <t>JAGGERS</t>
  </si>
  <si>
    <t>lstill1@msn.com</t>
  </si>
  <si>
    <t>STILL, LISA</t>
  </si>
  <si>
    <t>Giannattasio</t>
  </si>
  <si>
    <t>FARINA, ALFRED</t>
  </si>
  <si>
    <t>Pelletier</t>
  </si>
  <si>
    <t>TROTT, ANDREW</t>
  </si>
  <si>
    <t>Dennehy</t>
  </si>
  <si>
    <t>BALL, MICHAEL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</si>
  <si>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</si>
  <si>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</si>
  <si>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</si>
  <si>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</si>
  <si>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</si>
  <si>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</si>
  <si>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</si>
  <si>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</si>
  <si>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</si>
  <si>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</si>
  <si>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</si>
  <si>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151217934E</t>
  </si>
  <si>
    <t>151218015E</t>
  </si>
  <si>
    <t>151218073E</t>
  </si>
  <si>
    <t>151218099E</t>
  </si>
  <si>
    <t>151218106E</t>
  </si>
  <si>
    <t>151218114E</t>
  </si>
  <si>
    <t>151218239E</t>
  </si>
  <si>
    <t>151218247E</t>
  </si>
  <si>
    <t>151218263E</t>
  </si>
  <si>
    <t>151218271E</t>
  </si>
  <si>
    <t>151218289E</t>
  </si>
  <si>
    <t>Funding Worksheet - Signoff Version</t>
  </si>
  <si>
    <t># 1</t>
  </si>
  <si>
    <t>delivered By___________________________________________________________________</t>
  </si>
  <si>
    <t>Received By___________________________________________________________________</t>
  </si>
  <si>
    <t>Date Signed________________________________________________________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</si>
</sst>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</cellXfs>
  <cellStyles count="3">
    <cellStyle name="Normal" xfId="0" builtinId="0"/>
    <cellStyle name="Normal 2" xfId="1" xr:uid="{148AE938-488A-404F-8BA7-78C2828CCAE2}"/>
    <cellStyle name="Normal 3" xfId="2" xr:uid="{CCA32333-C967-4C76-8DDB-FF29B72DC68C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CF303309-D681-47E6-AF4F-3A59FCBB9210}" name="Column1" dataDxfId="24"/>
    <tableColumn id="8" xr3:uid="{13541AD5-F82D-419D-AA29-49F73DDA51C2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707D91-798B-49F9-B4B0-EDD7DD04EF3E}" name="Table_13" displayName="Table_13" ref="A3:L18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C4C3B1-6297-4FAE-A205-43046FAE8D55}" name="Table_14" displayName="Table_14" ref="A3:E5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tabSelected="1" workbookViewId="0">
      <pane ySplit="3" topLeftCell="A4" activePane="bottomLeft" state="frozen"/>
      <selection pane="bottomLeft" activeCell="F27" sqref="F27"/>
    </sheetView>
  </sheetViews>
  <sheetFormatPr defaultRowHeight="15" x14ac:dyDescent="0.25"/>
  <cols>
    <col min="1" max="1" width="31.85546875" bestFit="1" customWidth="1"/>
    <col min="2" max="2" width="17.7109375" bestFit="1" customWidth="1"/>
    <col min="3" max="3" width="11.140625" bestFit="1" customWidth="1"/>
    <col min="4" max="4" width="16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45896</v>
      </c>
      <c r="E1" t="s">
        <v>2</v>
      </c>
      <c r="H1" s="4">
        <v>45896.999988425923</v>
      </c>
    </row>
    <row r="2" spans="1:8" x14ac:dyDescent="0.25">
      <c r="A2" s="15" t="s">
        <v>0</v>
      </c>
      <c r="B2" s="16"/>
      <c r="C2" s="16"/>
      <c r="D2" s="17" t="s">
        <v>1</v>
      </c>
      <c r="E2" s="16"/>
      <c r="F2" s="16"/>
      <c r="G2" s="16"/>
      <c r="H2" s="1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23</v>
      </c>
      <c r="G3" t="s">
        <v>24</v>
      </c>
      <c r="H3" t="s">
        <v>9</v>
      </c>
    </row>
    <row r="4" spans="1:8" x14ac:dyDescent="0.25">
      <c r="A4" t="s">
        <v>10</v>
      </c>
      <c r="B4" t="s">
        <v>11</v>
      </c>
      <c r="C4" s="2">
        <v>850</v>
      </c>
      <c r="D4" s="2">
        <v>0</v>
      </c>
      <c r="E4" s="2">
        <v>31145.56</v>
      </c>
      <c r="F4" s="2"/>
      <c r="G4" s="2"/>
      <c r="H4" s="2">
        <v>31220.560000000001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650</v>
      </c>
      <c r="D6" s="2">
        <v>0</v>
      </c>
      <c r="E6" s="2">
        <v>21309.88</v>
      </c>
      <c r="F6" s="2"/>
      <c r="G6" s="2"/>
      <c r="H6" s="2">
        <v>21384.880000000001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11</v>
      </c>
      <c r="C8" s="2">
        <v>950</v>
      </c>
      <c r="D8" s="2">
        <v>0</v>
      </c>
      <c r="E8" s="2">
        <v>35508.19</v>
      </c>
      <c r="F8" s="2"/>
      <c r="G8" s="2"/>
      <c r="H8" s="2">
        <v>35583.19</v>
      </c>
    </row>
    <row r="9" spans="1:8" x14ac:dyDescent="0.25">
      <c r="A9" t="s">
        <v>13</v>
      </c>
      <c r="B9" t="s">
        <v>11</v>
      </c>
      <c r="C9" s="2">
        <v>1050</v>
      </c>
      <c r="D9" s="2">
        <v>0</v>
      </c>
      <c r="E9" s="2">
        <v>42448.13</v>
      </c>
      <c r="F9" s="2">
        <f>SUM(E8:E9)</f>
        <v>77956.320000000007</v>
      </c>
      <c r="G9" s="2"/>
      <c r="H9" s="2">
        <v>42523.13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14</v>
      </c>
      <c r="B11" t="s">
        <v>11</v>
      </c>
      <c r="C11" s="2">
        <v>850</v>
      </c>
      <c r="D11" s="2">
        <v>0</v>
      </c>
      <c r="E11" s="2">
        <v>29929.23</v>
      </c>
      <c r="F11" s="2"/>
      <c r="G11" s="2"/>
      <c r="H11" s="2">
        <v>30004.23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15</v>
      </c>
      <c r="B13" t="s">
        <v>11</v>
      </c>
      <c r="C13" s="2">
        <v>300</v>
      </c>
      <c r="D13" s="2">
        <v>0</v>
      </c>
      <c r="E13" s="2">
        <v>12090.05</v>
      </c>
      <c r="F13" s="2"/>
      <c r="G13" s="2"/>
      <c r="H13" s="2">
        <v>12165.05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16</v>
      </c>
      <c r="B15" t="s">
        <v>11</v>
      </c>
      <c r="C15" s="2">
        <v>850</v>
      </c>
      <c r="D15" s="2">
        <v>0</v>
      </c>
      <c r="E15" s="2">
        <v>30162.63</v>
      </c>
      <c r="F15" s="2"/>
      <c r="G15" s="2"/>
      <c r="H15" s="2">
        <v>30237.63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17</v>
      </c>
      <c r="B17" t="s">
        <v>11</v>
      </c>
      <c r="C17" s="2">
        <v>1150</v>
      </c>
      <c r="D17" s="2">
        <v>0</v>
      </c>
      <c r="E17" s="2">
        <v>46159.38</v>
      </c>
      <c r="F17" s="2"/>
      <c r="G17" s="2"/>
      <c r="H17" s="2">
        <v>46234.38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18</v>
      </c>
      <c r="B19" t="s">
        <v>19</v>
      </c>
      <c r="C19" s="2">
        <v>300</v>
      </c>
      <c r="D19" s="2">
        <v>0</v>
      </c>
      <c r="E19" s="2">
        <v>14824.93</v>
      </c>
      <c r="F19" s="2"/>
      <c r="G19" s="2"/>
      <c r="H19" s="2">
        <v>14899.93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11</v>
      </c>
      <c r="C21" s="2">
        <v>850</v>
      </c>
      <c r="D21" s="2">
        <v>0</v>
      </c>
      <c r="E21" s="2">
        <v>30993.75</v>
      </c>
      <c r="F21" s="2"/>
      <c r="G21" s="2"/>
      <c r="H21" s="2">
        <v>31068.75</v>
      </c>
    </row>
    <row r="22" spans="1:8" x14ac:dyDescent="0.25">
      <c r="A22" t="s">
        <v>20</v>
      </c>
      <c r="B22" t="s">
        <v>11</v>
      </c>
      <c r="C22" s="2">
        <v>300</v>
      </c>
      <c r="D22" s="2">
        <v>0</v>
      </c>
      <c r="E22" s="2">
        <v>11906.81</v>
      </c>
      <c r="F22" s="2">
        <f>SUM(E21:E22)</f>
        <v>42900.56</v>
      </c>
      <c r="G22" s="2"/>
      <c r="H22" s="2">
        <v>11981.81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21</v>
      </c>
      <c r="B24" t="s">
        <v>19</v>
      </c>
      <c r="C24" s="2">
        <v>950</v>
      </c>
      <c r="D24" s="2">
        <v>0</v>
      </c>
      <c r="E24" s="2">
        <v>34986.379999999997</v>
      </c>
      <c r="F24" s="2"/>
      <c r="G24" s="2"/>
      <c r="H24" s="2">
        <v>35061.379999999997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22</v>
      </c>
      <c r="B26" t="s">
        <v>11</v>
      </c>
      <c r="C26" s="2">
        <v>950</v>
      </c>
      <c r="D26" s="2">
        <v>0</v>
      </c>
      <c r="E26" s="2">
        <v>36519.25</v>
      </c>
      <c r="F26" s="2"/>
      <c r="G26" s="2"/>
      <c r="H26" s="2">
        <v>36594.25</v>
      </c>
    </row>
    <row r="27" spans="1:8" x14ac:dyDescent="0.25">
      <c r="A27" t="s">
        <v>22</v>
      </c>
      <c r="B27" t="s">
        <v>11</v>
      </c>
      <c r="C27" s="2">
        <v>950</v>
      </c>
      <c r="D27" s="2">
        <v>0</v>
      </c>
      <c r="E27" s="2">
        <v>36953.440000000002</v>
      </c>
      <c r="F27" s="2">
        <f>SUM(E26:E27)</f>
        <v>73472.69</v>
      </c>
      <c r="G27" s="2"/>
      <c r="H27" s="2">
        <v>37028.44</v>
      </c>
    </row>
    <row r="28" spans="1:8" x14ac:dyDescent="0.25">
      <c r="A28" s="1"/>
      <c r="B28" s="1"/>
      <c r="C28" s="3">
        <f>SUM(C4:C27)</f>
        <v>10950</v>
      </c>
      <c r="D28" s="3">
        <f>SUM(D4:D27)</f>
        <v>0</v>
      </c>
      <c r="E28" s="3">
        <f>SUM(E4:E27)</f>
        <v>414937.61000000004</v>
      </c>
      <c r="F28" s="3"/>
      <c r="G28" s="3"/>
      <c r="H28" s="3">
        <f>SUM(H4:H27)</f>
        <v>415987.61000000004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A41D-D185-41B8-A6F2-70489FF89450}">
  <sheetPr>
    <pageSetUpPr fitToPage="1"/>
  </sheetPr>
  <dimension ref="A1:L27"/>
  <sheetViews>
    <sheetView workbookViewId="0">
      <pane ySplit="3" topLeftCell="A4" activePane="bottomLeft" state="frozen"/>
      <selection pane="bottomLeft" activeCell="I15" sqref="I15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5.140625" style="5" bestFit="1" customWidth="1"/>
    <col min="5" max="5" width="26.140625" style="5" bestFit="1" customWidth="1"/>
    <col min="6" max="6" width="31.85546875" style="5" bestFit="1" customWidth="1"/>
    <col min="7" max="7" width="17.7109375" style="5" bestFit="1" customWidth="1"/>
    <col min="8" max="8" width="17.140625" style="5" bestFit="1" customWidth="1"/>
    <col min="9" max="10" width="33.42578125" style="5" bestFit="1" customWidth="1"/>
    <col min="11" max="11" width="16.140625" style="5" bestFit="1" customWidth="1"/>
    <col min="12" max="12" width="12.85546875" style="5" bestFit="1" customWidth="1"/>
    <col min="13" max="16384" width="9.140625" style="5"/>
  </cols>
  <sheetData>
    <row r="1" spans="1:12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45896</v>
      </c>
      <c r="L1" s="6" t="s">
        <v>2</v>
      </c>
    </row>
    <row r="2" spans="1:12" ht="35.1" customHeight="1" x14ac:dyDescent="0.25">
      <c r="A2" s="18" t="s">
        <v>0</v>
      </c>
      <c r="B2" s="19"/>
      <c r="C2" s="19"/>
      <c r="D2" s="19"/>
      <c r="E2" s="19"/>
      <c r="F2" s="19"/>
      <c r="G2" s="20" t="s">
        <v>84</v>
      </c>
      <c r="H2" s="19"/>
      <c r="I2" s="19"/>
      <c r="J2" s="19"/>
      <c r="K2" s="19"/>
      <c r="L2" s="19"/>
    </row>
    <row r="3" spans="1:12" ht="35.1" customHeight="1" x14ac:dyDescent="0.25">
      <c r="A3" s="6" t="s">
        <v>83</v>
      </c>
      <c r="B3" s="6" t="s">
        <v>82</v>
      </c>
      <c r="C3" s="6" t="s">
        <v>81</v>
      </c>
      <c r="D3" s="6" t="s">
        <v>80</v>
      </c>
      <c r="E3" s="6" t="s">
        <v>79</v>
      </c>
      <c r="F3" s="6" t="s">
        <v>4</v>
      </c>
      <c r="G3" s="6" t="s">
        <v>5</v>
      </c>
      <c r="H3" s="6" t="s">
        <v>78</v>
      </c>
      <c r="I3" s="6" t="s">
        <v>77</v>
      </c>
      <c r="J3" s="6" t="s">
        <v>76</v>
      </c>
      <c r="K3" s="6" t="s">
        <v>75</v>
      </c>
      <c r="L3" s="6" t="s">
        <v>74</v>
      </c>
    </row>
    <row r="4" spans="1:12" ht="35.1" customHeight="1" x14ac:dyDescent="0.25">
      <c r="A4" s="6" t="s">
        <v>85</v>
      </c>
      <c r="B4" s="6" t="s">
        <v>37</v>
      </c>
      <c r="C4" s="6" t="s">
        <v>36</v>
      </c>
      <c r="D4" s="6" t="s">
        <v>73</v>
      </c>
      <c r="E4" s="6"/>
      <c r="F4" s="6" t="s">
        <v>20</v>
      </c>
      <c r="G4" s="6" t="s">
        <v>11</v>
      </c>
      <c r="H4" s="8">
        <v>11981.81</v>
      </c>
      <c r="I4" s="6"/>
      <c r="J4" s="6"/>
      <c r="K4" s="6" t="s">
        <v>72</v>
      </c>
      <c r="L4" s="6"/>
    </row>
    <row r="5" spans="1:12" ht="35.1" customHeight="1" x14ac:dyDescent="0.25">
      <c r="A5" s="6" t="s">
        <v>86</v>
      </c>
      <c r="B5" s="6" t="s">
        <v>30</v>
      </c>
      <c r="C5" s="6" t="s">
        <v>36</v>
      </c>
      <c r="D5" s="6" t="s">
        <v>71</v>
      </c>
      <c r="E5" s="6"/>
      <c r="F5" s="6" t="s">
        <v>12</v>
      </c>
      <c r="G5" s="6" t="s">
        <v>11</v>
      </c>
      <c r="H5" s="8">
        <v>21384.880000000001</v>
      </c>
      <c r="I5" s="6"/>
      <c r="J5" s="6"/>
      <c r="K5" s="6" t="s">
        <v>70</v>
      </c>
      <c r="L5" s="6"/>
    </row>
    <row r="6" spans="1:12" ht="35.1" customHeight="1" x14ac:dyDescent="0.25">
      <c r="A6" s="6" t="s">
        <v>87</v>
      </c>
      <c r="B6" s="6" t="s">
        <v>37</v>
      </c>
      <c r="C6" s="6" t="s">
        <v>36</v>
      </c>
      <c r="D6" s="6" t="s">
        <v>69</v>
      </c>
      <c r="E6" s="6"/>
      <c r="F6" s="6" t="s">
        <v>14</v>
      </c>
      <c r="G6" s="6" t="s">
        <v>11</v>
      </c>
      <c r="H6" s="8">
        <v>30004.23</v>
      </c>
      <c r="I6" s="6"/>
      <c r="J6" s="6"/>
      <c r="K6" s="6" t="s">
        <v>68</v>
      </c>
      <c r="L6" s="6"/>
    </row>
    <row r="7" spans="1:12" ht="35.1" customHeight="1" x14ac:dyDescent="0.25">
      <c r="A7" s="6" t="s">
        <v>88</v>
      </c>
      <c r="B7" s="6" t="s">
        <v>37</v>
      </c>
      <c r="C7" s="6" t="s">
        <v>36</v>
      </c>
      <c r="D7" s="6" t="s">
        <v>67</v>
      </c>
      <c r="E7" s="6"/>
      <c r="F7" s="6" t="s">
        <v>16</v>
      </c>
      <c r="G7" s="6" t="s">
        <v>11</v>
      </c>
      <c r="H7" s="8">
        <v>30237.63</v>
      </c>
      <c r="I7" s="6" t="s">
        <v>66</v>
      </c>
      <c r="J7" s="6"/>
      <c r="K7" s="6" t="s">
        <v>65</v>
      </c>
      <c r="L7" s="6"/>
    </row>
    <row r="8" spans="1:12" ht="35.1" customHeight="1" x14ac:dyDescent="0.25">
      <c r="A8" s="6" t="s">
        <v>89</v>
      </c>
      <c r="B8" s="6" t="s">
        <v>37</v>
      </c>
      <c r="C8" s="6" t="s">
        <v>36</v>
      </c>
      <c r="D8" s="6" t="s">
        <v>64</v>
      </c>
      <c r="E8" s="6"/>
      <c r="F8" s="6" t="s">
        <v>22</v>
      </c>
      <c r="G8" s="6" t="s">
        <v>11</v>
      </c>
      <c r="H8" s="8">
        <v>37028.44</v>
      </c>
      <c r="I8" s="6" t="s">
        <v>63</v>
      </c>
      <c r="J8" s="6"/>
      <c r="K8" s="6" t="s">
        <v>62</v>
      </c>
      <c r="L8" s="6"/>
    </row>
    <row r="9" spans="1:12" ht="35.1" customHeight="1" x14ac:dyDescent="0.25">
      <c r="A9" s="6" t="s">
        <v>90</v>
      </c>
      <c r="B9" s="6" t="s">
        <v>37</v>
      </c>
      <c r="C9" s="6" t="s">
        <v>36</v>
      </c>
      <c r="D9" s="6" t="s">
        <v>61</v>
      </c>
      <c r="E9" s="6"/>
      <c r="F9" s="6" t="s">
        <v>22</v>
      </c>
      <c r="G9" s="6" t="s">
        <v>11</v>
      </c>
      <c r="H9" s="8">
        <v>36594.25</v>
      </c>
      <c r="I9" s="6" t="s">
        <v>60</v>
      </c>
      <c r="J9" s="6"/>
      <c r="K9" s="6" t="s">
        <v>59</v>
      </c>
      <c r="L9" s="6"/>
    </row>
    <row r="10" spans="1:12" ht="35.1" customHeight="1" x14ac:dyDescent="0.25">
      <c r="A10" s="6" t="s">
        <v>58</v>
      </c>
      <c r="B10" s="6" t="s">
        <v>30</v>
      </c>
      <c r="C10" s="6" t="s">
        <v>29</v>
      </c>
      <c r="D10" s="6" t="s">
        <v>57</v>
      </c>
      <c r="E10" s="6"/>
      <c r="F10" s="6" t="s">
        <v>21</v>
      </c>
      <c r="G10" s="6" t="s">
        <v>19</v>
      </c>
      <c r="H10" s="8">
        <v>35061.379999999997</v>
      </c>
      <c r="I10" s="6" t="s">
        <v>56</v>
      </c>
      <c r="J10" s="6"/>
      <c r="K10" s="6" t="s">
        <v>55</v>
      </c>
      <c r="L10" s="6"/>
    </row>
    <row r="11" spans="1:12" ht="35.1" customHeight="1" x14ac:dyDescent="0.25">
      <c r="A11" s="6" t="s">
        <v>54</v>
      </c>
      <c r="B11" s="6" t="s">
        <v>30</v>
      </c>
      <c r="C11" s="6" t="s">
        <v>29</v>
      </c>
      <c r="D11" s="6" t="s">
        <v>53</v>
      </c>
      <c r="E11" s="6"/>
      <c r="F11" s="6" t="s">
        <v>18</v>
      </c>
      <c r="G11" s="6" t="s">
        <v>19</v>
      </c>
      <c r="H11" s="8">
        <v>14899.93</v>
      </c>
      <c r="I11" s="6"/>
      <c r="J11" s="6"/>
      <c r="K11" s="6" t="s">
        <v>52</v>
      </c>
      <c r="L11" s="6"/>
    </row>
    <row r="12" spans="1:12" ht="35.1" customHeight="1" x14ac:dyDescent="0.25">
      <c r="A12" s="6" t="s">
        <v>91</v>
      </c>
      <c r="B12" s="6" t="s">
        <v>30</v>
      </c>
      <c r="C12" s="6" t="s">
        <v>36</v>
      </c>
      <c r="D12" s="6" t="s">
        <v>51</v>
      </c>
      <c r="E12" s="6"/>
      <c r="F12" s="6" t="s">
        <v>13</v>
      </c>
      <c r="G12" s="6" t="s">
        <v>11</v>
      </c>
      <c r="H12" s="8">
        <v>35583.19</v>
      </c>
      <c r="I12" s="6" t="s">
        <v>50</v>
      </c>
      <c r="J12" s="6"/>
      <c r="K12" s="6" t="s">
        <v>49</v>
      </c>
      <c r="L12" s="6"/>
    </row>
    <row r="13" spans="1:12" ht="35.1" customHeight="1" x14ac:dyDescent="0.25">
      <c r="A13" s="6" t="s">
        <v>92</v>
      </c>
      <c r="B13" s="6" t="s">
        <v>30</v>
      </c>
      <c r="C13" s="6" t="s">
        <v>36</v>
      </c>
      <c r="D13" s="6" t="s">
        <v>48</v>
      </c>
      <c r="E13" s="6"/>
      <c r="F13" s="6" t="s">
        <v>17</v>
      </c>
      <c r="G13" s="6" t="s">
        <v>11</v>
      </c>
      <c r="H13" s="8">
        <v>46234.38</v>
      </c>
      <c r="I13" s="6" t="s">
        <v>47</v>
      </c>
      <c r="J13" s="6"/>
      <c r="K13" s="6" t="s">
        <v>46</v>
      </c>
      <c r="L13" s="6"/>
    </row>
    <row r="14" spans="1:12" ht="35.1" customHeight="1" x14ac:dyDescent="0.25">
      <c r="A14" s="6" t="s">
        <v>93</v>
      </c>
      <c r="B14" s="6" t="s">
        <v>30</v>
      </c>
      <c r="C14" s="6" t="s">
        <v>36</v>
      </c>
      <c r="D14" s="6" t="s">
        <v>45</v>
      </c>
      <c r="E14" s="6"/>
      <c r="F14" s="6" t="s">
        <v>15</v>
      </c>
      <c r="G14" s="6" t="s">
        <v>11</v>
      </c>
      <c r="H14" s="8">
        <v>12165.05</v>
      </c>
      <c r="I14" s="6" t="s">
        <v>44</v>
      </c>
      <c r="J14" s="6"/>
      <c r="K14" s="6" t="s">
        <v>43</v>
      </c>
      <c r="L14" s="6"/>
    </row>
    <row r="15" spans="1:12" ht="35.1" customHeight="1" x14ac:dyDescent="0.25">
      <c r="A15" s="6" t="s">
        <v>94</v>
      </c>
      <c r="B15" s="6" t="s">
        <v>30</v>
      </c>
      <c r="C15" s="6" t="s">
        <v>36</v>
      </c>
      <c r="D15" s="6" t="s">
        <v>42</v>
      </c>
      <c r="E15" s="6" t="s">
        <v>41</v>
      </c>
      <c r="F15" s="6" t="s">
        <v>13</v>
      </c>
      <c r="G15" s="6" t="s">
        <v>11</v>
      </c>
      <c r="H15" s="8">
        <v>42523.13</v>
      </c>
      <c r="I15" s="6" t="s">
        <v>40</v>
      </c>
      <c r="J15" s="6" t="s">
        <v>40</v>
      </c>
      <c r="K15" s="6" t="s">
        <v>39</v>
      </c>
      <c r="L15" s="6" t="s">
        <v>38</v>
      </c>
    </row>
    <row r="16" spans="1:12" ht="35.1" customHeight="1" x14ac:dyDescent="0.25">
      <c r="A16" s="6" t="s">
        <v>95</v>
      </c>
      <c r="B16" s="6" t="s">
        <v>37</v>
      </c>
      <c r="C16" s="6" t="s">
        <v>36</v>
      </c>
      <c r="D16" s="6" t="s">
        <v>35</v>
      </c>
      <c r="E16" s="6" t="s">
        <v>34</v>
      </c>
      <c r="F16" s="6" t="s">
        <v>20</v>
      </c>
      <c r="G16" s="6" t="s">
        <v>11</v>
      </c>
      <c r="H16" s="8">
        <v>31068.75</v>
      </c>
      <c r="I16" s="6" t="s">
        <v>33</v>
      </c>
      <c r="J16" s="6"/>
      <c r="K16" s="6" t="s">
        <v>32</v>
      </c>
      <c r="L16" s="6" t="s">
        <v>32</v>
      </c>
    </row>
    <row r="17" spans="1:12" ht="35.1" customHeight="1" x14ac:dyDescent="0.25">
      <c r="A17" s="6" t="s">
        <v>31</v>
      </c>
      <c r="B17" s="6" t="s">
        <v>30</v>
      </c>
      <c r="C17" s="6" t="s">
        <v>29</v>
      </c>
      <c r="D17" s="6" t="s">
        <v>28</v>
      </c>
      <c r="E17" s="6"/>
      <c r="F17" s="6" t="s">
        <v>10</v>
      </c>
      <c r="G17" s="6" t="s">
        <v>11</v>
      </c>
      <c r="H17" s="8">
        <v>31220.560000000001</v>
      </c>
      <c r="I17" s="6" t="s">
        <v>27</v>
      </c>
      <c r="J17" s="6"/>
      <c r="K17" s="6" t="s">
        <v>26</v>
      </c>
      <c r="L17" s="6"/>
    </row>
    <row r="18" spans="1:12" ht="35.1" customHeight="1" x14ac:dyDescent="0.25">
      <c r="A18" s="9"/>
      <c r="B18" s="9"/>
      <c r="C18" s="9"/>
      <c r="D18" s="9" t="s">
        <v>25</v>
      </c>
      <c r="E18" s="9"/>
      <c r="F18" s="9"/>
      <c r="G18" s="9"/>
      <c r="H18" s="10">
        <f>SUM(H4:H17)</f>
        <v>415987.61</v>
      </c>
      <c r="I18" s="9"/>
      <c r="J18" s="9"/>
      <c r="K18" s="9"/>
      <c r="L18" s="9"/>
    </row>
    <row r="19" spans="1:12" ht="35.1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35.1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</sheetData>
  <mergeCells count="2">
    <mergeCell ref="A2:F2"/>
    <mergeCell ref="G2:L2"/>
  </mergeCells>
  <pageMargins left="0.7" right="0.7" top="0.75" bottom="0.75" header="0.3" footer="0.3"/>
  <pageSetup paperSize="5" scale="6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D174-036C-431B-B1EF-FA2E2ADD7980}">
  <sheetPr>
    <pageSetUpPr fitToPage="1"/>
  </sheetPr>
  <dimension ref="A1:F19"/>
  <sheetViews>
    <sheetView workbookViewId="0">
      <pane ySplit="3" topLeftCell="A4" activePane="bottomLeft" state="frozen"/>
      <selection pane="bottomLeft" activeCell="D30" sqref="D30"/>
    </sheetView>
  </sheetViews>
  <sheetFormatPr defaultRowHeight="15" x14ac:dyDescent="0.25"/>
  <cols>
    <col min="1" max="1" width="16.42578125" style="11" bestFit="1" customWidth="1"/>
    <col min="2" max="2" width="14" style="11" bestFit="1" customWidth="1"/>
    <col min="3" max="3" width="25.140625" style="11" bestFit="1" customWidth="1"/>
    <col min="4" max="4" width="26.140625" style="11" bestFit="1" customWidth="1"/>
    <col min="5" max="5" width="31.85546875" style="11" bestFit="1" customWidth="1"/>
    <col min="6" max="16384" width="9.140625" style="11"/>
  </cols>
  <sheetData>
    <row r="1" spans="1:6" x14ac:dyDescent="0.25">
      <c r="A1" s="12"/>
      <c r="B1" s="12"/>
      <c r="C1" s="12" t="s">
        <v>3</v>
      </c>
      <c r="D1" s="13">
        <v>45896</v>
      </c>
      <c r="E1" s="12" t="s">
        <v>2</v>
      </c>
      <c r="F1" s="12"/>
    </row>
    <row r="2" spans="1:6" x14ac:dyDescent="0.25">
      <c r="A2" s="21" t="s">
        <v>0</v>
      </c>
      <c r="B2" s="22"/>
      <c r="C2" s="22"/>
      <c r="D2" s="23" t="s">
        <v>96</v>
      </c>
      <c r="E2" s="22"/>
      <c r="F2" s="12"/>
    </row>
    <row r="3" spans="1:6" x14ac:dyDescent="0.25">
      <c r="A3" s="12" t="s">
        <v>83</v>
      </c>
      <c r="B3" s="12" t="s">
        <v>81</v>
      </c>
      <c r="C3" s="12" t="s">
        <v>80</v>
      </c>
      <c r="D3" s="12" t="s">
        <v>79</v>
      </c>
      <c r="E3" s="12" t="s">
        <v>4</v>
      </c>
      <c r="F3" s="12"/>
    </row>
    <row r="4" spans="1:6" x14ac:dyDescent="0.25">
      <c r="A4" s="12" t="s">
        <v>31</v>
      </c>
      <c r="B4" s="12" t="s">
        <v>29</v>
      </c>
      <c r="C4" s="12" t="s">
        <v>28</v>
      </c>
      <c r="D4" s="12"/>
      <c r="E4" s="12" t="s">
        <v>10</v>
      </c>
      <c r="F4" s="12"/>
    </row>
    <row r="5" spans="1:6" x14ac:dyDescent="0.25">
      <c r="A5" s="14"/>
      <c r="B5" s="14"/>
      <c r="C5" s="14" t="s">
        <v>97</v>
      </c>
      <c r="D5" s="14"/>
      <c r="E5" s="14"/>
      <c r="F5" s="12"/>
    </row>
    <row r="6" spans="1:6" x14ac:dyDescent="0.25">
      <c r="A6" s="12"/>
      <c r="B6" s="12"/>
      <c r="C6" s="12"/>
      <c r="D6" s="12"/>
      <c r="E6" s="12"/>
      <c r="F6" s="12"/>
    </row>
    <row r="7" spans="1:6" x14ac:dyDescent="0.25">
      <c r="A7" s="12" t="s">
        <v>98</v>
      </c>
      <c r="B7" s="12"/>
      <c r="C7" s="12"/>
      <c r="D7" s="12"/>
      <c r="E7" s="12"/>
      <c r="F7" s="12"/>
    </row>
    <row r="8" spans="1:6" x14ac:dyDescent="0.25">
      <c r="A8" s="12"/>
      <c r="B8" s="12"/>
      <c r="C8" s="12"/>
      <c r="D8" s="12"/>
      <c r="E8" s="12"/>
      <c r="F8" s="12"/>
    </row>
    <row r="9" spans="1:6" x14ac:dyDescent="0.25">
      <c r="A9" s="12"/>
      <c r="B9" s="12"/>
      <c r="C9" s="12"/>
      <c r="D9" s="12"/>
      <c r="E9" s="12"/>
      <c r="F9" s="12"/>
    </row>
    <row r="10" spans="1:6" x14ac:dyDescent="0.25">
      <c r="A10" s="12" t="s">
        <v>99</v>
      </c>
      <c r="B10" s="12"/>
      <c r="C10" s="12"/>
      <c r="D10" s="12"/>
      <c r="E10" s="12"/>
      <c r="F10" s="12"/>
    </row>
    <row r="11" spans="1:6" x14ac:dyDescent="0.25">
      <c r="A11" s="12"/>
      <c r="B11" s="12"/>
      <c r="C11" s="12"/>
      <c r="D11" s="12"/>
      <c r="E11" s="12"/>
      <c r="F11" s="12"/>
    </row>
    <row r="12" spans="1:6" x14ac:dyDescent="0.25">
      <c r="A12" s="12"/>
      <c r="B12" s="12"/>
      <c r="C12" s="12"/>
      <c r="D12" s="12"/>
      <c r="E12" s="12"/>
      <c r="F12" s="12"/>
    </row>
    <row r="13" spans="1:6" x14ac:dyDescent="0.25">
      <c r="A13" s="12"/>
      <c r="B13" s="12"/>
      <c r="C13" s="12"/>
      <c r="D13" s="12"/>
      <c r="E13" s="12"/>
      <c r="F13" s="12"/>
    </row>
    <row r="14" spans="1:6" x14ac:dyDescent="0.25">
      <c r="A14" s="12" t="s">
        <v>100</v>
      </c>
      <c r="B14" s="12"/>
      <c r="C14" s="12"/>
      <c r="D14" s="12"/>
      <c r="E14" s="12"/>
      <c r="F14" s="12"/>
    </row>
    <row r="15" spans="1:6" x14ac:dyDescent="0.25">
      <c r="A15" s="12"/>
      <c r="B15" s="12"/>
      <c r="C15" s="12"/>
      <c r="D15" s="12"/>
      <c r="E15" s="12"/>
      <c r="F15" s="12"/>
    </row>
    <row r="16" spans="1:6" x14ac:dyDescent="0.25">
      <c r="A16" s="12"/>
      <c r="B16" s="12"/>
      <c r="C16" s="12"/>
      <c r="D16" s="12"/>
      <c r="E16" s="12"/>
      <c r="F16" s="12"/>
    </row>
    <row r="17" spans="1:6" x14ac:dyDescent="0.25">
      <c r="A17" s="12"/>
      <c r="B17" s="12"/>
      <c r="C17" s="12"/>
      <c r="D17" s="12"/>
      <c r="E17" s="12"/>
      <c r="F17" s="12"/>
    </row>
    <row r="18" spans="1:6" x14ac:dyDescent="0.25">
      <c r="A18" s="12"/>
      <c r="B18" s="12"/>
      <c r="C18" s="12"/>
      <c r="D18" s="12"/>
      <c r="E18" s="12"/>
      <c r="F18" s="12"/>
    </row>
    <row r="19" spans="1:6" x14ac:dyDescent="0.25">
      <c r="A19" s="12"/>
      <c r="B19" s="12"/>
      <c r="C19" s="12"/>
      <c r="D19" s="12"/>
      <c r="E19" s="12"/>
      <c r="F19" s="12"/>
    </row>
  </sheetData>
  <mergeCells count="2">
    <mergeCell ref="A2:C2"/>
    <mergeCell ref="D2:E2"/>
  </mergeCells>
  <pageMargins left="0.7" right="0.7" top="0.75" bottom="0.75" header="0.3" footer="0.3"/>
  <pageSetup scale="7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2025-08-27T18:14:35Z</cp:lastPrinted>
  <dcterms:created xsi:type="dcterms:W3CDTF">2025-08-27T18:06:38Z</dcterms:created>
  <dcterms:modified xsi:type="dcterms:W3CDTF">2025-08-27T18:30:56Z</dcterms:modified>
</cp:coreProperties>
</file>