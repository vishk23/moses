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40C73A5B-0A7E-4E91-8B54-170CD5E4C2E7}" xr6:coauthVersionLast="47" xr6:coauthVersionMax="47" xr10:uidLastSave="{00000000-0000-0000-0000-000000000000}"/>
  <bookViews>
    <workbookView xWindow="31275" yWindow="825" windowWidth="22020" windowHeight="1423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8" i="2"/>
  <c r="G5" i="2"/>
  <c r="H26" i="2"/>
  <c r="F26" i="2"/>
  <c r="E26" i="2"/>
  <c r="D26" i="2"/>
  <c r="H17" i="1" l="1"/>
</calcChain>
</file>

<file path=xl/sharedStrings.xml><?xml version="1.0" encoding="utf-8"?>
<sst xmlns="http://schemas.openxmlformats.org/spreadsheetml/2006/main" count="168" uniqueCount="93">
  <si>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</si>
  <si>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</si>
  <si>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</si>
  <si>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</si>
  <si>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</si>
  <si>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</si>
  <si>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</si>
  <si>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</si>
  <si>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</si>
  <si>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</si>
  <si>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</si>
  <si>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</si>
  <si>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</si>
  <si>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Business Name</t>
  </si>
  <si>
    <t>Route One</t>
  </si>
  <si>
    <t>E Contract</t>
  </si>
  <si>
    <t>KEENAN, JAMES</t>
  </si>
  <si>
    <t>Grieco Toyota</t>
  </si>
  <si>
    <t>Marlene Braganca</t>
  </si>
  <si>
    <t>keenanjim@outlook.com</t>
  </si>
  <si>
    <t>WILLIAMS</t>
  </si>
  <si>
    <t>Bond, Dave</t>
  </si>
  <si>
    <t>Salvadore Chevrolet</t>
  </si>
  <si>
    <t>bond587320@gmail.com</t>
  </si>
  <si>
    <t>Nolette</t>
  </si>
  <si>
    <t>ENGELS, FRANCIS</t>
  </si>
  <si>
    <t>Herb Chambers Lexus of Hingham</t>
  </si>
  <si>
    <t>FRANZAUGUSTUS@ICLOUD.COM</t>
  </si>
  <si>
    <t>CARLONE</t>
  </si>
  <si>
    <t>FRANKLIN, LISA-BETH</t>
  </si>
  <si>
    <t>Tasca Ford</t>
  </si>
  <si>
    <t>LFRANKLIN@PAG-CDG.COM</t>
  </si>
  <si>
    <t>Vale</t>
  </si>
  <si>
    <t>DAVIS, PAUL</t>
  </si>
  <si>
    <t>Paul Masse Buick GMC South, Inc</t>
  </si>
  <si>
    <t>MAKOMAN11@MSN.COM</t>
  </si>
  <si>
    <t>Lynch</t>
  </si>
  <si>
    <t>DAVID, TODD</t>
  </si>
  <si>
    <t>Andrews</t>
  </si>
  <si>
    <t>151171247</t>
  </si>
  <si>
    <t>DealerTrack</t>
  </si>
  <si>
    <t>Paper</t>
  </si>
  <si>
    <t>FERDENZI, MATTHEW</t>
  </si>
  <si>
    <t>Volvo of Tiverton</t>
  </si>
  <si>
    <t>Rachel Gorham</t>
  </si>
  <si>
    <t>FERDENZ5@GMAIL.COM</t>
  </si>
  <si>
    <t>RAMROTH</t>
  </si>
  <si>
    <t>MARINO, MARIA</t>
  </si>
  <si>
    <t>Tasca Automotive Group Rt 6 One Inc</t>
  </si>
  <si>
    <t>MARIAMARINO1125@GMAIL.COM</t>
  </si>
  <si>
    <t>GRECO</t>
  </si>
  <si>
    <t>BARSALOU, GERARD</t>
  </si>
  <si>
    <t>BARSA02G@GMAIL.COM</t>
  </si>
  <si>
    <t>Bergeron</t>
  </si>
  <si>
    <t>BRYANT, GREGORY</t>
  </si>
  <si>
    <t>Patriot Auto Group Inc d/b/a</t>
  </si>
  <si>
    <t>gejbry@icloud.com</t>
  </si>
  <si>
    <t>OUELLETTE</t>
  </si>
  <si>
    <t>GODUTO, WHITNEY</t>
  </si>
  <si>
    <t>Priority Automotive LLC</t>
  </si>
  <si>
    <t>GODUTOW@PSDRI.NET</t>
  </si>
  <si>
    <t>MOYNAHAN</t>
  </si>
  <si>
    <t>CASEY, JESSICA</t>
  </si>
  <si>
    <t>RILEY</t>
  </si>
  <si>
    <t>WOODARD, MICHELLE</t>
  </si>
  <si>
    <t>SEARLE</t>
  </si>
  <si>
    <t># 13</t>
  </si>
  <si>
    <t>151170736 E</t>
  </si>
  <si>
    <t>151171081 E</t>
  </si>
  <si>
    <t>151171130 E</t>
  </si>
  <si>
    <t>151171180 E</t>
  </si>
  <si>
    <t>151171198 E</t>
  </si>
  <si>
    <t>151171239 E</t>
  </si>
  <si>
    <t>151171289 E</t>
  </si>
  <si>
    <t>151171338 E</t>
  </si>
  <si>
    <t>151171437 E</t>
  </si>
  <si>
    <t>151171495 E</t>
  </si>
  <si>
    <t>151171502 E</t>
  </si>
  <si>
    <t>151171510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</si>
  <si>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</si>
  <si>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</si>
  <si>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</si>
  <si>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</si>
  <si>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</si>
  <si>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</si>
  <si>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</si>
  <si>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</si>
  <si>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Funding Worksheet - Signoff Version</t>
  </si>
  <si>
    <t># 1</t>
  </si>
  <si>
    <t>Original Notes Delivered</t>
  </si>
  <si>
    <t>Delivered by:</t>
  </si>
  <si>
    <t>Received by:</t>
  </si>
  <si>
    <t xml:space="preserve">Date Signed: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</si>
</sst>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7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1" xfId="0" applyBorder="1"/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/>
    </xf>
    <xf numFmtId="7" fontId="4" fillId="0" borderId="0" xfId="0" applyNumberFormat="1" applyFont="1"/>
    <xf numFmtId="7" fontId="6" fillId="0" borderId="0" xfId="0" applyNumberFormat="1" applyFont="1"/>
    <xf numFmtId="0" fontId="5" fillId="0" borderId="0" xfId="0" applyFont="1"/>
    <xf numFmtId="7" fontId="5" fillId="0" borderId="0" xfId="0" applyNumberFormat="1" applyFont="1"/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17">
  <tableColumns count="11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7F0951-99BD-493B-8D91-FB6103D6DF54}" name="Table_13" displayName="Table_13" ref="A3:H26" headerRowDxfId="2" dataDxfId="0" totalsRowDxfId="1">
  <sortState xmlns:xlrd2="http://schemas.microsoft.com/office/spreadsheetml/2017/richdata2" ref="A4:H26">
    <sortCondition ref="A4:A26"/>
  </sortState>
  <tableColumns count="8">
    <tableColumn id="1" xr3:uid="{64E2AA4A-F60C-434E-903F-90AAE2DE9576}" name="Dealer Name" dataDxfId="10"/>
    <tableColumn id="8" xr3:uid="{B5E28B20-149D-466F-B816-0BEB64C91C1D}" name="Column2" dataDxfId="9"/>
    <tableColumn id="2" xr3:uid="{D06C3200-87C4-4805-AB84-6A4490A92933}" name="Funded by" dataDxfId="8"/>
    <tableColumn id="3" xr3:uid="{B1B68E7D-8D6E-4505-9D56-46EE43AF0F06}" name="Dealer Flat" dataDxfId="7"/>
    <tableColumn id="4" xr3:uid="{649DC9DD-BA55-477E-B262-EB17EA43DE6B}" name="Dealer Split" dataDxfId="6"/>
    <tableColumn id="5" xr3:uid="{61F7A212-03F7-463B-85FC-4A21B4277707}" name="Net to Dealer" dataDxfId="5"/>
    <tableColumn id="7" xr3:uid="{DAB7E0FB-E270-4E97-8E57-5144B15C437C}" name="Column1" dataDxfId="4"/>
    <tableColumn id="6" xr3:uid="{2C0636D2-52AB-4468-B8C7-07B4CC5B85E2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2A50C0-FF9E-4A6F-B3B5-64FD08DC6104}" name="Table_15" displayName="Table_15" ref="A3:F5">
  <tableColumns count="6">
    <tableColumn id="1" xr3:uid="{11DB36D4-9CB6-4167-9F22-DF292429373E}" name="Account Number"/>
    <tableColumn id="2" xr3:uid="{02679263-553E-4D1A-B2EE-96FCB8C11448}" name="Contract Type"/>
    <tableColumn id="3" xr3:uid="{AAD9DF05-4A63-42CB-91C5-4BA5AEA1B153}" name="Applicant Name"/>
    <tableColumn id="4" xr3:uid="{9BE8DD1F-53E4-427F-875C-BA081DDA93C4}" name="Co-Applicant Name"/>
    <tableColumn id="5" xr3:uid="{4D648AB9-39E8-4D99-8278-4B89512F3071}" name="Dealer Name"/>
    <tableColumn id="6" xr3:uid="{AAA73483-663C-426A-A5FF-0694B2A54D15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tabSelected="1" workbookViewId="0">
      <pane ySplit="3" topLeftCell="A4" activePane="bottomLeft" state="frozen"/>
      <selection pane="bottomLeft" activeCell="F1" sqref="F1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14" bestFit="1" customWidth="1"/>
    <col min="4" max="4" width="21.42578125" bestFit="1" customWidth="1"/>
    <col min="5" max="5" width="5.7109375" customWidth="1"/>
    <col min="6" max="6" width="35.7109375" bestFit="1" customWidth="1"/>
    <col min="7" max="7" width="17.7109375" bestFit="1" customWidth="1"/>
    <col min="8" max="8" width="17.140625" bestFit="1" customWidth="1"/>
    <col min="9" max="9" width="31.5703125" bestFit="1" customWidth="1"/>
    <col min="10" max="10" width="6.5703125" customWidth="1"/>
    <col min="11" max="11" width="14" bestFit="1" customWidth="1"/>
  </cols>
  <sheetData>
    <row r="1" spans="1:11" x14ac:dyDescent="0.25">
      <c r="A1" s="21">
        <v>45765</v>
      </c>
      <c r="K1" s="4">
        <v>45765</v>
      </c>
    </row>
    <row r="2" spans="1:11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</row>
    <row r="3" spans="1:1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spans="1:11" ht="33" customHeight="1" x14ac:dyDescent="0.25">
      <c r="A4" t="s">
        <v>67</v>
      </c>
      <c r="B4" t="s">
        <v>14</v>
      </c>
      <c r="C4" t="s">
        <v>15</v>
      </c>
      <c r="D4" t="s">
        <v>16</v>
      </c>
      <c r="F4" t="s">
        <v>17</v>
      </c>
      <c r="G4" t="s">
        <v>18</v>
      </c>
      <c r="H4" s="2">
        <v>23133.5</v>
      </c>
      <c r="I4" t="s">
        <v>19</v>
      </c>
      <c r="K4" t="s">
        <v>20</v>
      </c>
    </row>
    <row r="5" spans="1:11" ht="33" customHeight="1" x14ac:dyDescent="0.25">
      <c r="A5" t="s">
        <v>68</v>
      </c>
      <c r="B5" t="s">
        <v>14</v>
      </c>
      <c r="C5" t="s">
        <v>15</v>
      </c>
      <c r="D5" t="s">
        <v>21</v>
      </c>
      <c r="F5" t="s">
        <v>22</v>
      </c>
      <c r="G5" t="s">
        <v>18</v>
      </c>
      <c r="H5" s="2">
        <v>36910.81</v>
      </c>
      <c r="I5" t="s">
        <v>23</v>
      </c>
      <c r="K5" t="s">
        <v>24</v>
      </c>
    </row>
    <row r="6" spans="1:11" ht="33" customHeight="1" x14ac:dyDescent="0.25">
      <c r="A6" t="s">
        <v>69</v>
      </c>
      <c r="B6" t="s">
        <v>14</v>
      </c>
      <c r="C6" t="s">
        <v>15</v>
      </c>
      <c r="D6" t="s">
        <v>25</v>
      </c>
      <c r="F6" t="s">
        <v>26</v>
      </c>
      <c r="G6" t="s">
        <v>18</v>
      </c>
      <c r="H6" s="2">
        <v>34018.14</v>
      </c>
      <c r="I6" t="s">
        <v>27</v>
      </c>
      <c r="K6" t="s">
        <v>28</v>
      </c>
    </row>
    <row r="7" spans="1:11" ht="33" customHeight="1" x14ac:dyDescent="0.25">
      <c r="A7" t="s">
        <v>70</v>
      </c>
      <c r="B7" t="s">
        <v>14</v>
      </c>
      <c r="C7" t="s">
        <v>15</v>
      </c>
      <c r="D7" t="s">
        <v>29</v>
      </c>
      <c r="F7" t="s">
        <v>30</v>
      </c>
      <c r="G7" t="s">
        <v>18</v>
      </c>
      <c r="H7" s="2">
        <v>30288.36</v>
      </c>
      <c r="I7" t="s">
        <v>31</v>
      </c>
      <c r="K7" t="s">
        <v>32</v>
      </c>
    </row>
    <row r="8" spans="1:11" ht="33" customHeight="1" x14ac:dyDescent="0.25">
      <c r="A8" t="s">
        <v>71</v>
      </c>
      <c r="B8" t="s">
        <v>14</v>
      </c>
      <c r="C8" t="s">
        <v>15</v>
      </c>
      <c r="D8" t="s">
        <v>33</v>
      </c>
      <c r="F8" t="s">
        <v>34</v>
      </c>
      <c r="G8" t="s">
        <v>18</v>
      </c>
      <c r="H8" s="2">
        <v>38034.959999999999</v>
      </c>
      <c r="I8" t="s">
        <v>35</v>
      </c>
      <c r="K8" t="s">
        <v>36</v>
      </c>
    </row>
    <row r="9" spans="1:11" ht="33" customHeight="1" x14ac:dyDescent="0.25">
      <c r="A9" t="s">
        <v>72</v>
      </c>
      <c r="B9" t="s">
        <v>14</v>
      </c>
      <c r="C9" t="s">
        <v>15</v>
      </c>
      <c r="D9" t="s">
        <v>37</v>
      </c>
      <c r="F9" t="s">
        <v>34</v>
      </c>
      <c r="G9" t="s">
        <v>18</v>
      </c>
      <c r="H9" s="2">
        <v>60159.98</v>
      </c>
      <c r="K9" t="s">
        <v>38</v>
      </c>
    </row>
    <row r="10" spans="1:11" ht="33" customHeight="1" x14ac:dyDescent="0.25">
      <c r="A10" t="s">
        <v>39</v>
      </c>
      <c r="B10" t="s">
        <v>40</v>
      </c>
      <c r="C10" t="s">
        <v>41</v>
      </c>
      <c r="D10" t="s">
        <v>42</v>
      </c>
      <c r="F10" t="s">
        <v>43</v>
      </c>
      <c r="G10" t="s">
        <v>44</v>
      </c>
      <c r="H10" s="2">
        <v>15958.25</v>
      </c>
      <c r="I10" t="s">
        <v>45</v>
      </c>
      <c r="K10" t="s">
        <v>46</v>
      </c>
    </row>
    <row r="11" spans="1:11" ht="33" customHeight="1" x14ac:dyDescent="0.25">
      <c r="A11" t="s">
        <v>73</v>
      </c>
      <c r="B11" t="s">
        <v>14</v>
      </c>
      <c r="C11" t="s">
        <v>15</v>
      </c>
      <c r="D11" t="s">
        <v>47</v>
      </c>
      <c r="F11" t="s">
        <v>48</v>
      </c>
      <c r="G11" t="s">
        <v>44</v>
      </c>
      <c r="H11" s="2">
        <v>19564.63</v>
      </c>
      <c r="I11" t="s">
        <v>49</v>
      </c>
      <c r="K11" t="s">
        <v>50</v>
      </c>
    </row>
    <row r="12" spans="1:11" ht="33" customHeight="1" x14ac:dyDescent="0.25">
      <c r="A12" t="s">
        <v>74</v>
      </c>
      <c r="B12" t="s">
        <v>14</v>
      </c>
      <c r="C12" t="s">
        <v>15</v>
      </c>
      <c r="D12" t="s">
        <v>51</v>
      </c>
      <c r="F12" t="s">
        <v>34</v>
      </c>
      <c r="G12" t="s">
        <v>18</v>
      </c>
      <c r="H12" s="2">
        <v>22000</v>
      </c>
      <c r="I12" t="s">
        <v>52</v>
      </c>
      <c r="K12" t="s">
        <v>53</v>
      </c>
    </row>
    <row r="13" spans="1:11" ht="33" customHeight="1" x14ac:dyDescent="0.25">
      <c r="A13" t="s">
        <v>75</v>
      </c>
      <c r="B13" t="s">
        <v>14</v>
      </c>
      <c r="C13" t="s">
        <v>15</v>
      </c>
      <c r="D13" t="s">
        <v>54</v>
      </c>
      <c r="F13" t="s">
        <v>55</v>
      </c>
      <c r="G13" t="s">
        <v>18</v>
      </c>
      <c r="H13" s="2">
        <v>19343.939999999999</v>
      </c>
      <c r="I13" t="s">
        <v>56</v>
      </c>
      <c r="K13" t="s">
        <v>57</v>
      </c>
    </row>
    <row r="14" spans="1:11" ht="33" customHeight="1" x14ac:dyDescent="0.25">
      <c r="A14" t="s">
        <v>76</v>
      </c>
      <c r="B14" t="s">
        <v>40</v>
      </c>
      <c r="C14" t="s">
        <v>15</v>
      </c>
      <c r="D14" t="s">
        <v>58</v>
      </c>
      <c r="F14" t="s">
        <v>59</v>
      </c>
      <c r="G14" t="s">
        <v>44</v>
      </c>
      <c r="H14" s="2">
        <v>26857.93</v>
      </c>
      <c r="I14" t="s">
        <v>60</v>
      </c>
      <c r="K14" t="s">
        <v>61</v>
      </c>
    </row>
    <row r="15" spans="1:11" ht="33" customHeight="1" x14ac:dyDescent="0.25">
      <c r="A15" t="s">
        <v>77</v>
      </c>
      <c r="B15" t="s">
        <v>14</v>
      </c>
      <c r="C15" t="s">
        <v>15</v>
      </c>
      <c r="D15" t="s">
        <v>62</v>
      </c>
      <c r="F15" t="s">
        <v>17</v>
      </c>
      <c r="G15" t="s">
        <v>44</v>
      </c>
      <c r="H15" s="2">
        <v>42127.81</v>
      </c>
      <c r="K15" t="s">
        <v>63</v>
      </c>
    </row>
    <row r="16" spans="1:11" ht="33" customHeight="1" x14ac:dyDescent="0.25">
      <c r="A16" t="s">
        <v>78</v>
      </c>
      <c r="B16" t="s">
        <v>14</v>
      </c>
      <c r="C16" t="s">
        <v>15</v>
      </c>
      <c r="D16" t="s">
        <v>64</v>
      </c>
      <c r="F16" t="s">
        <v>26</v>
      </c>
      <c r="G16" t="s">
        <v>44</v>
      </c>
      <c r="H16" s="2">
        <v>25966.63</v>
      </c>
      <c r="K16" t="s">
        <v>65</v>
      </c>
    </row>
    <row r="17" spans="1:11" x14ac:dyDescent="0.25">
      <c r="A17" s="1"/>
      <c r="B17" s="1"/>
      <c r="C17" s="1"/>
      <c r="D17" s="1" t="s">
        <v>66</v>
      </c>
      <c r="E17" s="1"/>
      <c r="F17" s="1"/>
      <c r="G17" s="1"/>
      <c r="H17" s="3">
        <f>SUM(H4:H16)</f>
        <v>394364.94</v>
      </c>
      <c r="I17" s="1"/>
      <c r="J17" s="1"/>
      <c r="K17" s="1"/>
    </row>
  </sheetData>
  <mergeCells count="2">
    <mergeCell ref="A2:F2"/>
    <mergeCell ref="G2:K2"/>
  </mergeCells>
  <pageMargins left="0.7" right="0.7" top="0.75" bottom="0.75" header="0.3" footer="0.3"/>
  <pageSetup paperSize="5" scale="8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50AC-5940-40F1-91C7-F692CAA0E391}">
  <sheetPr>
    <pageSetUpPr fitToPage="1"/>
  </sheetPr>
  <dimension ref="A1:H26"/>
  <sheetViews>
    <sheetView topLeftCell="A9" workbookViewId="0">
      <selection activeCell="B8" sqref="B8"/>
    </sheetView>
  </sheetViews>
  <sheetFormatPr defaultRowHeight="15.75" x14ac:dyDescent="0.25"/>
  <cols>
    <col min="1" max="1" width="26.85546875" style="12" customWidth="1"/>
    <col min="2" max="2" width="10.85546875" style="12" customWidth="1"/>
    <col min="3" max="3" width="21.85546875" style="12" customWidth="1"/>
    <col min="4" max="4" width="15.42578125" style="12" customWidth="1"/>
    <col min="5" max="5" width="12.28515625" style="12" customWidth="1"/>
    <col min="6" max="6" width="17.85546875" style="12" customWidth="1"/>
    <col min="7" max="7" width="14.140625" style="12" customWidth="1"/>
    <col min="8" max="8" width="19.5703125" style="12" customWidth="1"/>
    <col min="9" max="16384" width="9.140625" style="12"/>
  </cols>
  <sheetData>
    <row r="1" spans="1:8" x14ac:dyDescent="0.25">
      <c r="E1" s="13"/>
      <c r="H1" s="13">
        <v>45765.999988425923</v>
      </c>
    </row>
    <row r="2" spans="1:8" x14ac:dyDescent="0.25">
      <c r="A2" s="14" t="s">
        <v>0</v>
      </c>
      <c r="B2" s="14"/>
      <c r="C2" s="15"/>
      <c r="D2" s="15"/>
      <c r="E2" s="16" t="s">
        <v>79</v>
      </c>
      <c r="F2" s="15"/>
      <c r="G2" s="15"/>
      <c r="H2" s="15"/>
    </row>
    <row r="3" spans="1:8" x14ac:dyDescent="0.25">
      <c r="A3" s="12" t="s">
        <v>7</v>
      </c>
      <c r="B3" s="12" t="s">
        <v>85</v>
      </c>
      <c r="C3" s="12" t="s">
        <v>8</v>
      </c>
      <c r="D3" s="12" t="s">
        <v>80</v>
      </c>
      <c r="E3" s="12" t="s">
        <v>81</v>
      </c>
      <c r="F3" s="12" t="s">
        <v>82</v>
      </c>
      <c r="G3" s="12" t="s">
        <v>84</v>
      </c>
      <c r="H3" s="12" t="s">
        <v>83</v>
      </c>
    </row>
    <row r="4" spans="1:8" ht="27" customHeight="1" x14ac:dyDescent="0.25">
      <c r="A4" s="12" t="s">
        <v>17</v>
      </c>
      <c r="C4" s="12" t="s">
        <v>18</v>
      </c>
      <c r="D4" s="17">
        <v>650</v>
      </c>
      <c r="E4" s="17">
        <v>0</v>
      </c>
      <c r="F4" s="17">
        <v>23058.5</v>
      </c>
      <c r="G4" s="17"/>
      <c r="H4" s="17">
        <v>23133.5</v>
      </c>
    </row>
    <row r="5" spans="1:8" ht="27" customHeight="1" x14ac:dyDescent="0.25">
      <c r="A5" s="12" t="s">
        <v>17</v>
      </c>
      <c r="C5" s="12" t="s">
        <v>44</v>
      </c>
      <c r="D5" s="17">
        <v>1050</v>
      </c>
      <c r="E5" s="17">
        <v>0</v>
      </c>
      <c r="F5" s="17">
        <v>42052.81</v>
      </c>
      <c r="G5" s="18">
        <f>SUM(F4:F5)</f>
        <v>65111.31</v>
      </c>
      <c r="H5" s="17">
        <v>42127.81</v>
      </c>
    </row>
    <row r="6" spans="1:8" ht="27" customHeight="1" x14ac:dyDescent="0.25">
      <c r="D6" s="17"/>
      <c r="E6" s="17"/>
      <c r="F6" s="17"/>
      <c r="G6" s="17"/>
      <c r="H6" s="17"/>
    </row>
    <row r="7" spans="1:8" ht="27" customHeight="1" x14ac:dyDescent="0.25">
      <c r="A7" s="12" t="s">
        <v>26</v>
      </c>
      <c r="C7" s="12" t="s">
        <v>18</v>
      </c>
      <c r="D7" s="17">
        <v>850</v>
      </c>
      <c r="E7" s="17">
        <v>0</v>
      </c>
      <c r="F7" s="17">
        <v>33943.14</v>
      </c>
      <c r="G7" s="17"/>
      <c r="H7" s="17">
        <v>34018.14</v>
      </c>
    </row>
    <row r="8" spans="1:8" ht="27" customHeight="1" x14ac:dyDescent="0.25">
      <c r="A8" s="12" t="s">
        <v>26</v>
      </c>
      <c r="C8" s="12" t="s">
        <v>44</v>
      </c>
      <c r="D8" s="17">
        <v>750</v>
      </c>
      <c r="E8" s="17">
        <v>0</v>
      </c>
      <c r="F8" s="17">
        <v>25891.63</v>
      </c>
      <c r="G8" s="18">
        <f>SUM(F7:F8)</f>
        <v>59834.770000000004</v>
      </c>
      <c r="H8" s="17">
        <v>25966.63</v>
      </c>
    </row>
    <row r="9" spans="1:8" ht="27" customHeight="1" x14ac:dyDescent="0.25">
      <c r="D9" s="17"/>
      <c r="E9" s="17"/>
      <c r="F9" s="17"/>
      <c r="G9" s="17"/>
      <c r="H9" s="17"/>
    </row>
    <row r="10" spans="1:8" ht="27" customHeight="1" x14ac:dyDescent="0.25">
      <c r="A10" s="12" t="s">
        <v>86</v>
      </c>
      <c r="C10" s="12" t="s">
        <v>18</v>
      </c>
      <c r="D10" s="17">
        <v>500</v>
      </c>
      <c r="E10" s="17">
        <v>0</v>
      </c>
      <c r="F10" s="18">
        <v>19268.939999999999</v>
      </c>
      <c r="G10" s="17"/>
      <c r="H10" s="17">
        <v>19343.939999999999</v>
      </c>
    </row>
    <row r="11" spans="1:8" ht="27" customHeight="1" x14ac:dyDescent="0.25">
      <c r="D11" s="17"/>
      <c r="E11" s="17"/>
      <c r="F11" s="17"/>
      <c r="G11" s="17"/>
      <c r="H11" s="17"/>
    </row>
    <row r="12" spans="1:8" ht="27" customHeight="1" x14ac:dyDescent="0.25">
      <c r="A12" s="12" t="s">
        <v>34</v>
      </c>
      <c r="C12" s="12" t="s">
        <v>18</v>
      </c>
      <c r="D12" s="17">
        <v>950</v>
      </c>
      <c r="E12" s="17">
        <v>0</v>
      </c>
      <c r="F12" s="17">
        <v>37959.96</v>
      </c>
      <c r="G12" s="17"/>
      <c r="H12" s="17">
        <v>38034.959999999999</v>
      </c>
    </row>
    <row r="13" spans="1:8" ht="27" customHeight="1" x14ac:dyDescent="0.25">
      <c r="A13" s="12" t="s">
        <v>34</v>
      </c>
      <c r="C13" s="12" t="s">
        <v>18</v>
      </c>
      <c r="D13" s="17">
        <v>1350</v>
      </c>
      <c r="E13" s="17">
        <v>0</v>
      </c>
      <c r="F13" s="17">
        <v>60084.98</v>
      </c>
      <c r="G13" s="17"/>
      <c r="H13" s="17">
        <v>60159.98</v>
      </c>
    </row>
    <row r="14" spans="1:8" ht="27" customHeight="1" x14ac:dyDescent="0.25">
      <c r="A14" s="12" t="s">
        <v>34</v>
      </c>
      <c r="C14" s="12" t="s">
        <v>18</v>
      </c>
      <c r="D14" s="17">
        <v>650</v>
      </c>
      <c r="E14" s="17">
        <v>0</v>
      </c>
      <c r="F14" s="17">
        <v>21925</v>
      </c>
      <c r="G14" s="18">
        <f>SUM(F12:F14)</f>
        <v>119969.94</v>
      </c>
      <c r="H14" s="17">
        <v>22000</v>
      </c>
    </row>
    <row r="15" spans="1:8" ht="27" customHeight="1" x14ac:dyDescent="0.25">
      <c r="D15" s="17"/>
      <c r="E15" s="17"/>
      <c r="F15" s="17"/>
      <c r="G15" s="17"/>
      <c r="H15" s="17"/>
    </row>
    <row r="16" spans="1:8" ht="27" customHeight="1" x14ac:dyDescent="0.25">
      <c r="A16" s="12" t="s">
        <v>59</v>
      </c>
      <c r="C16" s="12" t="s">
        <v>44</v>
      </c>
      <c r="D16" s="17">
        <v>750</v>
      </c>
      <c r="E16" s="17">
        <v>0</v>
      </c>
      <c r="F16" s="18">
        <v>26782.93</v>
      </c>
      <c r="G16" s="17"/>
      <c r="H16" s="17">
        <v>26857.93</v>
      </c>
    </row>
    <row r="17" spans="1:8" ht="27" customHeight="1" x14ac:dyDescent="0.25">
      <c r="D17" s="17"/>
      <c r="E17" s="17"/>
      <c r="F17" s="18"/>
      <c r="G17" s="17"/>
      <c r="H17" s="17"/>
    </row>
    <row r="18" spans="1:8" ht="27" customHeight="1" x14ac:dyDescent="0.25">
      <c r="A18" s="12" t="s">
        <v>22</v>
      </c>
      <c r="C18" s="12" t="s">
        <v>18</v>
      </c>
      <c r="D18" s="17">
        <v>950</v>
      </c>
      <c r="E18" s="17">
        <v>0</v>
      </c>
      <c r="F18" s="18">
        <v>36835.81</v>
      </c>
      <c r="G18" s="17"/>
      <c r="H18" s="17">
        <v>36910.81</v>
      </c>
    </row>
    <row r="19" spans="1:8" ht="27" customHeight="1" x14ac:dyDescent="0.25">
      <c r="D19" s="17"/>
      <c r="E19" s="17"/>
      <c r="F19" s="18"/>
      <c r="G19" s="17"/>
      <c r="H19" s="17"/>
    </row>
    <row r="20" spans="1:8" ht="27" customHeight="1" x14ac:dyDescent="0.25">
      <c r="A20" s="12" t="s">
        <v>48</v>
      </c>
      <c r="C20" s="12" t="s">
        <v>44</v>
      </c>
      <c r="D20" s="17">
        <v>500</v>
      </c>
      <c r="E20" s="17">
        <v>0</v>
      </c>
      <c r="F20" s="18">
        <v>19489.63</v>
      </c>
      <c r="G20" s="17"/>
      <c r="H20" s="17">
        <v>19564.63</v>
      </c>
    </row>
    <row r="21" spans="1:8" ht="27" customHeight="1" x14ac:dyDescent="0.25">
      <c r="D21" s="17"/>
      <c r="E21" s="17"/>
      <c r="F21" s="18"/>
      <c r="G21" s="17"/>
      <c r="H21" s="17"/>
    </row>
    <row r="22" spans="1:8" ht="27" customHeight="1" x14ac:dyDescent="0.25">
      <c r="A22" s="12" t="s">
        <v>30</v>
      </c>
      <c r="C22" s="12" t="s">
        <v>18</v>
      </c>
      <c r="D22" s="17">
        <v>850</v>
      </c>
      <c r="E22" s="17">
        <v>0</v>
      </c>
      <c r="F22" s="18">
        <v>30213.360000000001</v>
      </c>
      <c r="G22" s="17"/>
      <c r="H22" s="17">
        <v>30288.36</v>
      </c>
    </row>
    <row r="23" spans="1:8" ht="27" customHeight="1" x14ac:dyDescent="0.25">
      <c r="D23" s="17"/>
      <c r="E23" s="17"/>
      <c r="F23" s="18"/>
      <c r="G23" s="17"/>
      <c r="H23" s="17"/>
    </row>
    <row r="24" spans="1:8" ht="27" customHeight="1" x14ac:dyDescent="0.25">
      <c r="A24" s="12" t="s">
        <v>43</v>
      </c>
      <c r="C24" s="12" t="s">
        <v>44</v>
      </c>
      <c r="D24" s="17">
        <v>500</v>
      </c>
      <c r="E24" s="17">
        <v>0</v>
      </c>
      <c r="F24" s="18">
        <v>15883.25</v>
      </c>
      <c r="G24" s="17"/>
      <c r="H24" s="17">
        <v>15958.25</v>
      </c>
    </row>
    <row r="25" spans="1:8" x14ac:dyDescent="0.25">
      <c r="D25" s="17"/>
      <c r="E25" s="17"/>
      <c r="F25" s="17"/>
      <c r="G25" s="17"/>
      <c r="H25" s="17"/>
    </row>
    <row r="26" spans="1:8" x14ac:dyDescent="0.25">
      <c r="A26" s="19"/>
      <c r="B26" s="19"/>
      <c r="C26" s="19"/>
      <c r="D26" s="20">
        <f>SUM(D4:D24)</f>
        <v>10300</v>
      </c>
      <c r="E26" s="20">
        <f>SUM(E4:E24)</f>
        <v>0</v>
      </c>
      <c r="F26" s="20">
        <f>SUM(F4:F24)</f>
        <v>393389.93999999994</v>
      </c>
      <c r="G26" s="20"/>
      <c r="H26" s="20">
        <f>SUM(H4:H24)</f>
        <v>394364.93999999994</v>
      </c>
    </row>
  </sheetData>
  <mergeCells count="2">
    <mergeCell ref="A2:D2"/>
    <mergeCell ref="E2:H2"/>
  </mergeCells>
  <pageMargins left="0.7" right="0" top="0.75" bottom="0.75" header="0.3" footer="0.3"/>
  <pageSetup scale="86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2E94-009F-4ABB-9E88-EA4C4EB71A18}">
  <sheetPr>
    <pageSetUpPr fitToPage="1"/>
  </sheetPr>
  <dimension ref="A1:F19"/>
  <sheetViews>
    <sheetView workbookViewId="0">
      <selection activeCell="M13" sqref="M13"/>
    </sheetView>
  </sheetViews>
  <sheetFormatPr defaultRowHeight="15" x14ac:dyDescent="0.25"/>
  <cols>
    <col min="1" max="1" width="14.5703125" customWidth="1"/>
    <col min="2" max="2" width="16.7109375" customWidth="1"/>
    <col min="3" max="3" width="19" customWidth="1"/>
    <col min="4" max="4" width="5.140625" customWidth="1"/>
    <col min="5" max="5" width="15.140625" customWidth="1"/>
    <col min="6" max="6" width="14.7109375" customWidth="1"/>
  </cols>
  <sheetData>
    <row r="1" spans="1:6" ht="24.95" customHeight="1" x14ac:dyDescent="0.25">
      <c r="A1" t="s">
        <v>89</v>
      </c>
      <c r="D1" s="4"/>
      <c r="F1" s="4">
        <v>45765.999988425923</v>
      </c>
    </row>
    <row r="2" spans="1:6" ht="24.95" customHeight="1" x14ac:dyDescent="0.25">
      <c r="A2" s="8" t="s">
        <v>0</v>
      </c>
      <c r="B2" s="6"/>
      <c r="C2" s="6"/>
      <c r="D2" s="9" t="s">
        <v>87</v>
      </c>
      <c r="E2" s="6"/>
      <c r="F2" s="6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13</v>
      </c>
    </row>
    <row r="4" spans="1:6" ht="24.95" customHeight="1" x14ac:dyDescent="0.25">
      <c r="A4" t="s">
        <v>39</v>
      </c>
      <c r="B4" t="s">
        <v>41</v>
      </c>
      <c r="C4" t="s">
        <v>42</v>
      </c>
      <c r="E4" t="s">
        <v>43</v>
      </c>
    </row>
    <row r="5" spans="1:6" ht="24.95" customHeight="1" x14ac:dyDescent="0.25">
      <c r="A5" s="10"/>
      <c r="B5" s="10"/>
      <c r="C5" s="10" t="s">
        <v>88</v>
      </c>
      <c r="D5" s="10"/>
      <c r="E5" s="10"/>
      <c r="F5" s="10"/>
    </row>
    <row r="10" spans="1:6" x14ac:dyDescent="0.25">
      <c r="A10" t="s">
        <v>90</v>
      </c>
      <c r="B10" s="11"/>
      <c r="C10" s="11"/>
      <c r="D10" s="11"/>
    </row>
    <row r="15" spans="1:6" x14ac:dyDescent="0.25">
      <c r="A15" t="s">
        <v>91</v>
      </c>
      <c r="B15" s="11"/>
      <c r="C15" s="11"/>
      <c r="D15" s="11"/>
    </row>
    <row r="19" spans="1:3" x14ac:dyDescent="0.25">
      <c r="A19" t="s">
        <v>92</v>
      </c>
      <c r="B19" s="11"/>
      <c r="C19" s="11"/>
    </row>
  </sheetData>
  <mergeCells count="2">
    <mergeCell ref="A2:C2"/>
    <mergeCell ref="D2:F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2025-04-18T18:18:50Z</cp:lastPrinted>
  <dcterms:created xsi:type="dcterms:W3CDTF">2025-04-18T18:01:19Z</dcterms:created>
  <dcterms:modified xsi:type="dcterms:W3CDTF">2025-04-18T19:26:40Z</dcterms:modified>
</cp:coreProperties>
</file>