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9A0B0873-01DD-462B-AE65-D396889278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F25" i="1"/>
  <c r="F11" i="1"/>
  <c r="H34" i="1"/>
  <c r="E34" i="1"/>
  <c r="D34" i="1"/>
  <c r="C34" i="1"/>
</calcChain>
</file>

<file path=xl/sharedStrings.xml><?xml version="1.0" encoding="utf-8"?>
<sst xmlns="http://schemas.openxmlformats.org/spreadsheetml/2006/main" count="224" uniqueCount="122">
  <si>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</si>
  <si>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</si>
  <si>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</si>
  <si>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</si>
  <si>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</si>
  <si>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</si>
  <si>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</si>
  <si>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</si>
  <si>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</si>
  <si>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</si>
  <si>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</si>
  <si>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Neli Oliveira</t>
  </si>
  <si>
    <t>Coastal Volkswagon</t>
  </si>
  <si>
    <t>Marlene Braganca</t>
  </si>
  <si>
    <t>First Hyundai</t>
  </si>
  <si>
    <t>Rachel Gorham</t>
  </si>
  <si>
    <t>Lucchettis Service Center Inc</t>
  </si>
  <si>
    <t>Mastria Mazda</t>
  </si>
  <si>
    <t>Milford Nissan Corp</t>
  </si>
  <si>
    <t>NARSA AMC LLC d/b/a</t>
  </si>
  <si>
    <t>New England Automax Inc (marlborough)</t>
  </si>
  <si>
    <t>Patriot Auto Group Inc d/b/a</t>
  </si>
  <si>
    <t>Planet Subaru</t>
  </si>
  <si>
    <t>Priority Automotive LLC</t>
  </si>
  <si>
    <t>RAH FALL RIVER VW, LLC</t>
  </si>
  <si>
    <t>Richard Lundgren, Inc. d/b/a</t>
  </si>
  <si>
    <t>T F Murphy Enterprises Inc</t>
  </si>
  <si>
    <t>Column1</t>
  </si>
  <si>
    <t>Column2</t>
  </si>
  <si>
    <t>5900    6390</t>
  </si>
  <si>
    <t>2330    8209</t>
  </si>
  <si>
    <t># 17</t>
  </si>
  <si>
    <t>GREENE</t>
  </si>
  <si>
    <t>HLS1966@YAHOO.COM</t>
  </si>
  <si>
    <t>SLATER, HEIDI</t>
  </si>
  <si>
    <t>E Contract</t>
  </si>
  <si>
    <t>DealerTrack</t>
  </si>
  <si>
    <t>151233518E</t>
  </si>
  <si>
    <t>Scully</t>
  </si>
  <si>
    <t>bwgilbrook9@gmail.com</t>
  </si>
  <si>
    <t>GILBROOK, BRENDAN</t>
  </si>
  <si>
    <t>151233485E</t>
  </si>
  <si>
    <t>SPINNEY</t>
  </si>
  <si>
    <t>CONNIE.LOVEJOY@COMCAST.NET</t>
  </si>
  <si>
    <t>LOVEJOY, CONSTANCE</t>
  </si>
  <si>
    <t>Route One</t>
  </si>
  <si>
    <t>151233451E</t>
  </si>
  <si>
    <t>WALSH</t>
  </si>
  <si>
    <t>JLANOIE77@HOTMAIL.COM</t>
  </si>
  <si>
    <t>LANOIE, JAMES</t>
  </si>
  <si>
    <t>151233435E</t>
  </si>
  <si>
    <t>LIMA</t>
  </si>
  <si>
    <t>ralmeida131@yahoo.com</t>
  </si>
  <si>
    <t>Almeida, Rui</t>
  </si>
  <si>
    <t>151233419E</t>
  </si>
  <si>
    <t>MITCHELL</t>
  </si>
  <si>
    <t>PARMENAB@GMAIL.COM</t>
  </si>
  <si>
    <t>PARMENTER, AMY</t>
  </si>
  <si>
    <t>151233401E</t>
  </si>
  <si>
    <t>BODELL</t>
  </si>
  <si>
    <t>RLAVOIE1@WORCESTER.EDU</t>
  </si>
  <si>
    <t>LAVOIE, RYAN</t>
  </si>
  <si>
    <t>151233394E</t>
  </si>
  <si>
    <t>DUBBIOSSI</t>
  </si>
  <si>
    <t>CABIRIA58@YAHOO.COM</t>
  </si>
  <si>
    <t>MAZZUCHELLI, CABIRIA</t>
  </si>
  <si>
    <t>Paper</t>
  </si>
  <si>
    <t>151233360</t>
  </si>
  <si>
    <t>CASEY</t>
  </si>
  <si>
    <t>BTDELANEY53@GMAIL.COM</t>
  </si>
  <si>
    <t>DELANEY, BRENDAN</t>
  </si>
  <si>
    <t>151233302</t>
  </si>
  <si>
    <t>IVEY</t>
  </si>
  <si>
    <t>BRIANNE8@HOTMAIL.COM</t>
  </si>
  <si>
    <t>CROOK, JENNIFER</t>
  </si>
  <si>
    <t>151233287E</t>
  </si>
  <si>
    <t>Mooney</t>
  </si>
  <si>
    <t>DEMARCO9@VERIZON.NET</t>
  </si>
  <si>
    <t>DEMARCO, JOHN</t>
  </si>
  <si>
    <t>151233261E</t>
  </si>
  <si>
    <t>GOULD</t>
  </si>
  <si>
    <t>SCHELLER97@AOL.COM</t>
  </si>
  <si>
    <t>SCHELLER, CHARLES</t>
  </si>
  <si>
    <t>151233229E</t>
  </si>
  <si>
    <t>KEITH</t>
  </si>
  <si>
    <t>RELDNAHCTREBOR@GMAIL.COM</t>
  </si>
  <si>
    <t>CHANDLER, ROBERT</t>
  </si>
  <si>
    <t>151233203E</t>
  </si>
  <si>
    <t>DEBRUIN</t>
  </si>
  <si>
    <t>FLAHERTY</t>
  </si>
  <si>
    <t>JDUNHAM32012@GMAIL.COM</t>
  </si>
  <si>
    <t>DUNHAM, JOHN</t>
  </si>
  <si>
    <t>DUNHAM, MARYA</t>
  </si>
  <si>
    <t>151233188E</t>
  </si>
  <si>
    <t>SOUZA</t>
  </si>
  <si>
    <t>JROSIE1128@GMAIL.COM</t>
  </si>
  <si>
    <t>ROSA, JESSICA</t>
  </si>
  <si>
    <t>151233162E</t>
  </si>
  <si>
    <t>MONIZ</t>
  </si>
  <si>
    <t>EDS97VETTE@GMAIL.COM</t>
  </si>
  <si>
    <t>RITA, EDWARD</t>
  </si>
  <si>
    <t>151233154E</t>
  </si>
  <si>
    <t>LYNCH</t>
  </si>
  <si>
    <t>Sm1952002@gmail.com</t>
  </si>
  <si>
    <t>MALINOWSKI, STEPHEN</t>
  </si>
  <si>
    <t>151233138E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</si>
  <si>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</si>
  <si>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</si>
  <si>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</si>
  <si>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</si>
  <si>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</si>
  <si>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</si>
  <si>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</si>
  <si>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</si>
  <si>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</si>
  <si>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</si>
  <si>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</si>
  <si>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</t>
  </si>
  <si>
    <t>Received By____________________________________________________________________________</t>
  </si>
  <si>
    <t>Delivered By____________________________________________________________________________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</si>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</sst>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1B9DC4AB-0DCF-4C7F-B0BE-7974161B74BC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4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C56E2778-4EEA-4B2A-8F81-791D4BB20097}" name="Column1" dataDxfId="23"/>
    <tableColumn id="8" xr3:uid="{569AC1F0-9036-40B1-A0C2-DF522E927833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35A0FF-2DF1-4961-A47C-0A1F22CAC09A}" name="Table_13" displayName="Table_13" ref="A3:L2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753A22-2A2D-41D0-8164-626B9808E89E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workbookViewId="0">
      <pane ySplit="3" topLeftCell="A13" activePane="bottomLeft" state="frozen"/>
      <selection pane="bottomLeft" activeCell="E33" sqref="E33"/>
    </sheetView>
  </sheetViews>
  <sheetFormatPr defaultRowHeight="15" x14ac:dyDescent="0.25"/>
  <cols>
    <col min="1" max="1" width="39" bestFit="1" customWidth="1"/>
    <col min="2" max="2" width="17.7109375" bestFit="1" customWidth="1"/>
    <col min="3" max="3" width="11.140625" bestFit="1" customWidth="1"/>
    <col min="4" max="4" width="16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45938</v>
      </c>
      <c r="E1" t="s">
        <v>2</v>
      </c>
      <c r="H1" s="4">
        <v>45938.999988425923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27</v>
      </c>
      <c r="G3" t="s">
        <v>28</v>
      </c>
      <c r="H3" t="s">
        <v>9</v>
      </c>
    </row>
    <row r="4" spans="1:8" x14ac:dyDescent="0.25">
      <c r="A4" t="s">
        <v>10</v>
      </c>
      <c r="B4" t="s">
        <v>11</v>
      </c>
      <c r="C4" s="2">
        <v>750</v>
      </c>
      <c r="D4" s="2">
        <v>0</v>
      </c>
      <c r="E4" s="2">
        <v>25220.31</v>
      </c>
      <c r="F4" s="2"/>
      <c r="G4" s="2"/>
      <c r="H4" s="2">
        <v>25295.31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950</v>
      </c>
      <c r="D6" s="2">
        <v>0</v>
      </c>
      <c r="E6" s="2">
        <v>37337.129999999997</v>
      </c>
      <c r="F6" s="2"/>
      <c r="G6" s="2"/>
      <c r="H6" s="2">
        <v>37412.129999999997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15</v>
      </c>
      <c r="C8" s="2">
        <v>500</v>
      </c>
      <c r="D8" s="2">
        <v>0</v>
      </c>
      <c r="E8" s="2">
        <v>15614.38</v>
      </c>
      <c r="F8" s="2"/>
      <c r="G8" s="2" t="s">
        <v>30</v>
      </c>
      <c r="H8" s="2">
        <v>15689.38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16</v>
      </c>
      <c r="B10" t="s">
        <v>15</v>
      </c>
      <c r="C10" s="2">
        <v>850</v>
      </c>
      <c r="D10" s="2">
        <v>0</v>
      </c>
      <c r="E10" s="2">
        <v>32995.5</v>
      </c>
      <c r="F10" s="2"/>
      <c r="G10" s="2"/>
      <c r="H10" s="2">
        <v>33070.5</v>
      </c>
    </row>
    <row r="11" spans="1:8" x14ac:dyDescent="0.25">
      <c r="A11" t="s">
        <v>16</v>
      </c>
      <c r="B11" t="s">
        <v>11</v>
      </c>
      <c r="C11" s="2">
        <v>750</v>
      </c>
      <c r="D11" s="2">
        <v>0</v>
      </c>
      <c r="E11" s="2">
        <v>24934.94</v>
      </c>
      <c r="F11" s="2">
        <f>SUM(E10:E11)</f>
        <v>57930.44</v>
      </c>
      <c r="G11" s="2"/>
      <c r="H11" s="2">
        <v>25009.94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t="s">
        <v>11</v>
      </c>
      <c r="C13" s="2">
        <v>950</v>
      </c>
      <c r="D13" s="2">
        <v>0</v>
      </c>
      <c r="E13" s="2">
        <v>39634.36</v>
      </c>
      <c r="F13" s="2"/>
      <c r="G13" s="2" t="s">
        <v>29</v>
      </c>
      <c r="H13" s="2">
        <v>39709.360000000001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18</v>
      </c>
      <c r="B15" t="s">
        <v>11</v>
      </c>
      <c r="C15" s="2">
        <v>650</v>
      </c>
      <c r="D15" s="2">
        <v>0</v>
      </c>
      <c r="E15" s="2">
        <v>22238.21</v>
      </c>
      <c r="F15" s="2"/>
      <c r="G15" s="2"/>
      <c r="H15" s="2">
        <v>22313.21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19</v>
      </c>
      <c r="B17" t="s">
        <v>15</v>
      </c>
      <c r="C17" s="2">
        <v>650</v>
      </c>
      <c r="D17" s="2">
        <v>0</v>
      </c>
      <c r="E17" s="2">
        <v>24903.439999999999</v>
      </c>
      <c r="F17" s="2"/>
      <c r="G17" s="2"/>
      <c r="H17" s="2">
        <v>24978.44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20</v>
      </c>
      <c r="B19" t="s">
        <v>13</v>
      </c>
      <c r="C19" s="2">
        <v>950</v>
      </c>
      <c r="D19" s="2">
        <v>0</v>
      </c>
      <c r="E19" s="2">
        <v>39747.94</v>
      </c>
      <c r="F19" s="2"/>
      <c r="G19" s="2"/>
      <c r="H19" s="2">
        <v>39822.94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21</v>
      </c>
      <c r="B21" t="s">
        <v>11</v>
      </c>
      <c r="C21" s="2">
        <v>1150</v>
      </c>
      <c r="D21" s="2">
        <v>0</v>
      </c>
      <c r="E21" s="2">
        <v>45627.34</v>
      </c>
      <c r="F21" s="2"/>
      <c r="G21" s="2"/>
      <c r="H21" s="2">
        <v>45702.34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22</v>
      </c>
      <c r="B23" t="s">
        <v>11</v>
      </c>
      <c r="C23" s="2">
        <v>500</v>
      </c>
      <c r="D23" s="2">
        <v>0</v>
      </c>
      <c r="E23" s="2">
        <v>18687.72</v>
      </c>
      <c r="F23" s="2"/>
      <c r="G23" s="2"/>
      <c r="H23" s="2">
        <v>18762.72</v>
      </c>
    </row>
    <row r="24" spans="1:8" x14ac:dyDescent="0.25">
      <c r="A24" t="s">
        <v>22</v>
      </c>
      <c r="B24" t="s">
        <v>11</v>
      </c>
      <c r="C24" s="2">
        <v>850</v>
      </c>
      <c r="D24" s="2">
        <v>0</v>
      </c>
      <c r="E24" s="2">
        <v>31455.25</v>
      </c>
      <c r="F24" s="2"/>
      <c r="G24" s="2"/>
      <c r="H24" s="2">
        <v>31530.25</v>
      </c>
    </row>
    <row r="25" spans="1:8" x14ac:dyDescent="0.25">
      <c r="A25" t="s">
        <v>22</v>
      </c>
      <c r="B25" t="s">
        <v>11</v>
      </c>
      <c r="C25" s="2">
        <v>650</v>
      </c>
      <c r="D25" s="2">
        <v>0</v>
      </c>
      <c r="E25" s="2">
        <v>22323.25</v>
      </c>
      <c r="F25" s="2">
        <f>SUM(E23:E25)</f>
        <v>72466.22</v>
      </c>
      <c r="G25" s="2"/>
      <c r="H25" s="2">
        <v>22398.25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23</v>
      </c>
      <c r="B27" t="s">
        <v>15</v>
      </c>
      <c r="C27" s="2">
        <v>500</v>
      </c>
      <c r="D27" s="2">
        <v>0</v>
      </c>
      <c r="E27" s="2">
        <v>19435.79</v>
      </c>
      <c r="F27" s="2"/>
      <c r="G27" s="2"/>
      <c r="H27" s="2">
        <v>19510.79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24</v>
      </c>
      <c r="B29" t="s">
        <v>11</v>
      </c>
      <c r="C29" s="2">
        <v>650</v>
      </c>
      <c r="D29" s="2">
        <v>0</v>
      </c>
      <c r="E29" s="2">
        <v>20083.93</v>
      </c>
      <c r="F29" s="2"/>
      <c r="G29" s="2"/>
      <c r="H29" s="2">
        <v>20158.93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25</v>
      </c>
      <c r="B31" t="s">
        <v>15</v>
      </c>
      <c r="C31" s="2">
        <v>750</v>
      </c>
      <c r="D31" s="2">
        <v>0</v>
      </c>
      <c r="E31" s="2">
        <v>25625.83</v>
      </c>
      <c r="F31" s="2"/>
      <c r="G31" s="2"/>
      <c r="H31" s="2">
        <v>25700.83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26</v>
      </c>
      <c r="B33" t="s">
        <v>11</v>
      </c>
      <c r="C33" s="2">
        <v>750</v>
      </c>
      <c r="D33" s="2">
        <v>0</v>
      </c>
      <c r="E33" s="2">
        <v>27936.63</v>
      </c>
      <c r="F33" s="2"/>
      <c r="G33" s="2"/>
      <c r="H33" s="2">
        <v>28011.63</v>
      </c>
    </row>
    <row r="34" spans="1:8" x14ac:dyDescent="0.25">
      <c r="A34" s="1"/>
      <c r="B34" s="1"/>
      <c r="C34" s="3">
        <f>SUM(C4:C33)</f>
        <v>12800</v>
      </c>
      <c r="D34" s="3">
        <f>SUM(D4:D33)</f>
        <v>0</v>
      </c>
      <c r="E34" s="3">
        <f>SUM(E4:E33)</f>
        <v>473801.9499999999</v>
      </c>
      <c r="F34" s="3"/>
      <c r="G34" s="3"/>
      <c r="H34" s="3">
        <f>SUM(H4:H33)</f>
        <v>475076.9499999999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595F-63BF-4150-9993-F8BC238A79CF}">
  <sheetPr>
    <pageSetUpPr fitToPage="1"/>
  </sheetPr>
  <dimension ref="A1:L25"/>
  <sheetViews>
    <sheetView workbookViewId="0">
      <pane ySplit="3" topLeftCell="A11" activePane="bottomLeft" state="frozen"/>
      <selection pane="bottomLeft" activeCell="F19" sqref="F1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.7109375" style="8" bestFit="1" customWidth="1"/>
    <col min="5" max="5" width="18.7109375" style="8" bestFit="1" customWidth="1"/>
    <col min="6" max="6" width="39" style="8" bestFit="1" customWidth="1"/>
    <col min="7" max="7" width="17.7109375" style="8" bestFit="1" customWidth="1"/>
    <col min="8" max="8" width="17.140625" style="8" bestFit="1" customWidth="1"/>
    <col min="9" max="9" width="32" style="8" bestFit="1" customWidth="1"/>
    <col min="10" max="10" width="28.28515625" style="8" bestFit="1" customWidth="1"/>
    <col min="11" max="11" width="16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45938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116</v>
      </c>
      <c r="H2" s="12"/>
      <c r="I2" s="12"/>
      <c r="J2" s="12"/>
      <c r="K2" s="12"/>
      <c r="L2" s="12"/>
    </row>
    <row r="3" spans="1:12" ht="35.1" customHeight="1" x14ac:dyDescent="0.25">
      <c r="A3" s="9" t="s">
        <v>115</v>
      </c>
      <c r="B3" s="9" t="s">
        <v>114</v>
      </c>
      <c r="C3" s="9" t="s">
        <v>113</v>
      </c>
      <c r="D3" s="9" t="s">
        <v>112</v>
      </c>
      <c r="E3" s="9" t="s">
        <v>111</v>
      </c>
      <c r="F3" s="9" t="s">
        <v>4</v>
      </c>
      <c r="G3" s="9" t="s">
        <v>5</v>
      </c>
      <c r="H3" s="9" t="s">
        <v>110</v>
      </c>
      <c r="I3" s="9" t="s">
        <v>109</v>
      </c>
      <c r="J3" s="9" t="s">
        <v>108</v>
      </c>
      <c r="K3" s="9" t="s">
        <v>107</v>
      </c>
      <c r="L3" s="9" t="s">
        <v>106</v>
      </c>
    </row>
    <row r="4" spans="1:12" ht="35.1" customHeight="1" x14ac:dyDescent="0.25">
      <c r="A4" s="9" t="s">
        <v>105</v>
      </c>
      <c r="B4" s="9" t="s">
        <v>45</v>
      </c>
      <c r="C4" s="9" t="s">
        <v>35</v>
      </c>
      <c r="D4" s="9" t="s">
        <v>104</v>
      </c>
      <c r="E4" s="9"/>
      <c r="F4" s="9" t="s">
        <v>16</v>
      </c>
      <c r="G4" s="9" t="s">
        <v>15</v>
      </c>
      <c r="H4" s="14">
        <v>33070.5</v>
      </c>
      <c r="I4" s="9" t="s">
        <v>103</v>
      </c>
      <c r="J4" s="9"/>
      <c r="K4" s="9" t="s">
        <v>102</v>
      </c>
      <c r="L4" s="9"/>
    </row>
    <row r="5" spans="1:12" ht="35.1" customHeight="1" x14ac:dyDescent="0.25">
      <c r="A5" s="9" t="s">
        <v>101</v>
      </c>
      <c r="B5" s="9" t="s">
        <v>36</v>
      </c>
      <c r="C5" s="9" t="s">
        <v>35</v>
      </c>
      <c r="D5" s="9" t="s">
        <v>100</v>
      </c>
      <c r="E5" s="9"/>
      <c r="F5" s="9" t="s">
        <v>23</v>
      </c>
      <c r="G5" s="9" t="s">
        <v>15</v>
      </c>
      <c r="H5" s="14">
        <v>19510.79</v>
      </c>
      <c r="I5" s="9" t="s">
        <v>99</v>
      </c>
      <c r="J5" s="9"/>
      <c r="K5" s="9" t="s">
        <v>98</v>
      </c>
      <c r="L5" s="9"/>
    </row>
    <row r="6" spans="1:12" ht="35.1" customHeight="1" x14ac:dyDescent="0.25">
      <c r="A6" s="9" t="s">
        <v>97</v>
      </c>
      <c r="B6" s="9" t="s">
        <v>36</v>
      </c>
      <c r="C6" s="9" t="s">
        <v>35</v>
      </c>
      <c r="D6" s="9" t="s">
        <v>96</v>
      </c>
      <c r="E6" s="9"/>
      <c r="F6" s="9" t="s">
        <v>22</v>
      </c>
      <c r="G6" s="9" t="s">
        <v>11</v>
      </c>
      <c r="H6" s="14">
        <v>18762.72</v>
      </c>
      <c r="I6" s="9" t="s">
        <v>95</v>
      </c>
      <c r="J6" s="9"/>
      <c r="K6" s="9" t="s">
        <v>94</v>
      </c>
      <c r="L6" s="9"/>
    </row>
    <row r="7" spans="1:12" ht="35.1" customHeight="1" x14ac:dyDescent="0.25">
      <c r="A7" s="9" t="s">
        <v>93</v>
      </c>
      <c r="B7" s="9" t="s">
        <v>36</v>
      </c>
      <c r="C7" s="9" t="s">
        <v>35</v>
      </c>
      <c r="D7" s="9" t="s">
        <v>92</v>
      </c>
      <c r="E7" s="9" t="s">
        <v>91</v>
      </c>
      <c r="F7" s="9" t="s">
        <v>22</v>
      </c>
      <c r="G7" s="9" t="s">
        <v>11</v>
      </c>
      <c r="H7" s="14">
        <v>22398.25</v>
      </c>
      <c r="I7" s="9"/>
      <c r="J7" s="9" t="s">
        <v>90</v>
      </c>
      <c r="K7" s="9" t="s">
        <v>89</v>
      </c>
      <c r="L7" s="9" t="s">
        <v>88</v>
      </c>
    </row>
    <row r="8" spans="1:12" ht="35.1" customHeight="1" x14ac:dyDescent="0.25">
      <c r="A8" s="9" t="s">
        <v>87</v>
      </c>
      <c r="B8" s="9" t="s">
        <v>45</v>
      </c>
      <c r="C8" s="9" t="s">
        <v>35</v>
      </c>
      <c r="D8" s="9" t="s">
        <v>86</v>
      </c>
      <c r="E8" s="9"/>
      <c r="F8" s="9" t="s">
        <v>26</v>
      </c>
      <c r="G8" s="9" t="s">
        <v>11</v>
      </c>
      <c r="H8" s="14">
        <v>28011.63</v>
      </c>
      <c r="I8" s="9" t="s">
        <v>85</v>
      </c>
      <c r="J8" s="9"/>
      <c r="K8" s="9" t="s">
        <v>84</v>
      </c>
      <c r="L8" s="9"/>
    </row>
    <row r="9" spans="1:12" ht="35.1" customHeight="1" x14ac:dyDescent="0.25">
      <c r="A9" s="9" t="s">
        <v>83</v>
      </c>
      <c r="B9" s="9" t="s">
        <v>36</v>
      </c>
      <c r="C9" s="9" t="s">
        <v>35</v>
      </c>
      <c r="D9" s="9" t="s">
        <v>82</v>
      </c>
      <c r="E9" s="9"/>
      <c r="F9" s="9" t="s">
        <v>22</v>
      </c>
      <c r="G9" s="9" t="s">
        <v>11</v>
      </c>
      <c r="H9" s="14">
        <v>31530.25</v>
      </c>
      <c r="I9" s="9" t="s">
        <v>81</v>
      </c>
      <c r="J9" s="9"/>
      <c r="K9" s="9" t="s">
        <v>80</v>
      </c>
      <c r="L9" s="9"/>
    </row>
    <row r="10" spans="1:12" ht="35.1" customHeight="1" x14ac:dyDescent="0.25">
      <c r="A10" s="9" t="s">
        <v>79</v>
      </c>
      <c r="B10" s="9" t="s">
        <v>36</v>
      </c>
      <c r="C10" s="9" t="s">
        <v>35</v>
      </c>
      <c r="D10" s="9" t="s">
        <v>78</v>
      </c>
      <c r="E10" s="9"/>
      <c r="F10" s="9" t="s">
        <v>12</v>
      </c>
      <c r="G10" s="9" t="s">
        <v>13</v>
      </c>
      <c r="H10" s="14">
        <v>37412.129999999997</v>
      </c>
      <c r="I10" s="9" t="s">
        <v>77</v>
      </c>
      <c r="J10" s="9"/>
      <c r="K10" s="9" t="s">
        <v>76</v>
      </c>
      <c r="L10" s="9"/>
    </row>
    <row r="11" spans="1:12" ht="35.1" customHeight="1" x14ac:dyDescent="0.25">
      <c r="A11" s="9" t="s">
        <v>75</v>
      </c>
      <c r="B11" s="9" t="s">
        <v>45</v>
      </c>
      <c r="C11" s="9" t="s">
        <v>35</v>
      </c>
      <c r="D11" s="9" t="s">
        <v>74</v>
      </c>
      <c r="E11" s="9"/>
      <c r="F11" s="9" t="s">
        <v>17</v>
      </c>
      <c r="G11" s="9" t="s">
        <v>11</v>
      </c>
      <c r="H11" s="14">
        <v>39709.360000000001</v>
      </c>
      <c r="I11" s="9" t="s">
        <v>73</v>
      </c>
      <c r="J11" s="9"/>
      <c r="K11" s="9" t="s">
        <v>72</v>
      </c>
      <c r="L11" s="9"/>
    </row>
    <row r="12" spans="1:12" ht="35.1" customHeight="1" x14ac:dyDescent="0.25">
      <c r="A12" s="9" t="s">
        <v>71</v>
      </c>
      <c r="B12" s="9" t="s">
        <v>36</v>
      </c>
      <c r="C12" s="9" t="s">
        <v>66</v>
      </c>
      <c r="D12" s="9" t="s">
        <v>70</v>
      </c>
      <c r="E12" s="9"/>
      <c r="F12" s="9" t="s">
        <v>19</v>
      </c>
      <c r="G12" s="9" t="s">
        <v>15</v>
      </c>
      <c r="H12" s="14">
        <v>24978.44</v>
      </c>
      <c r="I12" s="9" t="s">
        <v>69</v>
      </c>
      <c r="J12" s="9"/>
      <c r="K12" s="9" t="s">
        <v>68</v>
      </c>
      <c r="L12" s="9"/>
    </row>
    <row r="13" spans="1:12" ht="35.1" customHeight="1" x14ac:dyDescent="0.25">
      <c r="A13" s="9" t="s">
        <v>67</v>
      </c>
      <c r="B13" s="9" t="s">
        <v>36</v>
      </c>
      <c r="C13" s="9" t="s">
        <v>66</v>
      </c>
      <c r="D13" s="9" t="s">
        <v>65</v>
      </c>
      <c r="E13" s="9"/>
      <c r="F13" s="9" t="s">
        <v>18</v>
      </c>
      <c r="G13" s="9" t="s">
        <v>11</v>
      </c>
      <c r="H13" s="14">
        <v>22313.21</v>
      </c>
      <c r="I13" s="9" t="s">
        <v>64</v>
      </c>
      <c r="J13" s="9"/>
      <c r="K13" s="9" t="s">
        <v>63</v>
      </c>
      <c r="L13" s="9"/>
    </row>
    <row r="14" spans="1:12" ht="35.1" customHeight="1" x14ac:dyDescent="0.25">
      <c r="A14" s="9" t="s">
        <v>62</v>
      </c>
      <c r="B14" s="9" t="s">
        <v>36</v>
      </c>
      <c r="C14" s="9" t="s">
        <v>35</v>
      </c>
      <c r="D14" s="9" t="s">
        <v>61</v>
      </c>
      <c r="E14" s="9"/>
      <c r="F14" s="9" t="s">
        <v>14</v>
      </c>
      <c r="G14" s="9" t="s">
        <v>15</v>
      </c>
      <c r="H14" s="14">
        <v>15689.38</v>
      </c>
      <c r="I14" s="9" t="s">
        <v>60</v>
      </c>
      <c r="J14" s="9"/>
      <c r="K14" s="9" t="s">
        <v>59</v>
      </c>
      <c r="L14" s="9"/>
    </row>
    <row r="15" spans="1:12" ht="35.1" customHeight="1" x14ac:dyDescent="0.25">
      <c r="A15" s="9" t="s">
        <v>58</v>
      </c>
      <c r="B15" s="9" t="s">
        <v>36</v>
      </c>
      <c r="C15" s="9" t="s">
        <v>35</v>
      </c>
      <c r="D15" s="9" t="s">
        <v>57</v>
      </c>
      <c r="E15" s="9"/>
      <c r="F15" s="9" t="s">
        <v>24</v>
      </c>
      <c r="G15" s="9" t="s">
        <v>11</v>
      </c>
      <c r="H15" s="14">
        <v>20158.93</v>
      </c>
      <c r="I15" s="9" t="s">
        <v>56</v>
      </c>
      <c r="J15" s="9"/>
      <c r="K15" s="9" t="s">
        <v>55</v>
      </c>
      <c r="L15" s="9"/>
    </row>
    <row r="16" spans="1:12" ht="35.1" customHeight="1" x14ac:dyDescent="0.25">
      <c r="A16" s="9" t="s">
        <v>54</v>
      </c>
      <c r="B16" s="9" t="s">
        <v>45</v>
      </c>
      <c r="C16" s="9" t="s">
        <v>35</v>
      </c>
      <c r="D16" s="9" t="s">
        <v>53</v>
      </c>
      <c r="E16" s="9"/>
      <c r="F16" s="9" t="s">
        <v>10</v>
      </c>
      <c r="G16" s="9" t="s">
        <v>11</v>
      </c>
      <c r="H16" s="14">
        <v>25295.31</v>
      </c>
      <c r="I16" s="9" t="s">
        <v>52</v>
      </c>
      <c r="J16" s="9"/>
      <c r="K16" s="9" t="s">
        <v>51</v>
      </c>
      <c r="L16" s="9"/>
    </row>
    <row r="17" spans="1:12" ht="35.1" customHeight="1" x14ac:dyDescent="0.25">
      <c r="A17" s="9" t="s">
        <v>50</v>
      </c>
      <c r="B17" s="9" t="s">
        <v>45</v>
      </c>
      <c r="C17" s="9" t="s">
        <v>35</v>
      </c>
      <c r="D17" s="9" t="s">
        <v>49</v>
      </c>
      <c r="E17" s="9"/>
      <c r="F17" s="9" t="s">
        <v>21</v>
      </c>
      <c r="G17" s="9" t="s">
        <v>11</v>
      </c>
      <c r="H17" s="14">
        <v>45702.34</v>
      </c>
      <c r="I17" s="9" t="s">
        <v>48</v>
      </c>
      <c r="J17" s="9"/>
      <c r="K17" s="9" t="s">
        <v>47</v>
      </c>
      <c r="L17" s="9"/>
    </row>
    <row r="18" spans="1:12" ht="35.1" customHeight="1" x14ac:dyDescent="0.25">
      <c r="A18" s="9" t="s">
        <v>46</v>
      </c>
      <c r="B18" s="9" t="s">
        <v>45</v>
      </c>
      <c r="C18" s="9" t="s">
        <v>35</v>
      </c>
      <c r="D18" s="9" t="s">
        <v>44</v>
      </c>
      <c r="E18" s="9"/>
      <c r="F18" s="9" t="s">
        <v>16</v>
      </c>
      <c r="G18" s="9" t="s">
        <v>11</v>
      </c>
      <c r="H18" s="14">
        <v>25009.94</v>
      </c>
      <c r="I18" s="9" t="s">
        <v>43</v>
      </c>
      <c r="J18" s="9"/>
      <c r="K18" s="9" t="s">
        <v>42</v>
      </c>
      <c r="L18" s="9"/>
    </row>
    <row r="19" spans="1:12" ht="35.1" customHeight="1" x14ac:dyDescent="0.25">
      <c r="A19" s="9" t="s">
        <v>41</v>
      </c>
      <c r="B19" s="9" t="s">
        <v>36</v>
      </c>
      <c r="C19" s="9" t="s">
        <v>35</v>
      </c>
      <c r="D19" s="9" t="s">
        <v>40</v>
      </c>
      <c r="E19" s="9"/>
      <c r="F19" s="9" t="s">
        <v>20</v>
      </c>
      <c r="G19" s="9" t="s">
        <v>13</v>
      </c>
      <c r="H19" s="14">
        <v>39822.94</v>
      </c>
      <c r="I19" s="9" t="s">
        <v>39</v>
      </c>
      <c r="J19" s="9"/>
      <c r="K19" s="9" t="s">
        <v>38</v>
      </c>
      <c r="L19" s="9"/>
    </row>
    <row r="20" spans="1:12" ht="35.1" customHeight="1" x14ac:dyDescent="0.25">
      <c r="A20" s="9" t="s">
        <v>37</v>
      </c>
      <c r="B20" s="9" t="s">
        <v>36</v>
      </c>
      <c r="C20" s="9" t="s">
        <v>35</v>
      </c>
      <c r="D20" s="9" t="s">
        <v>34</v>
      </c>
      <c r="E20" s="9"/>
      <c r="F20" s="9" t="s">
        <v>25</v>
      </c>
      <c r="G20" s="9" t="s">
        <v>15</v>
      </c>
      <c r="H20" s="14">
        <v>25700.83</v>
      </c>
      <c r="I20" s="9" t="s">
        <v>33</v>
      </c>
      <c r="J20" s="9"/>
      <c r="K20" s="9" t="s">
        <v>32</v>
      </c>
      <c r="L20" s="9"/>
    </row>
    <row r="21" spans="1:12" ht="35.1" customHeight="1" x14ac:dyDescent="0.25">
      <c r="A21" s="15"/>
      <c r="B21" s="15"/>
      <c r="C21" s="15"/>
      <c r="D21" s="15" t="s">
        <v>31</v>
      </c>
      <c r="E21" s="15"/>
      <c r="F21" s="15"/>
      <c r="G21" s="15"/>
      <c r="H21" s="16">
        <f>SUM(H4:H20)</f>
        <v>475076.95</v>
      </c>
      <c r="I21" s="15"/>
      <c r="J21" s="15"/>
      <c r="K21" s="15"/>
      <c r="L21" s="15"/>
    </row>
    <row r="22" spans="1:12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5.1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5.1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7F25-A1D9-4C05-AD87-B58D187522F3}">
  <sheetPr>
    <pageSetUpPr fitToPage="1"/>
  </sheetPr>
  <dimension ref="A1:E23"/>
  <sheetViews>
    <sheetView workbookViewId="0">
      <pane ySplit="3" topLeftCell="A4" activePane="bottomLeft" state="frozen"/>
      <selection pane="bottomLeft" activeCell="D27" sqref="D27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2.7109375" style="8" bestFit="1" customWidth="1"/>
    <col min="4" max="4" width="18.7109375" style="8" bestFit="1" customWidth="1"/>
    <col min="5" max="5" width="39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45938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121</v>
      </c>
      <c r="E2" s="12"/>
    </row>
    <row r="3" spans="1:5" x14ac:dyDescent="0.25">
      <c r="A3" s="9" t="s">
        <v>115</v>
      </c>
      <c r="B3" s="9" t="s">
        <v>113</v>
      </c>
      <c r="C3" s="9" t="s">
        <v>112</v>
      </c>
      <c r="D3" s="9" t="s">
        <v>111</v>
      </c>
      <c r="E3" s="9" t="s">
        <v>4</v>
      </c>
    </row>
    <row r="4" spans="1:5" x14ac:dyDescent="0.25">
      <c r="A4" s="9" t="s">
        <v>71</v>
      </c>
      <c r="B4" s="9" t="s">
        <v>66</v>
      </c>
      <c r="C4" s="9" t="s">
        <v>70</v>
      </c>
      <c r="D4" s="9"/>
      <c r="E4" s="9" t="s">
        <v>19</v>
      </c>
    </row>
    <row r="5" spans="1:5" x14ac:dyDescent="0.25">
      <c r="A5" s="9" t="s">
        <v>67</v>
      </c>
      <c r="B5" s="9" t="s">
        <v>66</v>
      </c>
      <c r="C5" s="9" t="s">
        <v>65</v>
      </c>
      <c r="D5" s="9"/>
      <c r="E5" s="9" t="s">
        <v>18</v>
      </c>
    </row>
    <row r="6" spans="1:5" x14ac:dyDescent="0.25">
      <c r="A6" s="15"/>
      <c r="B6" s="15"/>
      <c r="C6" s="15" t="s">
        <v>120</v>
      </c>
      <c r="D6" s="15"/>
      <c r="E6" s="15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 t="s">
        <v>119</v>
      </c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118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117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</sheetData>
  <mergeCells count="2">
    <mergeCell ref="A2:C2"/>
    <mergeCell ref="D2:E2"/>
  </mergeCells>
  <pageMargins left="0.7" right="0.7" top="0.75" bottom="0.75" header="0.3" footer="0.3"/>
  <pageSetup scale="8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2025-10-08T18:35:13Z</cp:lastPrinted>
  <dcterms:created xsi:type="dcterms:W3CDTF">2025-10-08T18:29:14Z</dcterms:created>
  <dcterms:modified xsi:type="dcterms:W3CDTF">2025-10-08T18:53:55Z</dcterms:modified>
</cp:coreProperties>
</file>