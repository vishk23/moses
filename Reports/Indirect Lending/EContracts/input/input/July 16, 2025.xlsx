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D68533E2-5786-4748-8A3B-BD86156D8A1A}" xr6:coauthVersionLast="47" xr6:coauthVersionMax="47" xr10:uidLastSave="{00000000-0000-0000-0000-000000000000}"/>
  <bookViews>
    <workbookView xWindow="23880" yWindow="-165" windowWidth="24240" windowHeight="131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F21" i="1"/>
  <c r="H28" i="1"/>
  <c r="E28" i="1"/>
  <c r="D28" i="1"/>
  <c r="C28" i="1"/>
</calcChain>
</file>

<file path=xl/sharedStrings.xml><?xml version="1.0" encoding="utf-8"?>
<sst xmlns="http://schemas.openxmlformats.org/spreadsheetml/2006/main" count="189" uniqueCount="107">
  <si>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</si>
  <si>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</si>
  <si>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</si>
  <si>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</si>
  <si>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</si>
  <si>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</si>
  <si>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</si>
  <si>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</si>
  <si>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</si>
  <si>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</si>
  <si>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</si>
  <si>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Marlene Braganca</t>
  </si>
  <si>
    <t>Grieco Toyota</t>
  </si>
  <si>
    <t>Herb Chambers Lexus of Hingham</t>
  </si>
  <si>
    <t>Rachel Gorham</t>
  </si>
  <si>
    <t>Hiller Co Inc</t>
  </si>
  <si>
    <t>Langway Toyota of Newport</t>
  </si>
  <si>
    <t>New England Automax Inc (marlborough)</t>
  </si>
  <si>
    <t>Planet Automotive Sales LLC</t>
  </si>
  <si>
    <t>Priority Automotive LLC</t>
  </si>
  <si>
    <t>T F Murphy Enterprises Inc</t>
  </si>
  <si>
    <t>Neli Oliveira</t>
  </si>
  <si>
    <t>Tasca Ford</t>
  </si>
  <si>
    <t>Volvo of Tiverton</t>
  </si>
  <si>
    <t>Wareham Ford</t>
  </si>
  <si>
    <t>Column1</t>
  </si>
  <si>
    <t>Column2</t>
  </si>
  <si>
    <t># 13</t>
  </si>
  <si>
    <t>DUFFY</t>
  </si>
  <si>
    <t>OLEAN</t>
  </si>
  <si>
    <t>JCOVELLO240@GMAIL.COM</t>
  </si>
  <si>
    <t>COVELLO, KRISTEN</t>
  </si>
  <si>
    <t>COVELLO, JAMES</t>
  </si>
  <si>
    <t>E Contract</t>
  </si>
  <si>
    <t>Route One</t>
  </si>
  <si>
    <t>151203222e</t>
  </si>
  <si>
    <t>THOMAE</t>
  </si>
  <si>
    <t>R3@RJFORBESPAINTING.COM</t>
  </si>
  <si>
    <t>FORBES, ROSS</t>
  </si>
  <si>
    <t>DealerTrack</t>
  </si>
  <si>
    <t>151203206e</t>
  </si>
  <si>
    <t>FOLEY</t>
  </si>
  <si>
    <t>EGAN, JEFFREY</t>
  </si>
  <si>
    <t>151203199e</t>
  </si>
  <si>
    <t>CURRIER</t>
  </si>
  <si>
    <t>REITANO, THOMAS</t>
  </si>
  <si>
    <t>151203181e</t>
  </si>
  <si>
    <t>CHASE</t>
  </si>
  <si>
    <t>LEWIS</t>
  </si>
  <si>
    <t>paustin1944@yahoo.com</t>
  </si>
  <si>
    <t>AUSTIN, PATRICIA</t>
  </si>
  <si>
    <t>AUSTIN, LEWIS</t>
  </si>
  <si>
    <t>151203173e</t>
  </si>
  <si>
    <t>MISSETT</t>
  </si>
  <si>
    <t>HALL, EDWARD</t>
  </si>
  <si>
    <t>151203149e</t>
  </si>
  <si>
    <t>HUGHES</t>
  </si>
  <si>
    <t>GFIELD172@GMAIL.COM</t>
  </si>
  <si>
    <t>FIELD, GARTH</t>
  </si>
  <si>
    <t>Paper</t>
  </si>
  <si>
    <t>151203131</t>
  </si>
  <si>
    <t>ROUSAK</t>
  </si>
  <si>
    <t>DICO1223@GMAIL.COM</t>
  </si>
  <si>
    <t>DICOSTANZA, ADAM</t>
  </si>
  <si>
    <t>151203115</t>
  </si>
  <si>
    <t>Maciejewska</t>
  </si>
  <si>
    <t>Frazier</t>
  </si>
  <si>
    <t>miriella.gonzalez@gmail.com</t>
  </si>
  <si>
    <t>Damienmfrazier@gmail.com</t>
  </si>
  <si>
    <t>Gonzalez, Miriella</t>
  </si>
  <si>
    <t>Frazier, Damien</t>
  </si>
  <si>
    <t>151203040e</t>
  </si>
  <si>
    <t>KELLER</t>
  </si>
  <si>
    <t>McLaughlin</t>
  </si>
  <si>
    <t>DOHERTY, ERIN</t>
  </si>
  <si>
    <t>MCFERRIN, DAVID</t>
  </si>
  <si>
    <t>151203032e</t>
  </si>
  <si>
    <t>Murtagh</t>
  </si>
  <si>
    <t>Siobhan</t>
  </si>
  <si>
    <t>SIOBHANONEILL75@GMAIL.COM</t>
  </si>
  <si>
    <t>FIONN123ONEILL@GMAIL.COM</t>
  </si>
  <si>
    <t>O'NEILL, PAUL</t>
  </si>
  <si>
    <t>ONEILL, FIONN</t>
  </si>
  <si>
    <t>151203008e</t>
  </si>
  <si>
    <t>kerryhoude3@gmail.com</t>
  </si>
  <si>
    <t>HOUDE, KERALYN</t>
  </si>
  <si>
    <t>151202969e</t>
  </si>
  <si>
    <t>Callery</t>
  </si>
  <si>
    <t>cdon13@gmail.com</t>
  </si>
  <si>
    <t>DONAHUE, CHRISTOPHER</t>
  </si>
  <si>
    <t>151202951e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</si>
  <si>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</si>
  <si>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</si>
  <si>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</si>
  <si>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</si>
  <si>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</si>
  <si>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</si>
  <si>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</si>
  <si>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</si>
  <si>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</si>
  <si>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</si>
  <si>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</si>
  <si>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Singed___________________________________________________</t>
  </si>
  <si>
    <t>Received By_______________________________________________________________________</t>
  </si>
  <si>
    <t>Delivered By_______________________________________________________________________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</si>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</sst>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22764C46-2742-4747-A069-804EE55B790B}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547263D-DC4A-48CA-B6B1-1E5DB39EA17B}" name="Column1" dataDxfId="24"/>
    <tableColumn id="8" xr3:uid="{4688595C-F494-4BD4-B004-C9FB414CF2DA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3DB7C-2ED9-44F0-95C3-AB86F463C8EA}" name="Table_13" displayName="Table_13" ref="A3:L17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0F6D38-FBE0-486B-BA52-12C51440075C}" name="Table_14" displayName="Table_14" ref="A3:E6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workbookViewId="0">
      <pane ySplit="3" topLeftCell="A4" activePane="bottomLeft" state="frozen"/>
      <selection pane="bottomLeft" activeCell="O12" sqref="O12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45854</v>
      </c>
      <c r="E1" t="s">
        <v>2</v>
      </c>
      <c r="H1" s="4">
        <v>45854.999988425923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25</v>
      </c>
      <c r="G3" t="s">
        <v>26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24191.19</v>
      </c>
      <c r="F4" s="2"/>
      <c r="G4" s="2"/>
      <c r="H4" s="2">
        <v>24266.19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1050</v>
      </c>
      <c r="D6" s="2">
        <v>0</v>
      </c>
      <c r="E6" s="2">
        <v>41666</v>
      </c>
      <c r="F6" s="2"/>
      <c r="G6" s="2"/>
      <c r="H6" s="2">
        <v>41741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850</v>
      </c>
      <c r="D8" s="2">
        <v>0</v>
      </c>
      <c r="E8" s="2">
        <v>34185.5</v>
      </c>
      <c r="F8" s="2"/>
      <c r="G8" s="2"/>
      <c r="H8" s="2">
        <v>34260.5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500</v>
      </c>
      <c r="D10" s="2">
        <v>0</v>
      </c>
      <c r="E10" s="2">
        <v>18032.38</v>
      </c>
      <c r="F10" s="2"/>
      <c r="G10" s="2"/>
      <c r="H10" s="2">
        <v>18107.38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14</v>
      </c>
      <c r="C12" s="2">
        <v>850</v>
      </c>
      <c r="D12" s="2">
        <v>0</v>
      </c>
      <c r="E12" s="2">
        <v>34769</v>
      </c>
      <c r="F12" s="2"/>
      <c r="G12" s="2"/>
      <c r="H12" s="2">
        <v>34844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950</v>
      </c>
      <c r="D14" s="2">
        <v>0</v>
      </c>
      <c r="E14" s="2">
        <v>36100.559999999998</v>
      </c>
      <c r="F14" s="2"/>
      <c r="G14" s="2"/>
      <c r="H14" s="2">
        <v>36175.56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14</v>
      </c>
      <c r="C16" s="2">
        <v>650</v>
      </c>
      <c r="D16" s="2">
        <v>0</v>
      </c>
      <c r="E16" s="2">
        <v>23832.5</v>
      </c>
      <c r="F16" s="2"/>
      <c r="G16" s="2"/>
      <c r="H16" s="2">
        <v>23907.5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14</v>
      </c>
      <c r="C18" s="2">
        <v>1500</v>
      </c>
      <c r="D18" s="2">
        <v>0</v>
      </c>
      <c r="E18" s="2">
        <v>80390.94</v>
      </c>
      <c r="F18" s="2"/>
      <c r="G18" s="2"/>
      <c r="H18" s="2">
        <v>80465.94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1350</v>
      </c>
      <c r="D20" s="2">
        <v>0</v>
      </c>
      <c r="E20" s="2">
        <v>67068</v>
      </c>
      <c r="F20" s="2"/>
      <c r="G20" s="2"/>
      <c r="H20" s="2">
        <v>67143</v>
      </c>
    </row>
    <row r="21" spans="1:8" x14ac:dyDescent="0.25">
      <c r="A21" t="s">
        <v>20</v>
      </c>
      <c r="B21" t="s">
        <v>21</v>
      </c>
      <c r="C21" s="2">
        <v>1050</v>
      </c>
      <c r="D21" s="2">
        <v>0</v>
      </c>
      <c r="E21" s="2">
        <v>41121.75</v>
      </c>
      <c r="F21" s="2">
        <f>SUM(E20:E21)</f>
        <v>108189.75</v>
      </c>
      <c r="G21" s="2"/>
      <c r="H21" s="2">
        <v>41196.75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21</v>
      </c>
      <c r="C23" s="2">
        <v>950</v>
      </c>
      <c r="D23" s="2">
        <v>0</v>
      </c>
      <c r="E23" s="2">
        <v>36924.519999999997</v>
      </c>
      <c r="F23" s="2"/>
      <c r="G23" s="2"/>
      <c r="H23" s="2">
        <v>36999.519999999997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23</v>
      </c>
      <c r="B25" t="s">
        <v>14</v>
      </c>
      <c r="C25" s="2">
        <v>1350</v>
      </c>
      <c r="D25" s="2">
        <v>0</v>
      </c>
      <c r="E25" s="2">
        <v>52968.38</v>
      </c>
      <c r="F25" s="2"/>
      <c r="G25" s="2"/>
      <c r="H25" s="2">
        <v>53043.38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24</v>
      </c>
      <c r="B27" t="s">
        <v>14</v>
      </c>
      <c r="C27" s="2">
        <v>500</v>
      </c>
      <c r="D27" s="2">
        <v>0</v>
      </c>
      <c r="E27" s="2">
        <v>16896.62</v>
      </c>
      <c r="F27" s="2"/>
      <c r="G27" s="2"/>
      <c r="H27" s="2">
        <v>16971.62</v>
      </c>
    </row>
    <row r="28" spans="1:8" x14ac:dyDescent="0.25">
      <c r="A28" s="1"/>
      <c r="B28" s="1"/>
      <c r="C28" s="3">
        <f>SUM(C4:C27)</f>
        <v>12200</v>
      </c>
      <c r="D28" s="3">
        <f>SUM(D4:D27)</f>
        <v>0</v>
      </c>
      <c r="E28" s="3">
        <f>SUM(E4:E27)</f>
        <v>508147.34</v>
      </c>
      <c r="F28" s="3"/>
      <c r="G28" s="3"/>
      <c r="H28" s="3">
        <f>SUM(H4:H27)</f>
        <v>509122.34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C84E-C5A5-42E7-8EDF-6337A44E093D}">
  <sheetPr>
    <pageSetUpPr fitToPage="1"/>
  </sheetPr>
  <dimension ref="A1:L20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4.7109375" style="5" bestFit="1" customWidth="1"/>
    <col min="5" max="5" width="18.7109375" style="5" bestFit="1" customWidth="1"/>
    <col min="6" max="6" width="39" style="5" bestFit="1" customWidth="1"/>
    <col min="7" max="7" width="17.7109375" style="5" bestFit="1" customWidth="1"/>
    <col min="8" max="8" width="17.140625" style="5" bestFit="1" customWidth="1"/>
    <col min="9" max="9" width="29.42578125" style="5" bestFit="1" customWidth="1"/>
    <col min="10" max="10" width="30.85546875" style="5" bestFit="1" customWidth="1"/>
    <col min="11" max="11" width="13.140625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45854</v>
      </c>
      <c r="L1" s="6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101</v>
      </c>
      <c r="H2" s="15"/>
      <c r="I2" s="15"/>
      <c r="J2" s="15"/>
      <c r="K2" s="15"/>
      <c r="L2" s="15"/>
    </row>
    <row r="3" spans="1:12" ht="35.1" customHeight="1" x14ac:dyDescent="0.25">
      <c r="A3" s="6" t="s">
        <v>100</v>
      </c>
      <c r="B3" s="6" t="s">
        <v>99</v>
      </c>
      <c r="C3" s="6" t="s">
        <v>98</v>
      </c>
      <c r="D3" s="6" t="s">
        <v>97</v>
      </c>
      <c r="E3" s="6" t="s">
        <v>96</v>
      </c>
      <c r="F3" s="6" t="s">
        <v>4</v>
      </c>
      <c r="G3" s="6" t="s">
        <v>5</v>
      </c>
      <c r="H3" s="6" t="s">
        <v>95</v>
      </c>
      <c r="I3" s="6" t="s">
        <v>94</v>
      </c>
      <c r="J3" s="6" t="s">
        <v>93</v>
      </c>
      <c r="K3" s="6" t="s">
        <v>92</v>
      </c>
      <c r="L3" s="6" t="s">
        <v>91</v>
      </c>
    </row>
    <row r="4" spans="1:12" ht="35.1" customHeight="1" x14ac:dyDescent="0.25">
      <c r="A4" s="6" t="s">
        <v>90</v>
      </c>
      <c r="B4" s="6" t="s">
        <v>34</v>
      </c>
      <c r="C4" s="6" t="s">
        <v>33</v>
      </c>
      <c r="D4" s="6" t="s">
        <v>89</v>
      </c>
      <c r="E4" s="6"/>
      <c r="F4" s="6" t="s">
        <v>12</v>
      </c>
      <c r="G4" s="6" t="s">
        <v>11</v>
      </c>
      <c r="H4" s="8">
        <v>41741</v>
      </c>
      <c r="I4" s="6" t="s">
        <v>88</v>
      </c>
      <c r="J4" s="6"/>
      <c r="K4" s="6" t="s">
        <v>87</v>
      </c>
      <c r="L4" s="6"/>
    </row>
    <row r="5" spans="1:12" ht="35.1" customHeight="1" x14ac:dyDescent="0.25">
      <c r="A5" s="6" t="s">
        <v>86</v>
      </c>
      <c r="B5" s="6" t="s">
        <v>34</v>
      </c>
      <c r="C5" s="6" t="s">
        <v>33</v>
      </c>
      <c r="D5" s="6" t="s">
        <v>85</v>
      </c>
      <c r="E5" s="6"/>
      <c r="F5" s="6" t="s">
        <v>20</v>
      </c>
      <c r="G5" s="6" t="s">
        <v>11</v>
      </c>
      <c r="H5" s="8">
        <v>67143</v>
      </c>
      <c r="I5" s="6" t="s">
        <v>84</v>
      </c>
      <c r="J5" s="6"/>
      <c r="K5" s="6" t="s">
        <v>73</v>
      </c>
      <c r="L5" s="6"/>
    </row>
    <row r="6" spans="1:12" ht="35.1" customHeight="1" x14ac:dyDescent="0.25">
      <c r="A6" s="6" t="s">
        <v>83</v>
      </c>
      <c r="B6" s="6" t="s">
        <v>39</v>
      </c>
      <c r="C6" s="6" t="s">
        <v>33</v>
      </c>
      <c r="D6" s="6" t="s">
        <v>82</v>
      </c>
      <c r="E6" s="6" t="s">
        <v>81</v>
      </c>
      <c r="F6" s="6" t="s">
        <v>17</v>
      </c>
      <c r="G6" s="6" t="s">
        <v>11</v>
      </c>
      <c r="H6" s="8">
        <v>36175.56</v>
      </c>
      <c r="I6" s="6" t="s">
        <v>80</v>
      </c>
      <c r="J6" s="6" t="s">
        <v>79</v>
      </c>
      <c r="K6" s="6" t="s">
        <v>78</v>
      </c>
      <c r="L6" s="6" t="s">
        <v>77</v>
      </c>
    </row>
    <row r="7" spans="1:12" ht="35.1" customHeight="1" x14ac:dyDescent="0.25">
      <c r="A7" s="6" t="s">
        <v>76</v>
      </c>
      <c r="B7" s="6" t="s">
        <v>39</v>
      </c>
      <c r="C7" s="6" t="s">
        <v>33</v>
      </c>
      <c r="D7" s="6" t="s">
        <v>75</v>
      </c>
      <c r="E7" s="6" t="s">
        <v>74</v>
      </c>
      <c r="F7" s="6" t="s">
        <v>10</v>
      </c>
      <c r="G7" s="6" t="s">
        <v>11</v>
      </c>
      <c r="H7" s="8">
        <v>24266.19</v>
      </c>
      <c r="I7" s="6"/>
      <c r="J7" s="6"/>
      <c r="K7" s="6" t="s">
        <v>73</v>
      </c>
      <c r="L7" s="6" t="s">
        <v>72</v>
      </c>
    </row>
    <row r="8" spans="1:12" ht="35.1" customHeight="1" x14ac:dyDescent="0.25">
      <c r="A8" s="6" t="s">
        <v>71</v>
      </c>
      <c r="B8" s="6" t="s">
        <v>34</v>
      </c>
      <c r="C8" s="6" t="s">
        <v>33</v>
      </c>
      <c r="D8" s="6" t="s">
        <v>70</v>
      </c>
      <c r="E8" s="6" t="s">
        <v>69</v>
      </c>
      <c r="F8" s="6" t="s">
        <v>15</v>
      </c>
      <c r="G8" s="6" t="s">
        <v>11</v>
      </c>
      <c r="H8" s="8">
        <v>18107.38</v>
      </c>
      <c r="I8" s="6" t="s">
        <v>68</v>
      </c>
      <c r="J8" s="6" t="s">
        <v>67</v>
      </c>
      <c r="K8" s="6" t="s">
        <v>66</v>
      </c>
      <c r="L8" s="6" t="s">
        <v>65</v>
      </c>
    </row>
    <row r="9" spans="1:12" ht="35.1" customHeight="1" x14ac:dyDescent="0.25">
      <c r="A9" s="6" t="s">
        <v>64</v>
      </c>
      <c r="B9" s="6" t="s">
        <v>39</v>
      </c>
      <c r="C9" s="6" t="s">
        <v>59</v>
      </c>
      <c r="D9" s="6" t="s">
        <v>63</v>
      </c>
      <c r="E9" s="6"/>
      <c r="F9" s="6" t="s">
        <v>18</v>
      </c>
      <c r="G9" s="6" t="s">
        <v>14</v>
      </c>
      <c r="H9" s="8">
        <v>23907.5</v>
      </c>
      <c r="I9" s="6" t="s">
        <v>62</v>
      </c>
      <c r="J9" s="6"/>
      <c r="K9" s="6" t="s">
        <v>61</v>
      </c>
      <c r="L9" s="6"/>
    </row>
    <row r="10" spans="1:12" ht="35.1" customHeight="1" x14ac:dyDescent="0.25">
      <c r="A10" s="6" t="s">
        <v>60</v>
      </c>
      <c r="B10" s="6" t="s">
        <v>39</v>
      </c>
      <c r="C10" s="6" t="s">
        <v>59</v>
      </c>
      <c r="D10" s="6" t="s">
        <v>58</v>
      </c>
      <c r="E10" s="6"/>
      <c r="F10" s="6" t="s">
        <v>23</v>
      </c>
      <c r="G10" s="6" t="s">
        <v>14</v>
      </c>
      <c r="H10" s="8">
        <v>53043.38</v>
      </c>
      <c r="I10" s="6" t="s">
        <v>57</v>
      </c>
      <c r="J10" s="6"/>
      <c r="K10" s="6" t="s">
        <v>56</v>
      </c>
      <c r="L10" s="6"/>
    </row>
    <row r="11" spans="1:12" ht="35.1" customHeight="1" x14ac:dyDescent="0.25">
      <c r="A11" s="6" t="s">
        <v>55</v>
      </c>
      <c r="B11" s="6" t="s">
        <v>34</v>
      </c>
      <c r="C11" s="6" t="s">
        <v>33</v>
      </c>
      <c r="D11" s="6" t="s">
        <v>54</v>
      </c>
      <c r="E11" s="6"/>
      <c r="F11" s="6" t="s">
        <v>20</v>
      </c>
      <c r="G11" s="6" t="s">
        <v>21</v>
      </c>
      <c r="H11" s="8">
        <v>41196.75</v>
      </c>
      <c r="I11" s="6"/>
      <c r="J11" s="6"/>
      <c r="K11" s="6" t="s">
        <v>53</v>
      </c>
      <c r="L11" s="6"/>
    </row>
    <row r="12" spans="1:12" ht="35.1" customHeight="1" x14ac:dyDescent="0.25">
      <c r="A12" s="6" t="s">
        <v>52</v>
      </c>
      <c r="B12" s="6" t="s">
        <v>34</v>
      </c>
      <c r="C12" s="6" t="s">
        <v>33</v>
      </c>
      <c r="D12" s="6" t="s">
        <v>51</v>
      </c>
      <c r="E12" s="6" t="s">
        <v>50</v>
      </c>
      <c r="F12" s="6" t="s">
        <v>24</v>
      </c>
      <c r="G12" s="6" t="s">
        <v>14</v>
      </c>
      <c r="H12" s="8">
        <v>16971.62</v>
      </c>
      <c r="I12" s="6" t="s">
        <v>49</v>
      </c>
      <c r="J12" s="6" t="s">
        <v>49</v>
      </c>
      <c r="K12" s="6" t="s">
        <v>48</v>
      </c>
      <c r="L12" s="6" t="s">
        <v>47</v>
      </c>
    </row>
    <row r="13" spans="1:12" ht="35.1" customHeight="1" x14ac:dyDescent="0.25">
      <c r="A13" s="6" t="s">
        <v>46</v>
      </c>
      <c r="B13" s="6" t="s">
        <v>34</v>
      </c>
      <c r="C13" s="6" t="s">
        <v>33</v>
      </c>
      <c r="D13" s="6" t="s">
        <v>45</v>
      </c>
      <c r="E13" s="6"/>
      <c r="F13" s="6" t="s">
        <v>16</v>
      </c>
      <c r="G13" s="6" t="s">
        <v>14</v>
      </c>
      <c r="H13" s="8">
        <v>34844</v>
      </c>
      <c r="I13" s="6"/>
      <c r="J13" s="6"/>
      <c r="K13" s="6" t="s">
        <v>44</v>
      </c>
      <c r="L13" s="6"/>
    </row>
    <row r="14" spans="1:12" ht="35.1" customHeight="1" x14ac:dyDescent="0.25">
      <c r="A14" s="6" t="s">
        <v>43</v>
      </c>
      <c r="B14" s="6" t="s">
        <v>34</v>
      </c>
      <c r="C14" s="6" t="s">
        <v>33</v>
      </c>
      <c r="D14" s="6" t="s">
        <v>42</v>
      </c>
      <c r="E14" s="6"/>
      <c r="F14" s="6" t="s">
        <v>22</v>
      </c>
      <c r="G14" s="6" t="s">
        <v>21</v>
      </c>
      <c r="H14" s="8">
        <v>36999.519999999997</v>
      </c>
      <c r="I14" s="6"/>
      <c r="J14" s="6"/>
      <c r="K14" s="6" t="s">
        <v>41</v>
      </c>
      <c r="L14" s="6"/>
    </row>
    <row r="15" spans="1:12" ht="35.1" customHeight="1" x14ac:dyDescent="0.25">
      <c r="A15" s="6" t="s">
        <v>40</v>
      </c>
      <c r="B15" s="6" t="s">
        <v>39</v>
      </c>
      <c r="C15" s="6" t="s">
        <v>33</v>
      </c>
      <c r="D15" s="6" t="s">
        <v>38</v>
      </c>
      <c r="E15" s="6"/>
      <c r="F15" s="6" t="s">
        <v>19</v>
      </c>
      <c r="G15" s="6" t="s">
        <v>14</v>
      </c>
      <c r="H15" s="8">
        <v>80465.94</v>
      </c>
      <c r="I15" s="6" t="s">
        <v>37</v>
      </c>
      <c r="J15" s="6"/>
      <c r="K15" s="6" t="s">
        <v>36</v>
      </c>
      <c r="L15" s="6"/>
    </row>
    <row r="16" spans="1:12" ht="35.1" customHeight="1" x14ac:dyDescent="0.25">
      <c r="A16" s="6" t="s">
        <v>35</v>
      </c>
      <c r="B16" s="6" t="s">
        <v>34</v>
      </c>
      <c r="C16" s="6" t="s">
        <v>33</v>
      </c>
      <c r="D16" s="6" t="s">
        <v>32</v>
      </c>
      <c r="E16" s="6" t="s">
        <v>31</v>
      </c>
      <c r="F16" s="6" t="s">
        <v>13</v>
      </c>
      <c r="G16" s="6" t="s">
        <v>14</v>
      </c>
      <c r="H16" s="8">
        <v>34260.5</v>
      </c>
      <c r="I16" s="6" t="s">
        <v>30</v>
      </c>
      <c r="J16" s="6"/>
      <c r="K16" s="6" t="s">
        <v>29</v>
      </c>
      <c r="L16" s="6" t="s">
        <v>28</v>
      </c>
    </row>
    <row r="17" spans="1:12" ht="35.1" customHeight="1" x14ac:dyDescent="0.25">
      <c r="A17" s="9"/>
      <c r="B17" s="9"/>
      <c r="C17" s="9"/>
      <c r="D17" s="9" t="s">
        <v>27</v>
      </c>
      <c r="E17" s="9"/>
      <c r="F17" s="9"/>
      <c r="G17" s="9"/>
      <c r="H17" s="10">
        <f>SUM(H4:H16)</f>
        <v>509122.34</v>
      </c>
      <c r="I17" s="9"/>
      <c r="J17" s="9"/>
      <c r="K17" s="9"/>
      <c r="L17" s="9"/>
    </row>
    <row r="18" spans="1:12" ht="35.1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35.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8B03-A093-4DC5-97D9-ECFBB12FE9CC}">
  <sheetPr>
    <pageSetUpPr fitToPage="1"/>
  </sheetPr>
  <dimension ref="A1:E31"/>
  <sheetViews>
    <sheetView workbookViewId="0">
      <pane ySplit="3" topLeftCell="A4" activePane="bottomLeft" state="frozen"/>
      <selection pane="bottomLeft" activeCell="C20" sqref="C20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4.7109375" style="5" bestFit="1" customWidth="1"/>
    <col min="4" max="4" width="18.7109375" style="5" bestFit="1" customWidth="1"/>
    <col min="5" max="5" width="39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45854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106</v>
      </c>
      <c r="E2" s="15"/>
    </row>
    <row r="3" spans="1:5" x14ac:dyDescent="0.25">
      <c r="A3" s="6" t="s">
        <v>100</v>
      </c>
      <c r="B3" s="6" t="s">
        <v>98</v>
      </c>
      <c r="C3" s="6" t="s">
        <v>97</v>
      </c>
      <c r="D3" s="6" t="s">
        <v>96</v>
      </c>
      <c r="E3" s="6" t="s">
        <v>4</v>
      </c>
    </row>
    <row r="4" spans="1:5" x14ac:dyDescent="0.25">
      <c r="A4" s="6" t="s">
        <v>64</v>
      </c>
      <c r="B4" s="6" t="s">
        <v>59</v>
      </c>
      <c r="C4" s="6" t="s">
        <v>63</v>
      </c>
      <c r="D4" s="6"/>
      <c r="E4" s="6" t="s">
        <v>18</v>
      </c>
    </row>
    <row r="5" spans="1:5" x14ac:dyDescent="0.25">
      <c r="A5" s="6" t="s">
        <v>60</v>
      </c>
      <c r="B5" s="6" t="s">
        <v>59</v>
      </c>
      <c r="C5" s="6" t="s">
        <v>58</v>
      </c>
      <c r="D5" s="6"/>
      <c r="E5" s="6" t="s">
        <v>23</v>
      </c>
    </row>
    <row r="6" spans="1:5" x14ac:dyDescent="0.25">
      <c r="A6" s="9"/>
      <c r="B6" s="9"/>
      <c r="C6" s="9" t="s">
        <v>105</v>
      </c>
      <c r="D6" s="9"/>
      <c r="E6" s="9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104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103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102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</sheetData>
  <mergeCells count="2">
    <mergeCell ref="A2:C2"/>
    <mergeCell ref="D2:E2"/>
  </mergeCells>
  <pageMargins left="0.7" right="0.7" top="0.75" bottom="0.75" header="0.3" footer="0.3"/>
  <pageSetup scale="8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2025-07-16T18:06:34Z</cp:lastPrinted>
  <dcterms:created xsi:type="dcterms:W3CDTF">2025-07-16T18:00:26Z</dcterms:created>
  <dcterms:modified xsi:type="dcterms:W3CDTF">2025-07-16T18:32:30Z</dcterms:modified>
</cp:coreProperties>
</file>