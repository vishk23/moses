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arlene\"/>
    </mc:Choice>
  </mc:AlternateContent>
  <xr:revisionPtr revIDLastSave="0" documentId="8_{EA7070C3-D8EB-45C2-86FE-82BA9EE24E1F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L18" i="1"/>
  <c r="K18" i="1"/>
  <c r="J18" i="1"/>
</calcChain>
</file>

<file path=xl/sharedStrings.xml><?xml version="1.0" encoding="utf-8"?>
<sst xmlns="http://schemas.openxmlformats.org/spreadsheetml/2006/main" count="138" uniqueCount="73">
  <si>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</si>
  <si>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</si>
  <si>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</si>
  <si>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</si>
  <si>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</si>
  <si>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</si>
  <si>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</si>
  <si>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</si>
  <si>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</si>
  <si>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</si>
  <si>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</si>
  <si>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</si>
  <si>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</si>
  <si>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</si>
  <si>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</si>
  <si>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</si>
  <si>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</si>
  <si>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</si>
  <si>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</si>
  <si>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</si>
  <si>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</si>
  <si>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</si>
  <si>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</si>
  <si>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</si>
  <si>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MCGOVERN, DANETTE</t>
  </si>
  <si>
    <t>Route One</t>
  </si>
  <si>
    <t>T F Murphy Enterprises Inc</t>
  </si>
  <si>
    <t>Marlene Braganca</t>
  </si>
  <si>
    <t>75</t>
  </si>
  <si>
    <t>E Contract</t>
  </si>
  <si>
    <t>151152594</t>
  </si>
  <si>
    <t>BROWN, ANDREW</t>
  </si>
  <si>
    <t>DealerTrack</t>
  </si>
  <si>
    <t>Viti Mercedes</t>
  </si>
  <si>
    <t>Neli Oliveira</t>
  </si>
  <si>
    <t>151152487</t>
  </si>
  <si>
    <t>PALIOTTI, DAVID</t>
  </si>
  <si>
    <t>Mastria Kia</t>
  </si>
  <si>
    <t>151152586</t>
  </si>
  <si>
    <t>LEHANE, JONATHAN</t>
  </si>
  <si>
    <t>151152528</t>
  </si>
  <si>
    <t>BRENNAN, BENJAMIN</t>
  </si>
  <si>
    <t>Colonial Ford Inc</t>
  </si>
  <si>
    <t>151152578</t>
  </si>
  <si>
    <t>MAGLIARI, FELICE</t>
  </si>
  <si>
    <t>FREEDOM TECHNOLOGY SOLUTIONS INC</t>
  </si>
  <si>
    <t>151152445</t>
  </si>
  <si>
    <t>PACHECO, LINDA-MARIE</t>
  </si>
  <si>
    <t>151152552</t>
  </si>
  <si>
    <t>GERLACH, LAURA</t>
  </si>
  <si>
    <t>Patriot Auto Group Inc d/b/a</t>
  </si>
  <si>
    <t>151152403</t>
  </si>
  <si>
    <t>MEISEL, JOSEPH</t>
  </si>
  <si>
    <t>Grieco Toyota</t>
  </si>
  <si>
    <t>151152461</t>
  </si>
  <si>
    <t>TZOUGANATOS, ARTHUR</t>
  </si>
  <si>
    <t>Lucchettis Service Center Inc</t>
  </si>
  <si>
    <t>151152429</t>
  </si>
  <si>
    <t>HALL, BRIAN</t>
  </si>
  <si>
    <t>Bourne Enterprises Inc</t>
  </si>
  <si>
    <t>Paper</t>
  </si>
  <si>
    <t>151152560</t>
  </si>
  <si>
    <t>ROBERIO, MELANIE</t>
  </si>
  <si>
    <t>Planet Subaru</t>
  </si>
  <si>
    <t>Rachel Gorham</t>
  </si>
  <si>
    <t>151152627</t>
  </si>
  <si>
    <t>HAZELTON, FREDERICK</t>
  </si>
  <si>
    <t>151152396</t>
  </si>
  <si>
    <t>SHERIN, KYLE</t>
  </si>
  <si>
    <t>Coastal Volkswagon</t>
  </si>
  <si>
    <t>151152619</t>
  </si>
  <si>
    <t>Total</t>
  </si>
  <si>
    <t>#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</si>
</sst>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S18">
  <tableColumns count="19">
    <tableColumn id="1" xr3:uid="{00000000-0010-0000-0000-000001000000}" name="Application Number"/>
    <tableColumn id="2" xr3:uid="{00000000-0010-0000-0000-000002000000}" name="Application Date"/>
    <tableColumn id="3" xr3:uid="{00000000-0010-0000-0000-000003000000}" name="Application Status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Portal"/>
    <tableColumn id="7" xr3:uid="{00000000-0010-0000-0000-000007000000}" name="Dealer Name"/>
    <tableColumn id="8" xr3:uid="{00000000-0010-0000-0000-000008000000}" name="Effective Fund Date"/>
    <tableColumn id="9" xr3:uid="{00000000-0010-0000-0000-000009000000}" name="Funded by"/>
    <tableColumn id="10" xr3:uid="{00000000-0010-0000-0000-00000A000000}" name="Dealer Flat"/>
    <tableColumn id="11" xr3:uid="{00000000-0010-0000-0000-00000B000000}" name="Dealer Split"/>
    <tableColumn id="12" xr3:uid="{00000000-0010-0000-0000-00000C000000}" name="Net to Dealer"/>
    <tableColumn id="13" xr3:uid="{00000000-0010-0000-0000-00000D000000}" name="Contracted Amount Financed (Funding)"/>
    <tableColumn id="14" xr3:uid="{00000000-0010-0000-0000-00000E000000}" name="Business Name"/>
    <tableColumn id="15" xr3:uid="{00000000-0010-0000-0000-00000F000000}" name="X V S I"/>
    <tableColumn id="16" xr3:uid="{00000000-0010-0000-0000-000010000000}" name="X Contract Type"/>
    <tableColumn id="17" xr3:uid="{00000000-0010-0000-0000-000011000000}" name="X Account Number Funding Applicant"/>
    <tableColumn id="18" xr3:uid="{00000000-0010-0000-0000-000012000000}" name="X Contract Type 1"/>
    <tableColumn id="19" xr3:uid="{00000000-0010-0000-0000-000013000000}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9.28515625" bestFit="1" customWidth="1"/>
    <col min="2" max="2" width="18" bestFit="1" customWidth="1"/>
    <col min="3" max="3" width="17.7109375" bestFit="1" customWidth="1"/>
    <col min="4" max="4" width="24" bestFit="1" customWidth="1"/>
    <col min="5" max="5" width="18.7109375" bestFit="1" customWidth="1"/>
    <col min="6" max="6" width="12.140625" bestFit="1" customWidth="1"/>
    <col min="7" max="7" width="27.85546875" bestFit="1" customWidth="1"/>
    <col min="8" max="8" width="19.140625" bestFit="1" customWidth="1"/>
    <col min="9" max="9" width="17.7109375" bestFit="1" customWidth="1"/>
    <col min="10" max="10" width="11.140625" bestFit="1" customWidth="1"/>
    <col min="11" max="11" width="11.7109375" bestFit="1" customWidth="1"/>
    <col min="12" max="12" width="13.28515625" bestFit="1" customWidth="1"/>
    <col min="13" max="13" width="37.28515625" bestFit="1" customWidth="1"/>
    <col min="14" max="14" width="38.42578125" bestFit="1" customWidth="1"/>
    <col min="15" max="15" width="7" bestFit="1" customWidth="1"/>
    <col min="16" max="16" width="15.85546875" bestFit="1" customWidth="1"/>
    <col min="17" max="17" width="35.42578125" bestFit="1" customWidth="1"/>
    <col min="18" max="18" width="17.5703125" bestFit="1" customWidth="1"/>
    <col min="19" max="19" width="38.42578125" bestFit="1" customWidth="1"/>
  </cols>
  <sheetData>
    <row r="1" spans="1:19" x14ac:dyDescent="0.25">
      <c r="P1" t="s">
        <v>3</v>
      </c>
      <c r="Q1" s="4">
        <v>45716</v>
      </c>
      <c r="R1" t="s">
        <v>2</v>
      </c>
      <c r="S1" s="4">
        <v>45716.999988425923</v>
      </c>
    </row>
    <row r="2" spans="1:19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7" t="s">
        <v>1</v>
      </c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25">
      <c r="A4">
        <v>126389</v>
      </c>
      <c r="B4" s="4">
        <v>45706.377076817131</v>
      </c>
      <c r="C4" t="s">
        <v>23</v>
      </c>
      <c r="D4" t="s">
        <v>24</v>
      </c>
      <c r="F4" t="s">
        <v>25</v>
      </c>
      <c r="G4" t="s">
        <v>26</v>
      </c>
      <c r="I4" t="s">
        <v>27</v>
      </c>
      <c r="J4" s="2">
        <v>825</v>
      </c>
      <c r="K4" s="2">
        <v>0</v>
      </c>
      <c r="L4" s="2">
        <v>37980.06</v>
      </c>
      <c r="M4" s="2">
        <v>38055.06</v>
      </c>
      <c r="O4" t="s">
        <v>28</v>
      </c>
      <c r="P4" t="s">
        <v>29</v>
      </c>
      <c r="Q4" t="s">
        <v>30</v>
      </c>
    </row>
    <row r="5" spans="1:19" x14ac:dyDescent="0.25">
      <c r="A5">
        <v>126430</v>
      </c>
      <c r="B5" s="4">
        <v>45707.787874803238</v>
      </c>
      <c r="C5" t="s">
        <v>23</v>
      </c>
      <c r="D5" t="s">
        <v>31</v>
      </c>
      <c r="F5" t="s">
        <v>32</v>
      </c>
      <c r="G5" t="s">
        <v>33</v>
      </c>
      <c r="I5" t="s">
        <v>34</v>
      </c>
      <c r="J5" s="2">
        <v>1250</v>
      </c>
      <c r="K5" s="2">
        <v>0</v>
      </c>
      <c r="L5" s="2">
        <v>55806.34</v>
      </c>
      <c r="M5" s="2">
        <v>55881.34</v>
      </c>
      <c r="O5" t="s">
        <v>28</v>
      </c>
      <c r="P5" t="s">
        <v>29</v>
      </c>
      <c r="Q5" t="s">
        <v>35</v>
      </c>
    </row>
    <row r="6" spans="1:19" x14ac:dyDescent="0.25">
      <c r="A6">
        <v>126467</v>
      </c>
      <c r="B6" s="4">
        <v>45709.45225008102</v>
      </c>
      <c r="C6" t="s">
        <v>23</v>
      </c>
      <c r="D6" t="s">
        <v>36</v>
      </c>
      <c r="F6" t="s">
        <v>32</v>
      </c>
      <c r="G6" t="s">
        <v>37</v>
      </c>
      <c r="I6" t="s">
        <v>27</v>
      </c>
      <c r="J6" s="2">
        <v>625</v>
      </c>
      <c r="K6" s="2">
        <v>0</v>
      </c>
      <c r="L6" s="2">
        <v>28056.02</v>
      </c>
      <c r="M6" s="2">
        <v>28131.02</v>
      </c>
      <c r="O6" t="s">
        <v>28</v>
      </c>
      <c r="P6" t="s">
        <v>29</v>
      </c>
      <c r="Q6" t="s">
        <v>38</v>
      </c>
    </row>
    <row r="7" spans="1:19" x14ac:dyDescent="0.25">
      <c r="A7">
        <v>126470</v>
      </c>
      <c r="B7" s="4">
        <v>45709.494188275465</v>
      </c>
      <c r="C7" t="s">
        <v>23</v>
      </c>
      <c r="D7" t="s">
        <v>39</v>
      </c>
      <c r="F7" t="s">
        <v>32</v>
      </c>
      <c r="G7" t="s">
        <v>33</v>
      </c>
      <c r="I7" t="s">
        <v>34</v>
      </c>
      <c r="J7" s="2">
        <v>825</v>
      </c>
      <c r="K7" s="2">
        <v>0</v>
      </c>
      <c r="L7" s="2">
        <v>39299.4</v>
      </c>
      <c r="M7" s="2">
        <v>39374.400000000001</v>
      </c>
      <c r="O7" t="s">
        <v>28</v>
      </c>
      <c r="P7" t="s">
        <v>29</v>
      </c>
      <c r="Q7" t="s">
        <v>40</v>
      </c>
    </row>
    <row r="8" spans="1:19" x14ac:dyDescent="0.25">
      <c r="A8">
        <v>126501</v>
      </c>
      <c r="B8" s="4">
        <v>45710.389307754631</v>
      </c>
      <c r="C8" t="s">
        <v>23</v>
      </c>
      <c r="D8" t="s">
        <v>41</v>
      </c>
      <c r="F8" t="s">
        <v>25</v>
      </c>
      <c r="G8" t="s">
        <v>42</v>
      </c>
      <c r="I8" t="s">
        <v>27</v>
      </c>
      <c r="J8" s="2">
        <v>750</v>
      </c>
      <c r="K8" s="2">
        <v>0</v>
      </c>
      <c r="L8" s="2">
        <v>31120.31</v>
      </c>
      <c r="M8" s="2">
        <v>31195.31</v>
      </c>
      <c r="O8" t="s">
        <v>28</v>
      </c>
      <c r="P8" t="s">
        <v>29</v>
      </c>
      <c r="Q8" t="s">
        <v>43</v>
      </c>
    </row>
    <row r="9" spans="1:19" x14ac:dyDescent="0.25">
      <c r="A9">
        <v>126535</v>
      </c>
      <c r="B9" s="4">
        <v>45710.668082326389</v>
      </c>
      <c r="C9" t="s">
        <v>23</v>
      </c>
      <c r="D9" t="s">
        <v>44</v>
      </c>
      <c r="F9" t="s">
        <v>32</v>
      </c>
      <c r="G9" t="s">
        <v>33</v>
      </c>
      <c r="I9" t="s">
        <v>34</v>
      </c>
      <c r="J9" s="2">
        <v>825</v>
      </c>
      <c r="K9" s="2">
        <v>0</v>
      </c>
      <c r="L9" s="2">
        <v>37796.9</v>
      </c>
      <c r="M9" s="2">
        <v>37871.9</v>
      </c>
      <c r="N9" t="s">
        <v>45</v>
      </c>
      <c r="O9" t="s">
        <v>28</v>
      </c>
      <c r="P9" t="s">
        <v>29</v>
      </c>
      <c r="Q9" t="s">
        <v>46</v>
      </c>
    </row>
    <row r="10" spans="1:19" x14ac:dyDescent="0.25">
      <c r="A10">
        <v>126568</v>
      </c>
      <c r="B10" s="4">
        <v>45712.640603784719</v>
      </c>
      <c r="C10" t="s">
        <v>23</v>
      </c>
      <c r="D10" t="s">
        <v>47</v>
      </c>
      <c r="F10" t="s">
        <v>32</v>
      </c>
      <c r="G10" t="s">
        <v>37</v>
      </c>
      <c r="I10" t="s">
        <v>27</v>
      </c>
      <c r="J10" s="2">
        <v>450</v>
      </c>
      <c r="K10" s="2">
        <v>0</v>
      </c>
      <c r="L10" s="2">
        <v>16658.169999999998</v>
      </c>
      <c r="M10" s="2">
        <v>16733.169999999998</v>
      </c>
      <c r="O10" t="s">
        <v>28</v>
      </c>
      <c r="P10" t="s">
        <v>29</v>
      </c>
      <c r="Q10" t="s">
        <v>48</v>
      </c>
    </row>
    <row r="11" spans="1:19" x14ac:dyDescent="0.25">
      <c r="A11">
        <v>126588</v>
      </c>
      <c r="B11" s="4">
        <v>45713.525481331017</v>
      </c>
      <c r="C11" t="s">
        <v>23</v>
      </c>
      <c r="D11" t="s">
        <v>49</v>
      </c>
      <c r="F11" t="s">
        <v>25</v>
      </c>
      <c r="G11" t="s">
        <v>50</v>
      </c>
      <c r="I11" t="s">
        <v>34</v>
      </c>
      <c r="J11" s="2">
        <v>825</v>
      </c>
      <c r="K11" s="2">
        <v>0</v>
      </c>
      <c r="L11" s="2">
        <v>35257.629999999997</v>
      </c>
      <c r="M11" s="2">
        <v>35332.629999999997</v>
      </c>
      <c r="O11" t="s">
        <v>28</v>
      </c>
      <c r="P11" t="s">
        <v>29</v>
      </c>
      <c r="Q11" t="s">
        <v>51</v>
      </c>
    </row>
    <row r="12" spans="1:19" x14ac:dyDescent="0.25">
      <c r="A12">
        <v>126608</v>
      </c>
      <c r="B12" s="4">
        <v>45713.811813194443</v>
      </c>
      <c r="C12" t="s">
        <v>23</v>
      </c>
      <c r="D12" t="s">
        <v>52</v>
      </c>
      <c r="F12" t="s">
        <v>25</v>
      </c>
      <c r="G12" t="s">
        <v>53</v>
      </c>
      <c r="I12" t="s">
        <v>34</v>
      </c>
      <c r="J12" s="2">
        <v>625</v>
      </c>
      <c r="K12" s="2">
        <v>0</v>
      </c>
      <c r="L12" s="2">
        <v>29078.61</v>
      </c>
      <c r="M12" s="2">
        <v>29153.61</v>
      </c>
      <c r="O12" t="s">
        <v>28</v>
      </c>
      <c r="P12" t="s">
        <v>29</v>
      </c>
      <c r="Q12" t="s">
        <v>54</v>
      </c>
    </row>
    <row r="13" spans="1:19" x14ac:dyDescent="0.25">
      <c r="A13">
        <v>126609</v>
      </c>
      <c r="B13" s="4">
        <v>45714.350400266201</v>
      </c>
      <c r="C13" t="s">
        <v>23</v>
      </c>
      <c r="D13" t="s">
        <v>55</v>
      </c>
      <c r="F13" t="s">
        <v>25</v>
      </c>
      <c r="G13" t="s">
        <v>56</v>
      </c>
      <c r="I13" t="s">
        <v>34</v>
      </c>
      <c r="J13" s="2">
        <v>625</v>
      </c>
      <c r="K13" s="2">
        <v>0</v>
      </c>
      <c r="L13" s="2">
        <v>29053.38</v>
      </c>
      <c r="M13" s="2">
        <v>29128.38</v>
      </c>
      <c r="O13" t="s">
        <v>28</v>
      </c>
      <c r="P13" t="s">
        <v>29</v>
      </c>
      <c r="Q13" t="s">
        <v>57</v>
      </c>
    </row>
    <row r="14" spans="1:19" x14ac:dyDescent="0.25">
      <c r="A14">
        <v>126627</v>
      </c>
      <c r="B14" s="4">
        <v>45714.652504664351</v>
      </c>
      <c r="C14" t="s">
        <v>23</v>
      </c>
      <c r="D14" t="s">
        <v>58</v>
      </c>
      <c r="F14" t="s">
        <v>32</v>
      </c>
      <c r="G14" t="s">
        <v>59</v>
      </c>
      <c r="I14" t="s">
        <v>34</v>
      </c>
      <c r="J14" s="2">
        <v>625</v>
      </c>
      <c r="K14" s="2">
        <v>0</v>
      </c>
      <c r="L14" s="2">
        <v>25815.38</v>
      </c>
      <c r="M14" s="2">
        <v>25890.38</v>
      </c>
      <c r="O14" t="s">
        <v>28</v>
      </c>
      <c r="P14" t="s">
        <v>60</v>
      </c>
      <c r="Q14" t="s">
        <v>61</v>
      </c>
    </row>
    <row r="15" spans="1:19" x14ac:dyDescent="0.25">
      <c r="A15">
        <v>126629</v>
      </c>
      <c r="B15" s="4">
        <v>45714.688708483794</v>
      </c>
      <c r="C15" t="s">
        <v>23</v>
      </c>
      <c r="D15" t="s">
        <v>62</v>
      </c>
      <c r="F15" t="s">
        <v>32</v>
      </c>
      <c r="G15" t="s">
        <v>63</v>
      </c>
      <c r="I15" t="s">
        <v>64</v>
      </c>
      <c r="J15" s="2">
        <v>625</v>
      </c>
      <c r="K15" s="2">
        <v>0</v>
      </c>
      <c r="L15" s="2">
        <v>28358.25</v>
      </c>
      <c r="M15" s="2">
        <v>28433.25</v>
      </c>
      <c r="O15" t="s">
        <v>28</v>
      </c>
      <c r="P15" t="s">
        <v>29</v>
      </c>
      <c r="Q15" t="s">
        <v>65</v>
      </c>
    </row>
    <row r="16" spans="1:19" x14ac:dyDescent="0.25">
      <c r="A16">
        <v>126658</v>
      </c>
      <c r="B16" s="4">
        <v>45715.625226041666</v>
      </c>
      <c r="C16" t="s">
        <v>23</v>
      </c>
      <c r="D16" t="s">
        <v>66</v>
      </c>
      <c r="F16" t="s">
        <v>25</v>
      </c>
      <c r="G16" t="s">
        <v>50</v>
      </c>
      <c r="I16" t="s">
        <v>27</v>
      </c>
      <c r="J16" s="2">
        <v>125</v>
      </c>
      <c r="K16" s="2">
        <v>0</v>
      </c>
      <c r="L16" s="2">
        <v>8713.8799999999992</v>
      </c>
      <c r="M16" s="2">
        <v>8788.8799999999992</v>
      </c>
      <c r="O16" t="s">
        <v>28</v>
      </c>
      <c r="P16" t="s">
        <v>29</v>
      </c>
      <c r="Q16" t="s">
        <v>67</v>
      </c>
    </row>
    <row r="17" spans="1:19" x14ac:dyDescent="0.25">
      <c r="A17">
        <v>126677</v>
      </c>
      <c r="B17" s="4">
        <v>45716.463492442126</v>
      </c>
      <c r="C17" t="s">
        <v>23</v>
      </c>
      <c r="D17" t="s">
        <v>68</v>
      </c>
      <c r="F17" t="s">
        <v>32</v>
      </c>
      <c r="G17" t="s">
        <v>69</v>
      </c>
      <c r="I17" t="s">
        <v>64</v>
      </c>
      <c r="J17" s="2">
        <v>1500</v>
      </c>
      <c r="K17" s="2">
        <v>0</v>
      </c>
      <c r="L17" s="2">
        <v>84158.720000000001</v>
      </c>
      <c r="M17" s="2">
        <v>84233.72</v>
      </c>
      <c r="O17" t="s">
        <v>28</v>
      </c>
      <c r="P17" t="s">
        <v>29</v>
      </c>
      <c r="Q17" t="s">
        <v>70</v>
      </c>
    </row>
    <row r="18" spans="1:19" x14ac:dyDescent="0.25">
      <c r="A18" s="1" t="s">
        <v>71</v>
      </c>
      <c r="B18" s="1"/>
      <c r="C18" s="1"/>
      <c r="D18" s="1" t="s">
        <v>72</v>
      </c>
      <c r="E18" s="1"/>
      <c r="F18" s="1"/>
      <c r="G18" s="1"/>
      <c r="H18" s="1"/>
      <c r="I18" s="1"/>
      <c r="J18" s="3">
        <f>SUM(J4:J17)</f>
        <v>10500</v>
      </c>
      <c r="K18" s="3">
        <f>SUM(K4:K17)</f>
        <v>0</v>
      </c>
      <c r="L18" s="3">
        <f>SUM(L4:L17)</f>
        <v>487153.05000000005</v>
      </c>
      <c r="M18" s="3">
        <f>SUM(M4:M17)</f>
        <v>488203.05000000005</v>
      </c>
      <c r="N18" s="1"/>
      <c r="O18" s="1"/>
      <c r="P18" s="1"/>
      <c r="Q18" s="1"/>
      <c r="R18" s="1"/>
      <c r="S18" s="1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2025-02-28T21:21:50Z</dcterms:created>
  <dcterms:modified xsi:type="dcterms:W3CDTF">2025-02-28T21:23:43Z</dcterms:modified>
</cp:coreProperties>
</file>