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ED4C6FB1-65CF-4F94-966F-74AAAEBA01E5}" xr6:coauthVersionLast="47" xr6:coauthVersionMax="47" xr10:uidLastSave="{00000000-0000-0000-0000-000000000000}"/>
  <bookViews>
    <workbookView xWindow="30810" yWindow="45" windowWidth="25275" windowHeight="15600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2" l="1"/>
  <c r="G24" i="2"/>
  <c r="G7" i="2"/>
  <c r="H33" i="2"/>
  <c r="F33" i="2"/>
  <c r="E33" i="2"/>
  <c r="D33" i="2"/>
  <c r="H20" i="1"/>
</calcChain>
</file>

<file path=xl/sharedStrings.xml><?xml version="1.0" encoding="utf-8"?>
<sst xmlns="http://schemas.openxmlformats.org/spreadsheetml/2006/main" count="208" uniqueCount="118">
  <si>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</si>
  <si>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</si>
  <si>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</si>
  <si>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</si>
  <si>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</si>
  <si>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</si>
  <si>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</si>
  <si>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</si>
  <si>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</si>
  <si>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</si>
  <si>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</si>
  <si>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</si>
  <si>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</si>
  <si>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</si>
  <si>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Business Name</t>
  </si>
  <si>
    <t>DealerTrack</t>
  </si>
  <si>
    <t>E Contract</t>
  </si>
  <si>
    <t>MILLER, SHELLY</t>
  </si>
  <si>
    <t>Priority Automotive LLC</t>
  </si>
  <si>
    <t>Marlene Braganca</t>
  </si>
  <si>
    <t>SHELLYMILLER0804@GMAIL.COM</t>
  </si>
  <si>
    <t>Ethier</t>
  </si>
  <si>
    <t>Route One</t>
  </si>
  <si>
    <t>BRADSHAW, THOMAS</t>
  </si>
  <si>
    <t>Salvadore Chrysler</t>
  </si>
  <si>
    <t>tombradshawiii@gmail.com</t>
  </si>
  <si>
    <t>Cincotta</t>
  </si>
  <si>
    <t>VANDRIMLEN, PAMELA</t>
  </si>
  <si>
    <t>Mastria Kia</t>
  </si>
  <si>
    <t>PAMELAVANDRIMLEN@COMCAST.NET</t>
  </si>
  <si>
    <t>Conlin</t>
  </si>
  <si>
    <t>CONLAN, CLAIRE</t>
  </si>
  <si>
    <t>Infiniti of Norwood</t>
  </si>
  <si>
    <t>CLAIREMARY09@COMECAST.NET</t>
  </si>
  <si>
    <t>Boos</t>
  </si>
  <si>
    <t>CHAPLIN, DANIEL</t>
  </si>
  <si>
    <t>Alden Mazda</t>
  </si>
  <si>
    <t>chapin.dan@gmail.com</t>
  </si>
  <si>
    <t>Green</t>
  </si>
  <si>
    <t>151198366</t>
  </si>
  <si>
    <t>Paper</t>
  </si>
  <si>
    <t>WALANTIS, TODD</t>
  </si>
  <si>
    <t>Hylan Auto Sales</t>
  </si>
  <si>
    <t>Neli Oliveira</t>
  </si>
  <si>
    <t>TODD@HYLANAUTO.COM</t>
  </si>
  <si>
    <t>LAWRENCE</t>
  </si>
  <si>
    <t>TOMI LLC</t>
  </si>
  <si>
    <t>Raymond, Elizabeth</t>
  </si>
  <si>
    <t>littleray586@gmail.com</t>
  </si>
  <si>
    <t>St John</t>
  </si>
  <si>
    <t>MEDEIROS, JAMES</t>
  </si>
  <si>
    <t>MEDEIROS, SHERYL</t>
  </si>
  <si>
    <t>Rachel Gorham</t>
  </si>
  <si>
    <t>JPMEDEIROS1@AOL.COM</t>
  </si>
  <si>
    <t>PONTES</t>
  </si>
  <si>
    <t>PETERS</t>
  </si>
  <si>
    <t>MURPHY, ELIZABETH</t>
  </si>
  <si>
    <t>Battles Nissan, LLC</t>
  </si>
  <si>
    <t>DBMCAPELAW@GMAIL.COM</t>
  </si>
  <si>
    <t>GANLEY</t>
  </si>
  <si>
    <t>ZANDAN, SEAN</t>
  </si>
  <si>
    <t>Alden Buick Pontiac GMC</t>
  </si>
  <si>
    <t>sean.zandan@gmail.com</t>
  </si>
  <si>
    <t>CASTELOT</t>
  </si>
  <si>
    <t>TURCOTTE, SHELLEY</t>
  </si>
  <si>
    <t>Tasca Ford</t>
  </si>
  <si>
    <t>PARISEAU</t>
  </si>
  <si>
    <t>DEMIRGIOGLU, BINYAMEN</t>
  </si>
  <si>
    <t>Metro Honda</t>
  </si>
  <si>
    <t>McCoy</t>
  </si>
  <si>
    <t>BARO, DEBORAH</t>
  </si>
  <si>
    <t>BARO, ROBERT</t>
  </si>
  <si>
    <t>AutoMax Preowned(Framingham)</t>
  </si>
  <si>
    <t>DEBBARO40@GMAIL.COM</t>
  </si>
  <si>
    <t>RECORE</t>
  </si>
  <si>
    <t>MCGUINESS</t>
  </si>
  <si>
    <t>JOHNSON, PATRICK</t>
  </si>
  <si>
    <t>Planet Subaru</t>
  </si>
  <si>
    <t>PJOHNSON@ONEZERO.COM</t>
  </si>
  <si>
    <t>GIFFORD</t>
  </si>
  <si>
    <t>MARQUARDT, MARY</t>
  </si>
  <si>
    <t>MMARQUARDT777@GMAIL.COM</t>
  </si>
  <si>
    <t>NEE</t>
  </si>
  <si>
    <t>LESSARD, MICHELLE</t>
  </si>
  <si>
    <t>Lucchettis Service Center Inc</t>
  </si>
  <si>
    <t>MICHELLE@DANCEMSOD.COM</t>
  </si>
  <si>
    <t>Deehan</t>
  </si>
  <si>
    <t># 16</t>
  </si>
  <si>
    <t>151198225 E</t>
  </si>
  <si>
    <t>151198233 E</t>
  </si>
  <si>
    <t>151198241 E</t>
  </si>
  <si>
    <t>151198267 E</t>
  </si>
  <si>
    <t>151198283 E</t>
  </si>
  <si>
    <t>151198382 E</t>
  </si>
  <si>
    <t>151198390 E</t>
  </si>
  <si>
    <t>151198407 E</t>
  </si>
  <si>
    <t>151198415 E</t>
  </si>
  <si>
    <t>151198423 E</t>
  </si>
  <si>
    <t>151198431 E</t>
  </si>
  <si>
    <t>151198449 E</t>
  </si>
  <si>
    <t>151198457 E</t>
  </si>
  <si>
    <t>151198465 E</t>
  </si>
  <si>
    <t>151198506 E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</si>
  <si>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</si>
  <si>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</si>
  <si>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</si>
  <si>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</si>
  <si>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</si>
  <si>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</si>
  <si>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</si>
  <si>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NE AutoMax Preowned(Framingham)</t>
  </si>
  <si>
    <t>5099-5689</t>
  </si>
  <si>
    <t>Original Notes Delivered</t>
  </si>
  <si>
    <t>Funding Worksheet - Signoff Version</t>
  </si>
  <si>
    <t># 1</t>
  </si>
  <si>
    <t>Delivered by:</t>
  </si>
  <si>
    <t>Received by:</t>
  </si>
  <si>
    <t>Date Signed: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</si>
</sst>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5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0" fontId="0" fillId="0" borderId="0" xfId="0" applyAlignment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/>
    </xf>
    <xf numFmtId="7" fontId="2" fillId="0" borderId="0" xfId="0" applyNumberFormat="1" applyFont="1"/>
    <xf numFmtId="7" fontId="4" fillId="0" borderId="0" xfId="0" applyNumberFormat="1" applyFont="1"/>
    <xf numFmtId="0" fontId="4" fillId="0" borderId="0" xfId="0" applyFont="1"/>
    <xf numFmtId="0" fontId="3" fillId="0" borderId="0" xfId="0" applyFont="1"/>
    <xf numFmtId="7" fontId="3" fillId="0" borderId="0" xfId="0" applyNumberFormat="1" applyFont="1"/>
    <xf numFmtId="0" fontId="0" fillId="0" borderId="1" xfId="0" applyBorder="1"/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20">
  <tableColumns count="12">
    <tableColumn id="1" xr3:uid="{00000000-0010-0000-0000-000001000000}" name="Account Number"/>
    <tableColumn id="2" xr3:uid="{00000000-0010-0000-0000-000002000000}" name="Portal"/>
    <tableColumn id="3" xr3:uid="{00000000-0010-0000-0000-000003000000}" name="Contract Type"/>
    <tableColumn id="4" xr3:uid="{00000000-0010-0000-0000-000004000000}" name="Applicant Name"/>
    <tableColumn id="5" xr3:uid="{00000000-0010-0000-0000-000005000000}" name="Co-Applicant Name"/>
    <tableColumn id="6" xr3:uid="{00000000-0010-0000-0000-000006000000}" name="Dealer Name"/>
    <tableColumn id="7" xr3:uid="{00000000-0010-0000-0000-000007000000}" name="Funded by"/>
    <tableColumn id="8" xr3:uid="{00000000-0010-0000-0000-000008000000}" name="Amount Financed"/>
    <tableColumn id="9" xr3:uid="{00000000-0010-0000-0000-000009000000}" name="Applicant Email"/>
    <tableColumn id="10" xr3:uid="{00000000-0010-0000-0000-00000A000000}" name="Co-Applicant Email"/>
    <tableColumn id="11" xr3:uid="{00000000-0010-0000-0000-00000B000000}" name="App MMN"/>
    <tableColumn id="12" xr3:uid="{00000000-0010-0000-0000-00000C000000}" name="Co-App MM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C1731E-7917-4F56-A653-EFECC01AE07D}" name="Table_14" displayName="Table_14" ref="A3:H33" headerRowDxfId="2" dataDxfId="0" totalsRowDxfId="1">
  <sortState xmlns:xlrd2="http://schemas.microsoft.com/office/spreadsheetml/2017/richdata2" ref="A4:H33">
    <sortCondition ref="A4:A33"/>
  </sortState>
  <tableColumns count="8">
    <tableColumn id="1" xr3:uid="{5076EEE5-37A4-41D6-9ED7-6EF5429ACF31}" name="Dealer Name" dataDxfId="10"/>
    <tableColumn id="8" xr3:uid="{DFA52BF7-0F7C-459B-99E6-57E74A407E53}" name="Column2" dataDxfId="9"/>
    <tableColumn id="2" xr3:uid="{12A7010D-C2FA-4A01-B04B-6CD1753D93F7}" name="Funded by" dataDxfId="8"/>
    <tableColumn id="3" xr3:uid="{47D8B654-3245-4771-AE52-D7360A0774C0}" name="Dealer Flat" dataDxfId="7"/>
    <tableColumn id="4" xr3:uid="{011174AE-3485-40B9-88C3-042B037C3E8D}" name="Dealer Split" dataDxfId="6"/>
    <tableColumn id="5" xr3:uid="{6DDF8A80-8626-4FBE-A516-822D85135585}" name="Net to Dealer" dataDxfId="5"/>
    <tableColumn id="7" xr3:uid="{9387EF34-717D-4FB7-9D68-74DA83D43CFA}" name="Column1" dataDxfId="4"/>
    <tableColumn id="6" xr3:uid="{66ED7C7A-DE2A-40F2-B1F2-9CC84CB334D0}" name="Contracted Amount Financed" dataDxfId="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91A12C5-2BDB-4AF9-99DD-4799E1F182DE}" name="Table_16" displayName="Table_16" ref="A3:F5">
  <tableColumns count="6">
    <tableColumn id="1" xr3:uid="{DE0C27DE-BCF4-47A2-98F0-F220BB7D1472}" name="Account Number"/>
    <tableColumn id="2" xr3:uid="{F6C07ECD-A899-4DF0-8A4D-6AD30E54102F}" name="Contract Type"/>
    <tableColumn id="3" xr3:uid="{D2A9D46A-9A51-4DCB-8B5D-46D505094DE0}" name="Applicant Name"/>
    <tableColumn id="4" xr3:uid="{00C96956-CB1A-4D5B-B620-F68F5D3BDE7A}" name="Co-Applicant Name"/>
    <tableColumn id="5" xr3:uid="{3F17E59D-8B66-412B-876E-C9FEBA0FD1E0}" name="Dealer Name"/>
    <tableColumn id="6" xr3:uid="{3C132FB3-83DF-4377-B7C5-C9FAFC74E63B}" name="Business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0"/>
  <sheetViews>
    <sheetView tabSelected="1" workbookViewId="0">
      <pane ySplit="3" topLeftCell="A5" activePane="bottomLeft" state="frozen"/>
      <selection pane="bottomLeft" activeCell="F7" sqref="F7"/>
    </sheetView>
  </sheetViews>
  <sheetFormatPr defaultRowHeight="15" x14ac:dyDescent="0.25"/>
  <cols>
    <col min="1" max="1" width="13.85546875" customWidth="1"/>
    <col min="2" max="2" width="12.140625" bestFit="1" customWidth="1"/>
    <col min="3" max="3" width="12.85546875" customWidth="1"/>
    <col min="4" max="4" width="25" bestFit="1" customWidth="1"/>
    <col min="5" max="5" width="17.140625" customWidth="1"/>
    <col min="6" max="6" width="29.5703125" customWidth="1"/>
    <col min="7" max="7" width="17.7109375" bestFit="1" customWidth="1"/>
    <col min="8" max="8" width="17.140625" bestFit="1" customWidth="1"/>
    <col min="9" max="9" width="28" customWidth="1"/>
    <col min="10" max="10" width="24" bestFit="1" customWidth="1"/>
    <col min="11" max="11" width="11.85546875" bestFit="1" customWidth="1"/>
    <col min="12" max="12" width="12.85546875" bestFit="1" customWidth="1"/>
  </cols>
  <sheetData>
    <row r="1" spans="1:12" x14ac:dyDescent="0.25">
      <c r="K1" s="9">
        <v>45839</v>
      </c>
      <c r="L1" s="10"/>
    </row>
    <row r="2" spans="1:12" x14ac:dyDescent="0.25">
      <c r="A2" s="5" t="s">
        <v>0</v>
      </c>
      <c r="B2" s="6"/>
      <c r="C2" s="6"/>
      <c r="D2" s="6"/>
      <c r="E2" s="6"/>
      <c r="F2" s="6"/>
      <c r="G2" s="7" t="s">
        <v>1</v>
      </c>
      <c r="H2" s="6"/>
      <c r="I2" s="6"/>
      <c r="J2" s="6"/>
      <c r="K2" s="6"/>
      <c r="L2" s="6"/>
    </row>
    <row r="3" spans="1:12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 ht="30" customHeight="1" x14ac:dyDescent="0.25">
      <c r="A4" t="s">
        <v>88</v>
      </c>
      <c r="B4" t="s">
        <v>15</v>
      </c>
      <c r="C4" t="s">
        <v>16</v>
      </c>
      <c r="D4" t="s">
        <v>17</v>
      </c>
      <c r="F4" t="s">
        <v>18</v>
      </c>
      <c r="G4" t="s">
        <v>19</v>
      </c>
      <c r="H4" s="2">
        <v>18575</v>
      </c>
      <c r="I4" t="s">
        <v>20</v>
      </c>
      <c r="K4" t="s">
        <v>21</v>
      </c>
    </row>
    <row r="5" spans="1:12" ht="30" customHeight="1" x14ac:dyDescent="0.25">
      <c r="A5" s="8" t="s">
        <v>89</v>
      </c>
      <c r="B5" t="s">
        <v>22</v>
      </c>
      <c r="C5" t="s">
        <v>16</v>
      </c>
      <c r="D5" t="s">
        <v>23</v>
      </c>
      <c r="F5" t="s">
        <v>24</v>
      </c>
      <c r="G5" t="s">
        <v>19</v>
      </c>
      <c r="H5" s="2">
        <v>61629</v>
      </c>
      <c r="I5" t="s">
        <v>25</v>
      </c>
      <c r="K5" t="s">
        <v>26</v>
      </c>
    </row>
    <row r="6" spans="1:12" ht="30" customHeight="1" x14ac:dyDescent="0.25">
      <c r="A6" t="s">
        <v>90</v>
      </c>
      <c r="B6" t="s">
        <v>15</v>
      </c>
      <c r="C6" t="s">
        <v>16</v>
      </c>
      <c r="D6" t="s">
        <v>27</v>
      </c>
      <c r="F6" t="s">
        <v>28</v>
      </c>
      <c r="G6" t="s">
        <v>19</v>
      </c>
      <c r="H6" s="2">
        <v>28839</v>
      </c>
      <c r="I6" t="s">
        <v>29</v>
      </c>
      <c r="K6" t="s">
        <v>30</v>
      </c>
    </row>
    <row r="7" spans="1:12" ht="30" customHeight="1" x14ac:dyDescent="0.25">
      <c r="A7" t="s">
        <v>91</v>
      </c>
      <c r="B7" t="s">
        <v>15</v>
      </c>
      <c r="C7" t="s">
        <v>16</v>
      </c>
      <c r="D7" t="s">
        <v>31</v>
      </c>
      <c r="F7" t="s">
        <v>32</v>
      </c>
      <c r="G7" t="s">
        <v>19</v>
      </c>
      <c r="H7" s="2">
        <v>30345.48</v>
      </c>
      <c r="I7" t="s">
        <v>33</v>
      </c>
      <c r="K7" t="s">
        <v>34</v>
      </c>
    </row>
    <row r="8" spans="1:12" ht="30" customHeight="1" x14ac:dyDescent="0.25">
      <c r="A8" t="s">
        <v>92</v>
      </c>
      <c r="B8" t="s">
        <v>22</v>
      </c>
      <c r="C8" t="s">
        <v>16</v>
      </c>
      <c r="D8" t="s">
        <v>35</v>
      </c>
      <c r="F8" t="s">
        <v>36</v>
      </c>
      <c r="G8" t="s">
        <v>19</v>
      </c>
      <c r="H8" s="2">
        <v>18672.689999999999</v>
      </c>
      <c r="I8" t="s">
        <v>37</v>
      </c>
      <c r="K8" t="s">
        <v>38</v>
      </c>
    </row>
    <row r="9" spans="1:12" ht="30" customHeight="1" x14ac:dyDescent="0.25">
      <c r="A9" t="s">
        <v>39</v>
      </c>
      <c r="B9" t="s">
        <v>15</v>
      </c>
      <c r="C9" t="s">
        <v>40</v>
      </c>
      <c r="D9" t="s">
        <v>41</v>
      </c>
      <c r="E9" t="s">
        <v>46</v>
      </c>
      <c r="F9" t="s">
        <v>42</v>
      </c>
      <c r="G9" t="s">
        <v>43</v>
      </c>
      <c r="H9" s="2">
        <v>40075</v>
      </c>
      <c r="I9" t="s">
        <v>44</v>
      </c>
      <c r="K9" t="s">
        <v>45</v>
      </c>
    </row>
    <row r="10" spans="1:12" ht="30" customHeight="1" x14ac:dyDescent="0.25">
      <c r="A10" t="s">
        <v>93</v>
      </c>
      <c r="B10" t="s">
        <v>22</v>
      </c>
      <c r="C10" t="s">
        <v>16</v>
      </c>
      <c r="D10" t="s">
        <v>47</v>
      </c>
      <c r="F10" t="s">
        <v>24</v>
      </c>
      <c r="G10" t="s">
        <v>19</v>
      </c>
      <c r="H10" s="2">
        <v>18404.560000000001</v>
      </c>
      <c r="I10" t="s">
        <v>48</v>
      </c>
      <c r="K10" t="s">
        <v>49</v>
      </c>
    </row>
    <row r="11" spans="1:12" ht="30" customHeight="1" x14ac:dyDescent="0.25">
      <c r="A11" t="s">
        <v>94</v>
      </c>
      <c r="B11" t="s">
        <v>22</v>
      </c>
      <c r="C11" t="s">
        <v>16</v>
      </c>
      <c r="D11" t="s">
        <v>50</v>
      </c>
      <c r="E11" t="s">
        <v>51</v>
      </c>
      <c r="F11" t="s">
        <v>36</v>
      </c>
      <c r="G11" t="s">
        <v>52</v>
      </c>
      <c r="H11" s="2">
        <v>25075</v>
      </c>
      <c r="I11" t="s">
        <v>53</v>
      </c>
      <c r="J11" t="s">
        <v>53</v>
      </c>
      <c r="K11" t="s">
        <v>54</v>
      </c>
      <c r="L11" t="s">
        <v>55</v>
      </c>
    </row>
    <row r="12" spans="1:12" ht="30" customHeight="1" x14ac:dyDescent="0.25">
      <c r="A12" t="s">
        <v>95</v>
      </c>
      <c r="B12" t="s">
        <v>15</v>
      </c>
      <c r="C12" t="s">
        <v>16</v>
      </c>
      <c r="D12" t="s">
        <v>56</v>
      </c>
      <c r="F12" t="s">
        <v>57</v>
      </c>
      <c r="G12" t="s">
        <v>52</v>
      </c>
      <c r="H12" s="2">
        <v>28043.38</v>
      </c>
      <c r="I12" t="s">
        <v>58</v>
      </c>
      <c r="K12" t="s">
        <v>59</v>
      </c>
    </row>
    <row r="13" spans="1:12" ht="30" customHeight="1" x14ac:dyDescent="0.25">
      <c r="A13" t="s">
        <v>96</v>
      </c>
      <c r="B13" t="s">
        <v>22</v>
      </c>
      <c r="C13" t="s">
        <v>16</v>
      </c>
      <c r="D13" t="s">
        <v>60</v>
      </c>
      <c r="F13" t="s">
        <v>61</v>
      </c>
      <c r="G13" t="s">
        <v>52</v>
      </c>
      <c r="H13" s="2">
        <v>43338.13</v>
      </c>
      <c r="I13" t="s">
        <v>62</v>
      </c>
      <c r="K13" t="s">
        <v>63</v>
      </c>
    </row>
    <row r="14" spans="1:12" ht="30" customHeight="1" x14ac:dyDescent="0.25">
      <c r="A14" t="s">
        <v>97</v>
      </c>
      <c r="B14" t="s">
        <v>22</v>
      </c>
      <c r="C14" t="s">
        <v>16</v>
      </c>
      <c r="D14" t="s">
        <v>64</v>
      </c>
      <c r="F14" t="s">
        <v>65</v>
      </c>
      <c r="G14" t="s">
        <v>52</v>
      </c>
      <c r="H14" s="2">
        <v>29729.5</v>
      </c>
      <c r="K14" t="s">
        <v>66</v>
      </c>
    </row>
    <row r="15" spans="1:12" ht="30" customHeight="1" x14ac:dyDescent="0.25">
      <c r="A15" t="s">
        <v>98</v>
      </c>
      <c r="B15" t="s">
        <v>15</v>
      </c>
      <c r="C15" t="s">
        <v>16</v>
      </c>
      <c r="D15" t="s">
        <v>67</v>
      </c>
      <c r="F15" t="s">
        <v>68</v>
      </c>
      <c r="G15" t="s">
        <v>19</v>
      </c>
      <c r="H15" s="2">
        <v>21675.96</v>
      </c>
      <c r="K15" t="s">
        <v>69</v>
      </c>
    </row>
    <row r="16" spans="1:12" ht="30" customHeight="1" x14ac:dyDescent="0.25">
      <c r="A16" t="s">
        <v>99</v>
      </c>
      <c r="B16" t="s">
        <v>15</v>
      </c>
      <c r="C16" t="s">
        <v>16</v>
      </c>
      <c r="D16" t="s">
        <v>70</v>
      </c>
      <c r="E16" t="s">
        <v>71</v>
      </c>
      <c r="F16" t="s">
        <v>72</v>
      </c>
      <c r="G16" t="s">
        <v>52</v>
      </c>
      <c r="H16" s="2">
        <v>25074.79</v>
      </c>
      <c r="I16" t="s">
        <v>73</v>
      </c>
      <c r="K16" t="s">
        <v>74</v>
      </c>
      <c r="L16" t="s">
        <v>75</v>
      </c>
    </row>
    <row r="17" spans="1:12" ht="30" customHeight="1" x14ac:dyDescent="0.25">
      <c r="A17" t="s">
        <v>100</v>
      </c>
      <c r="B17" t="s">
        <v>15</v>
      </c>
      <c r="C17" t="s">
        <v>16</v>
      </c>
      <c r="D17" t="s">
        <v>76</v>
      </c>
      <c r="F17" t="s">
        <v>77</v>
      </c>
      <c r="G17" t="s">
        <v>52</v>
      </c>
      <c r="H17" s="2">
        <v>44845.38</v>
      </c>
      <c r="I17" t="s">
        <v>78</v>
      </c>
      <c r="K17" t="s">
        <v>79</v>
      </c>
    </row>
    <row r="18" spans="1:12" ht="30" customHeight="1" x14ac:dyDescent="0.25">
      <c r="A18" t="s">
        <v>101</v>
      </c>
      <c r="B18" t="s">
        <v>15</v>
      </c>
      <c r="C18" t="s">
        <v>16</v>
      </c>
      <c r="D18" t="s">
        <v>80</v>
      </c>
      <c r="F18" t="s">
        <v>77</v>
      </c>
      <c r="G18" t="s">
        <v>52</v>
      </c>
      <c r="H18" s="2">
        <v>19270.5</v>
      </c>
      <c r="I18" t="s">
        <v>81</v>
      </c>
      <c r="K18" t="s">
        <v>82</v>
      </c>
    </row>
    <row r="19" spans="1:12" ht="30" customHeight="1" x14ac:dyDescent="0.25">
      <c r="A19" t="s">
        <v>102</v>
      </c>
      <c r="B19" t="s">
        <v>22</v>
      </c>
      <c r="C19" t="s">
        <v>16</v>
      </c>
      <c r="D19" t="s">
        <v>83</v>
      </c>
      <c r="F19" t="s">
        <v>84</v>
      </c>
      <c r="G19" t="s">
        <v>19</v>
      </c>
      <c r="H19" s="2">
        <v>18605.75</v>
      </c>
      <c r="I19" t="s">
        <v>85</v>
      </c>
      <c r="K19" t="s">
        <v>86</v>
      </c>
    </row>
    <row r="20" spans="1:12" x14ac:dyDescent="0.25">
      <c r="A20" s="1"/>
      <c r="B20" s="1"/>
      <c r="C20" s="1"/>
      <c r="D20" s="1" t="s">
        <v>87</v>
      </c>
      <c r="E20" s="1"/>
      <c r="F20" s="1"/>
      <c r="G20" s="1"/>
      <c r="H20" s="3">
        <f>SUM(H4:H19)</f>
        <v>472199.12</v>
      </c>
      <c r="I20" s="1"/>
      <c r="J20" s="1"/>
      <c r="K20" s="1"/>
      <c r="L20" s="1"/>
    </row>
  </sheetData>
  <mergeCells count="3">
    <mergeCell ref="A2:F2"/>
    <mergeCell ref="G2:L2"/>
    <mergeCell ref="K1:L1"/>
  </mergeCells>
  <pageMargins left="0.7" right="0.2" top="0.75" bottom="0.75" header="0.3" footer="0.3"/>
  <pageSetup paperSize="5" scale="74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F4E16-62D1-40ED-B722-EBEB3E359143}">
  <sheetPr>
    <pageSetUpPr fitToPage="1"/>
  </sheetPr>
  <dimension ref="A1:H33"/>
  <sheetViews>
    <sheetView topLeftCell="A25" workbookViewId="0">
      <selection activeCell="D36" sqref="D36"/>
    </sheetView>
  </sheetViews>
  <sheetFormatPr defaultRowHeight="15.75" x14ac:dyDescent="0.25"/>
  <cols>
    <col min="1" max="1" width="26" style="11" customWidth="1"/>
    <col min="2" max="2" width="11.7109375" style="11" customWidth="1"/>
    <col min="3" max="3" width="18.140625" style="11" customWidth="1"/>
    <col min="4" max="4" width="19.5703125" style="11" customWidth="1"/>
    <col min="5" max="5" width="15" style="11" customWidth="1"/>
    <col min="6" max="6" width="15.7109375" style="11" customWidth="1"/>
    <col min="7" max="7" width="15.140625" style="11" customWidth="1"/>
    <col min="8" max="8" width="17.42578125" style="11" customWidth="1"/>
    <col min="9" max="16384" width="9.140625" style="11"/>
  </cols>
  <sheetData>
    <row r="1" spans="1:8" x14ac:dyDescent="0.25">
      <c r="E1" s="12"/>
      <c r="H1" s="12">
        <v>45839.999988425923</v>
      </c>
    </row>
    <row r="2" spans="1:8" x14ac:dyDescent="0.25">
      <c r="A2" s="13" t="s">
        <v>0</v>
      </c>
      <c r="B2" s="13"/>
      <c r="C2" s="14"/>
      <c r="D2" s="14"/>
      <c r="E2" s="15" t="s">
        <v>103</v>
      </c>
      <c r="F2" s="14"/>
      <c r="G2" s="14"/>
      <c r="H2" s="14"/>
    </row>
    <row r="3" spans="1:8" x14ac:dyDescent="0.25">
      <c r="A3" s="11" t="s">
        <v>7</v>
      </c>
      <c r="B3" s="11" t="s">
        <v>109</v>
      </c>
      <c r="C3" s="11" t="s">
        <v>8</v>
      </c>
      <c r="D3" s="11" t="s">
        <v>104</v>
      </c>
      <c r="E3" s="11" t="s">
        <v>105</v>
      </c>
      <c r="F3" s="11" t="s">
        <v>106</v>
      </c>
      <c r="G3" s="11" t="s">
        <v>108</v>
      </c>
      <c r="H3" s="11" t="s">
        <v>107</v>
      </c>
    </row>
    <row r="4" spans="1:8" ht="27" customHeight="1" x14ac:dyDescent="0.25">
      <c r="A4" s="11" t="s">
        <v>61</v>
      </c>
      <c r="C4" s="11" t="s">
        <v>52</v>
      </c>
      <c r="D4" s="16">
        <v>1050</v>
      </c>
      <c r="E4" s="16">
        <v>0</v>
      </c>
      <c r="F4" s="17">
        <v>43263.13</v>
      </c>
      <c r="G4" s="16"/>
      <c r="H4" s="16">
        <v>43338.13</v>
      </c>
    </row>
    <row r="5" spans="1:8" ht="27" customHeight="1" x14ac:dyDescent="0.25">
      <c r="D5" s="16"/>
      <c r="E5" s="16"/>
      <c r="F5" s="16"/>
      <c r="G5" s="16"/>
      <c r="H5" s="16"/>
    </row>
    <row r="6" spans="1:8" ht="27" customHeight="1" x14ac:dyDescent="0.25">
      <c r="A6" s="11" t="s">
        <v>36</v>
      </c>
      <c r="C6" s="11" t="s">
        <v>19</v>
      </c>
      <c r="D6" s="16">
        <v>500</v>
      </c>
      <c r="E6" s="16">
        <v>0</v>
      </c>
      <c r="F6" s="16">
        <v>18597.689999999999</v>
      </c>
      <c r="G6" s="16"/>
      <c r="H6" s="16">
        <v>18672.689999999999</v>
      </c>
    </row>
    <row r="7" spans="1:8" ht="27" customHeight="1" x14ac:dyDescent="0.25">
      <c r="A7" s="11" t="s">
        <v>36</v>
      </c>
      <c r="C7" s="11" t="s">
        <v>52</v>
      </c>
      <c r="D7" s="16">
        <v>750</v>
      </c>
      <c r="E7" s="16">
        <v>0</v>
      </c>
      <c r="F7" s="16">
        <v>25000</v>
      </c>
      <c r="G7" s="17">
        <f>SUM(F6:F7)</f>
        <v>43597.69</v>
      </c>
      <c r="H7" s="16">
        <v>25075</v>
      </c>
    </row>
    <row r="8" spans="1:8" ht="27" customHeight="1" x14ac:dyDescent="0.25">
      <c r="D8" s="16"/>
      <c r="E8" s="16"/>
      <c r="F8" s="16"/>
      <c r="G8" s="16"/>
      <c r="H8" s="16"/>
    </row>
    <row r="9" spans="1:8" ht="27" customHeight="1" x14ac:dyDescent="0.25">
      <c r="A9" s="11" t="s">
        <v>57</v>
      </c>
      <c r="C9" s="11" t="s">
        <v>52</v>
      </c>
      <c r="D9" s="16">
        <v>750</v>
      </c>
      <c r="E9" s="16">
        <v>0</v>
      </c>
      <c r="F9" s="17">
        <v>27968.38</v>
      </c>
      <c r="G9" s="16"/>
      <c r="H9" s="16">
        <v>28043.38</v>
      </c>
    </row>
    <row r="10" spans="1:8" ht="27" customHeight="1" x14ac:dyDescent="0.25">
      <c r="D10" s="16"/>
      <c r="E10" s="16"/>
      <c r="F10" s="17"/>
      <c r="G10" s="16"/>
      <c r="H10" s="16"/>
    </row>
    <row r="11" spans="1:8" ht="27" customHeight="1" x14ac:dyDescent="0.25">
      <c r="A11" s="11" t="s">
        <v>42</v>
      </c>
      <c r="C11" s="11" t="s">
        <v>43</v>
      </c>
      <c r="D11" s="16">
        <v>1050</v>
      </c>
      <c r="E11" s="16">
        <v>0</v>
      </c>
      <c r="F11" s="17">
        <v>40000</v>
      </c>
      <c r="G11" s="16"/>
      <c r="H11" s="16">
        <v>40075</v>
      </c>
    </row>
    <row r="12" spans="1:8" ht="27" customHeight="1" x14ac:dyDescent="0.25">
      <c r="D12" s="16"/>
      <c r="E12" s="16"/>
      <c r="F12" s="17"/>
      <c r="G12" s="16"/>
      <c r="H12" s="16"/>
    </row>
    <row r="13" spans="1:8" ht="27" customHeight="1" x14ac:dyDescent="0.25">
      <c r="A13" s="11" t="s">
        <v>32</v>
      </c>
      <c r="C13" s="11" t="s">
        <v>19</v>
      </c>
      <c r="D13" s="16">
        <v>850</v>
      </c>
      <c r="E13" s="16">
        <v>0</v>
      </c>
      <c r="F13" s="17">
        <v>30270.48</v>
      </c>
      <c r="G13" s="16"/>
      <c r="H13" s="16">
        <v>30345.48</v>
      </c>
    </row>
    <row r="14" spans="1:8" ht="27" customHeight="1" x14ac:dyDescent="0.25">
      <c r="D14" s="16"/>
      <c r="E14" s="16"/>
      <c r="F14" s="17"/>
      <c r="G14" s="16"/>
      <c r="H14" s="16"/>
    </row>
    <row r="15" spans="1:8" ht="27" customHeight="1" x14ac:dyDescent="0.25">
      <c r="A15" s="11" t="s">
        <v>84</v>
      </c>
      <c r="C15" s="11" t="s">
        <v>19</v>
      </c>
      <c r="D15" s="16">
        <v>500</v>
      </c>
      <c r="E15" s="16">
        <v>0</v>
      </c>
      <c r="F15" s="17">
        <v>18530.75</v>
      </c>
      <c r="G15" s="16"/>
      <c r="H15" s="16">
        <v>18605.75</v>
      </c>
    </row>
    <row r="16" spans="1:8" ht="27" customHeight="1" x14ac:dyDescent="0.25">
      <c r="D16" s="16"/>
      <c r="E16" s="16"/>
      <c r="F16" s="17"/>
      <c r="G16" s="16"/>
      <c r="H16" s="16"/>
    </row>
    <row r="17" spans="1:8" ht="27" customHeight="1" x14ac:dyDescent="0.25">
      <c r="A17" s="11" t="s">
        <v>28</v>
      </c>
      <c r="B17" s="18" t="s">
        <v>111</v>
      </c>
      <c r="C17" s="11" t="s">
        <v>19</v>
      </c>
      <c r="D17" s="16">
        <v>750</v>
      </c>
      <c r="E17" s="16">
        <v>0</v>
      </c>
      <c r="F17" s="17">
        <v>28764</v>
      </c>
      <c r="G17" s="16"/>
      <c r="H17" s="16">
        <v>28839</v>
      </c>
    </row>
    <row r="18" spans="1:8" ht="27" customHeight="1" x14ac:dyDescent="0.25">
      <c r="D18" s="16"/>
      <c r="E18" s="16"/>
      <c r="F18" s="17"/>
      <c r="G18" s="16"/>
      <c r="H18" s="16"/>
    </row>
    <row r="19" spans="1:8" ht="27" customHeight="1" x14ac:dyDescent="0.25">
      <c r="A19" s="11" t="s">
        <v>68</v>
      </c>
      <c r="C19" s="11" t="s">
        <v>19</v>
      </c>
      <c r="D19" s="16">
        <v>650</v>
      </c>
      <c r="E19" s="16">
        <v>0</v>
      </c>
      <c r="F19" s="17">
        <v>21600.959999999999</v>
      </c>
      <c r="G19" s="16"/>
      <c r="H19" s="16">
        <v>21675.96</v>
      </c>
    </row>
    <row r="20" spans="1:8" ht="27" customHeight="1" x14ac:dyDescent="0.25">
      <c r="D20" s="16"/>
      <c r="E20" s="16"/>
      <c r="F20" s="17"/>
      <c r="G20" s="16"/>
      <c r="H20" s="16"/>
    </row>
    <row r="21" spans="1:8" ht="27" customHeight="1" x14ac:dyDescent="0.25">
      <c r="A21" s="11" t="s">
        <v>110</v>
      </c>
      <c r="C21" s="11" t="s">
        <v>52</v>
      </c>
      <c r="D21" s="16">
        <v>750</v>
      </c>
      <c r="E21" s="16">
        <v>0</v>
      </c>
      <c r="F21" s="17">
        <v>24999.79</v>
      </c>
      <c r="G21" s="16"/>
      <c r="H21" s="16">
        <v>25074.79</v>
      </c>
    </row>
    <row r="22" spans="1:8" ht="27" customHeight="1" x14ac:dyDescent="0.25">
      <c r="D22" s="16"/>
      <c r="E22" s="16"/>
      <c r="F22" s="16"/>
      <c r="G22" s="16"/>
      <c r="H22" s="16"/>
    </row>
    <row r="23" spans="1:8" ht="27" customHeight="1" x14ac:dyDescent="0.25">
      <c r="A23" s="11" t="s">
        <v>77</v>
      </c>
      <c r="C23" s="11" t="s">
        <v>52</v>
      </c>
      <c r="D23" s="16">
        <v>500</v>
      </c>
      <c r="E23" s="16">
        <v>0</v>
      </c>
      <c r="F23" s="16">
        <v>19195.5</v>
      </c>
      <c r="G23" s="16"/>
      <c r="H23" s="16">
        <v>19270.5</v>
      </c>
    </row>
    <row r="24" spans="1:8" ht="27" customHeight="1" x14ac:dyDescent="0.25">
      <c r="A24" s="11" t="s">
        <v>77</v>
      </c>
      <c r="C24" s="11" t="s">
        <v>52</v>
      </c>
      <c r="D24" s="16">
        <v>1050</v>
      </c>
      <c r="E24" s="16">
        <v>0</v>
      </c>
      <c r="F24" s="16">
        <v>44770.38</v>
      </c>
      <c r="G24" s="17">
        <f>SUM(F23:F24)</f>
        <v>63965.88</v>
      </c>
      <c r="H24" s="16">
        <v>44845.38</v>
      </c>
    </row>
    <row r="25" spans="1:8" ht="27" customHeight="1" x14ac:dyDescent="0.25">
      <c r="D25" s="16"/>
      <c r="E25" s="16"/>
      <c r="F25" s="16"/>
      <c r="G25" s="16"/>
      <c r="H25" s="16"/>
    </row>
    <row r="26" spans="1:8" ht="27" customHeight="1" x14ac:dyDescent="0.25">
      <c r="A26" s="11" t="s">
        <v>18</v>
      </c>
      <c r="C26" s="11" t="s">
        <v>19</v>
      </c>
      <c r="D26" s="16">
        <v>500</v>
      </c>
      <c r="E26" s="16">
        <v>0</v>
      </c>
      <c r="F26" s="17">
        <v>18500</v>
      </c>
      <c r="G26" s="16"/>
      <c r="H26" s="16">
        <v>18575</v>
      </c>
    </row>
    <row r="27" spans="1:8" ht="27" customHeight="1" x14ac:dyDescent="0.25">
      <c r="D27" s="16"/>
      <c r="E27" s="16"/>
      <c r="F27" s="16"/>
      <c r="G27" s="16"/>
      <c r="H27" s="16"/>
    </row>
    <row r="28" spans="1:8" ht="27" customHeight="1" x14ac:dyDescent="0.25">
      <c r="A28" s="11" t="s">
        <v>24</v>
      </c>
      <c r="C28" s="11" t="s">
        <v>19</v>
      </c>
      <c r="D28" s="16">
        <v>500</v>
      </c>
      <c r="E28" s="16">
        <v>0</v>
      </c>
      <c r="F28" s="16">
        <v>18329.560000000001</v>
      </c>
      <c r="G28" s="16"/>
      <c r="H28" s="16">
        <v>18404.560000000001</v>
      </c>
    </row>
    <row r="29" spans="1:8" ht="27" customHeight="1" x14ac:dyDescent="0.25">
      <c r="A29" s="11" t="s">
        <v>24</v>
      </c>
      <c r="C29" s="11" t="s">
        <v>19</v>
      </c>
      <c r="D29" s="16">
        <v>1350</v>
      </c>
      <c r="E29" s="16">
        <v>0</v>
      </c>
      <c r="F29" s="16">
        <v>61554</v>
      </c>
      <c r="G29" s="17">
        <f>SUM(F28:F29)</f>
        <v>79883.56</v>
      </c>
      <c r="H29" s="16">
        <v>61629</v>
      </c>
    </row>
    <row r="30" spans="1:8" ht="27" customHeight="1" x14ac:dyDescent="0.25">
      <c r="D30" s="16"/>
      <c r="E30" s="16"/>
      <c r="F30" s="16"/>
      <c r="G30" s="16"/>
      <c r="H30" s="16"/>
    </row>
    <row r="31" spans="1:8" ht="27" customHeight="1" x14ac:dyDescent="0.25">
      <c r="A31" s="11" t="s">
        <v>65</v>
      </c>
      <c r="C31" s="11" t="s">
        <v>52</v>
      </c>
      <c r="D31" s="16">
        <v>750</v>
      </c>
      <c r="E31" s="16">
        <v>0</v>
      </c>
      <c r="F31" s="17">
        <v>29654.5</v>
      </c>
      <c r="G31" s="16"/>
      <c r="H31" s="16">
        <v>29729.5</v>
      </c>
    </row>
    <row r="32" spans="1:8" x14ac:dyDescent="0.25">
      <c r="D32" s="16"/>
      <c r="E32" s="16"/>
      <c r="F32" s="16"/>
      <c r="G32" s="16"/>
      <c r="H32" s="16"/>
    </row>
    <row r="33" spans="1:8" x14ac:dyDescent="0.25">
      <c r="A33" s="19"/>
      <c r="B33" s="19"/>
      <c r="C33" s="19"/>
      <c r="D33" s="20">
        <f>SUM(D4:D31)</f>
        <v>12250</v>
      </c>
      <c r="E33" s="20">
        <f>SUM(E4:E31)</f>
        <v>0</v>
      </c>
      <c r="F33" s="20">
        <f>SUM(F4:F31)</f>
        <v>470999.12</v>
      </c>
      <c r="G33" s="20"/>
      <c r="H33" s="20">
        <f>SUM(H4:H31)</f>
        <v>472199.12</v>
      </c>
    </row>
  </sheetData>
  <mergeCells count="2">
    <mergeCell ref="A2:D2"/>
    <mergeCell ref="E2:H2"/>
  </mergeCells>
  <pageMargins left="0.7" right="0.45" top="0.5" bottom="0.25" header="0.3" footer="0.3"/>
  <pageSetup scale="84" fitToHeight="0" orientation="landscape" r:id="rId1"/>
  <headerFooter>
    <oddFooter>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5E681-5460-4E51-ABB9-F738688E5BF3}">
  <sheetPr>
    <pageSetUpPr fitToPage="1"/>
  </sheetPr>
  <dimension ref="A1:F19"/>
  <sheetViews>
    <sheetView workbookViewId="0">
      <selection activeCell="G23" sqref="G23"/>
    </sheetView>
  </sheetViews>
  <sheetFormatPr defaultRowHeight="15" x14ac:dyDescent="0.25"/>
  <cols>
    <col min="1" max="1" width="11.85546875" customWidth="1"/>
    <col min="3" max="3" width="15.85546875" customWidth="1"/>
    <col min="4" max="4" width="4" customWidth="1"/>
    <col min="5" max="5" width="18" customWidth="1"/>
    <col min="6" max="6" width="14.7109375" customWidth="1"/>
  </cols>
  <sheetData>
    <row r="1" spans="1:6" ht="24.95" customHeight="1" x14ac:dyDescent="0.25">
      <c r="A1" t="s">
        <v>112</v>
      </c>
      <c r="D1" s="4"/>
      <c r="F1" s="4">
        <v>45839.999988425923</v>
      </c>
    </row>
    <row r="2" spans="1:6" ht="24.95" customHeight="1" x14ac:dyDescent="0.25">
      <c r="A2" s="5" t="s">
        <v>0</v>
      </c>
      <c r="B2" s="6"/>
      <c r="C2" s="6"/>
      <c r="D2" s="7" t="s">
        <v>113</v>
      </c>
      <c r="E2" s="6"/>
      <c r="F2" s="6"/>
    </row>
    <row r="3" spans="1:6" ht="24.95" customHeight="1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  <c r="F3" t="s">
        <v>14</v>
      </c>
    </row>
    <row r="4" spans="1:6" ht="24.95" customHeight="1" x14ac:dyDescent="0.25">
      <c r="A4" t="s">
        <v>39</v>
      </c>
      <c r="B4" t="s">
        <v>40</v>
      </c>
      <c r="C4" t="s">
        <v>41</v>
      </c>
      <c r="E4" t="s">
        <v>42</v>
      </c>
      <c r="F4" t="s">
        <v>46</v>
      </c>
    </row>
    <row r="5" spans="1:6" ht="24.95" customHeight="1" x14ac:dyDescent="0.25">
      <c r="A5" s="1"/>
      <c r="B5" s="1"/>
      <c r="C5" s="1" t="s">
        <v>114</v>
      </c>
      <c r="D5" s="1"/>
      <c r="E5" s="1"/>
      <c r="F5" s="1"/>
    </row>
    <row r="6" spans="1:6" ht="16.5" customHeight="1" x14ac:dyDescent="0.25"/>
    <row r="7" spans="1:6" ht="15.75" customHeight="1" x14ac:dyDescent="0.25"/>
    <row r="10" spans="1:6" x14ac:dyDescent="0.25">
      <c r="A10" t="s">
        <v>115</v>
      </c>
      <c r="B10" s="21"/>
      <c r="C10" s="21"/>
      <c r="D10" s="21"/>
      <c r="E10" s="21"/>
    </row>
    <row r="15" spans="1:6" x14ac:dyDescent="0.25">
      <c r="A15" t="s">
        <v>116</v>
      </c>
      <c r="B15" s="21"/>
      <c r="C15" s="21"/>
      <c r="D15" s="21"/>
      <c r="E15" s="21"/>
    </row>
    <row r="19" spans="1:3" x14ac:dyDescent="0.25">
      <c r="A19" t="s">
        <v>117</v>
      </c>
      <c r="B19" s="21"/>
      <c r="C19" s="21"/>
    </row>
  </sheetData>
  <mergeCells count="2">
    <mergeCell ref="A2:C2"/>
    <mergeCell ref="D2:F2"/>
  </mergeCells>
  <pageMargins left="0.7" right="0.7" top="0.75" bottom="0.75" header="0.3" footer="0.3"/>
  <pageSetup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2025-07-01T17:59:39Z</cp:lastPrinted>
  <dcterms:created xsi:type="dcterms:W3CDTF">2025-07-01T17:37:16Z</dcterms:created>
  <dcterms:modified xsi:type="dcterms:W3CDTF">2025-07-01T18:49:00Z</dcterms:modified>
</cp:coreProperties>
</file>