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1964D445-294B-4699-9409-D7C1E144599F}" xr6:coauthVersionLast="47" xr6:coauthVersionMax="47" xr10:uidLastSave="{00000000-0000-0000-0000-000000000000}"/>
  <bookViews>
    <workbookView xWindow="36210" yWindow="1575" windowWidth="20865" windowHeight="1431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definedNames>
    <definedName name="_xlnm.Print_Area" localSheetId="2">'Original Note log'!$A$1:$E$21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2" l="1"/>
  <c r="F20" i="2"/>
  <c r="E20" i="2"/>
  <c r="D20" i="2"/>
  <c r="H12" i="1"/>
</calcChain>
</file>

<file path=xl/sharedStrings.xml><?xml version="1.0" encoding="utf-8"?>
<sst xmlns="http://schemas.openxmlformats.org/spreadsheetml/2006/main" count="132" uniqueCount="79">
  <si>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</si>
  <si>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</si>
  <si>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</si>
  <si>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</si>
  <si>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</si>
  <si>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</si>
  <si>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</si>
  <si>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</si>
  <si>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</si>
  <si>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</si>
  <si>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</si>
  <si>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</si>
  <si>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</si>
  <si>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</si>
  <si>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DealerTrack</t>
  </si>
  <si>
    <t>E Contract</t>
  </si>
  <si>
    <t>BANACH, KIMBERLY</t>
  </si>
  <si>
    <t>Richard Lundgren, Inc. d/b/a</t>
  </si>
  <si>
    <t>Rachel Gorham</t>
  </si>
  <si>
    <t>BANACHKIM@YAHOO.COM</t>
  </si>
  <si>
    <t>MUNGER</t>
  </si>
  <si>
    <t>151205707</t>
  </si>
  <si>
    <t>Paper</t>
  </si>
  <si>
    <t>FROST, ANDREW</t>
  </si>
  <si>
    <t>Planet Subaru</t>
  </si>
  <si>
    <t>ANDREWFROST2525@GMAIL.COM</t>
  </si>
  <si>
    <t>DOWDEN</t>
  </si>
  <si>
    <t>Route One</t>
  </si>
  <si>
    <t>WORLEY, CHARLES</t>
  </si>
  <si>
    <t>DENT, ELLEN</t>
  </si>
  <si>
    <t>T F Murphy Enterprises Inc</t>
  </si>
  <si>
    <t>Marlene Braganca</t>
  </si>
  <si>
    <t>CRWNSVN@GMAIL.COM</t>
  </si>
  <si>
    <t>MEDLIN</t>
  </si>
  <si>
    <t>KUHN</t>
  </si>
  <si>
    <t>LAPOINTE, SARAH</t>
  </si>
  <si>
    <t>Alden Mazda</t>
  </si>
  <si>
    <t>SARAH9164@YMAIL.COM</t>
  </si>
  <si>
    <t>CARLOZZI</t>
  </si>
  <si>
    <t>151205773</t>
  </si>
  <si>
    <t>RICCIO, RALPH</t>
  </si>
  <si>
    <t>Paul Masse Chevrolet South Inc</t>
  </si>
  <si>
    <t>rlriccio56@gmail.com</t>
  </si>
  <si>
    <t>Nascenzi</t>
  </si>
  <si>
    <t>KINGSBURY, CHRISTOPHER</t>
  </si>
  <si>
    <t>Mastria Kia</t>
  </si>
  <si>
    <t>KINGSBURYCHRIS@YAHOO.COM</t>
  </si>
  <si>
    <t>PATNODE</t>
  </si>
  <si>
    <t>151205799</t>
  </si>
  <si>
    <t>COTE, BRIAN</t>
  </si>
  <si>
    <t>Planet Automotive Sales LLC</t>
  </si>
  <si>
    <t>BRIANCOTE23@GMAIL.COM</t>
  </si>
  <si>
    <t>NICHOLS</t>
  </si>
  <si>
    <t>AKEKE, JUNE</t>
  </si>
  <si>
    <t>Patriot Auto Group Inc d/b/a</t>
  </si>
  <si>
    <t>JUNEAKEKE@YAHOO.COM</t>
  </si>
  <si>
    <t>BELT</t>
  </si>
  <si>
    <t># 8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</si>
  <si>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</si>
  <si>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</si>
  <si>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</si>
  <si>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</si>
  <si>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</si>
  <si>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</si>
  <si>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</si>
  <si>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Honda-Patriot Auto Group Inc d/b/a</t>
  </si>
  <si>
    <t>Lu-Richard Lundgren, Inc. d/b/a</t>
  </si>
  <si>
    <t>5099-5689</t>
  </si>
  <si>
    <t>Funding Worksheet - Signoff Version</t>
  </si>
  <si>
    <t># 3</t>
  </si>
  <si>
    <t>Original Notes Delivered</t>
  </si>
  <si>
    <t>Delivered by:</t>
  </si>
  <si>
    <t>Received by:</t>
  </si>
  <si>
    <t>Date signed:</t>
  </si>
  <si>
    <t>151205690 E</t>
  </si>
  <si>
    <t>151205757 E</t>
  </si>
  <si>
    <t>151205765 E</t>
  </si>
  <si>
    <t>151205781 E</t>
  </si>
  <si>
    <t>151205822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</si>
</sst>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7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sz val="14"/>
      <color indexed="8"/>
      <name val="Aptos Narrow"/>
      <family val="2"/>
      <scheme val="minor"/>
    </font>
    <font>
      <b/>
      <sz val="14"/>
      <color indexed="8"/>
      <name val="Aptos Narrow"/>
      <family val="2"/>
      <scheme val="minor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7" fontId="2" fillId="0" borderId="0" xfId="0" applyNumberFormat="1" applyFont="1"/>
    <xf numFmtId="0" fontId="3" fillId="0" borderId="0" xfId="0" applyFont="1"/>
    <xf numFmtId="7" fontId="3" fillId="0" borderId="0" xfId="0" applyNumberFormat="1" applyFont="1"/>
    <xf numFmtId="0" fontId="0" fillId="0" borderId="1" xfId="0" applyBorder="1"/>
    <xf numFmtId="0" fontId="4" fillId="0" borderId="0" xfId="0" applyFont="1"/>
    <xf numFmtId="164" fontId="4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right"/>
    </xf>
    <xf numFmtId="7" fontId="4" fillId="0" borderId="0" xfId="0" applyNumberFormat="1" applyFont="1"/>
    <xf numFmtId="7" fontId="5" fillId="0" borderId="0" xfId="0" applyNumberFormat="1" applyFont="1"/>
    <xf numFmtId="0" fontId="5" fillId="0" borderId="0" xfId="0" applyFont="1"/>
    <xf numFmtId="0" fontId="6" fillId="0" borderId="0" xfId="0" applyFont="1"/>
    <xf numFmtId="7" fontId="6" fillId="0" borderId="0" xfId="0" applyNumberFormat="1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/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12" headerRowDxfId="2" dataDxfId="0" totalsRowDxfId="1">
  <tableColumns count="12">
    <tableColumn id="1" xr3:uid="{00000000-0010-0000-0000-000001000000}" name="Account Number" dataDxfId="14"/>
    <tableColumn id="2" xr3:uid="{00000000-0010-0000-0000-000002000000}" name="Portal" dataDxfId="13"/>
    <tableColumn id="3" xr3:uid="{00000000-0010-0000-0000-000003000000}" name="Contract Type" dataDxfId="12"/>
    <tableColumn id="4" xr3:uid="{00000000-0010-0000-0000-000004000000}" name="Applicant Name" dataDxfId="11"/>
    <tableColumn id="5" xr3:uid="{00000000-0010-0000-0000-000005000000}" name="Co-Applicant Name" dataDxfId="10"/>
    <tableColumn id="6" xr3:uid="{00000000-0010-0000-0000-000006000000}" name="Dealer Name" dataDxfId="9"/>
    <tableColumn id="7" xr3:uid="{00000000-0010-0000-0000-000007000000}" name="Funded by" dataDxfId="8"/>
    <tableColumn id="8" xr3:uid="{00000000-0010-0000-0000-000008000000}" name="Amount Financed" dataDxfId="7"/>
    <tableColumn id="9" xr3:uid="{00000000-0010-0000-0000-000009000000}" name="Applicant Email" dataDxfId="6"/>
    <tableColumn id="10" xr3:uid="{00000000-0010-0000-0000-00000A000000}" name="Co-Applicant Email" dataDxfId="5"/>
    <tableColumn id="11" xr3:uid="{00000000-0010-0000-0000-00000B000000}" name="App MMN" dataDxfId="4"/>
    <tableColumn id="12" xr3:uid="{00000000-0010-0000-0000-00000C000000}" name="Co-App MMN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80F42F-3582-44A8-AC04-A16256F117A5}" name="Table_14" displayName="Table_14" ref="A3:H20" headerRowDxfId="17" dataDxfId="15" totalsRowDxfId="16">
  <sortState xmlns:xlrd2="http://schemas.microsoft.com/office/spreadsheetml/2017/richdata2" ref="A4:H20">
    <sortCondition ref="A4:A20"/>
  </sortState>
  <tableColumns count="8">
    <tableColumn id="1" xr3:uid="{53DF3E27-4D09-4096-804E-2AD36DF8F551}" name="Dealer Name" dataDxfId="25"/>
    <tableColumn id="8" xr3:uid="{D1E7A490-110A-4223-8899-1E3FBADF79E7}" name="Column2" dataDxfId="24"/>
    <tableColumn id="2" xr3:uid="{C275E7F0-431B-4ECB-86EC-99D2165BCF60}" name="Funded by" dataDxfId="23"/>
    <tableColumn id="3" xr3:uid="{7DA97AA3-38B4-4D17-80A1-A9503554D94B}" name="Dealer Flat" dataDxfId="22"/>
    <tableColumn id="4" xr3:uid="{D7DEFDAD-25BE-415C-90B3-42135E9CB94E}" name="Dealer Split" dataDxfId="21"/>
    <tableColumn id="5" xr3:uid="{04497CCE-51E1-4427-A709-22D4C7377927}" name="Net to Dealer" dataDxfId="20"/>
    <tableColumn id="7" xr3:uid="{D404253B-CEB8-4693-B802-C516E733D74E}" name="Column1" dataDxfId="19"/>
    <tableColumn id="6" xr3:uid="{46D127E3-A186-4BF9-B3E2-F510A9B4C0D3}" name="Contracted Amount Financed" dataDxfId="1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2AC9B1-24C4-4A44-81B1-C54F75068D48}" name="Table_15" displayName="Table_15" ref="A3:E8">
  <tableColumns count="5">
    <tableColumn id="1" xr3:uid="{8BF3DCC4-C852-401A-A71D-203325700029}" name="Account Number"/>
    <tableColumn id="2" xr3:uid="{68C955EA-0CA3-4A6A-B885-9B1BD8094BD3}" name="Contract Type"/>
    <tableColumn id="3" xr3:uid="{54C48F42-AD38-4BFC-8CCA-E1FA0F7A4D79}" name="Applicant Name"/>
    <tableColumn id="4" xr3:uid="{711FB1A3-DC1B-45B2-B1C5-8DA9B03A44F5}" name="Co-Applicant Name"/>
    <tableColumn id="5" xr3:uid="{65519F28-7694-4376-9E0D-44ABED628D30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2"/>
  <sheetViews>
    <sheetView tabSelected="1" workbookViewId="0">
      <pane ySplit="3" topLeftCell="A4" activePane="bottomLeft" state="frozen"/>
      <selection pane="bottomLeft" activeCell="F16" sqref="F16"/>
    </sheetView>
  </sheetViews>
  <sheetFormatPr defaultRowHeight="15.75" x14ac:dyDescent="0.25"/>
  <cols>
    <col min="1" max="1" width="13.85546875" style="6" customWidth="1"/>
    <col min="2" max="2" width="12.140625" style="6" bestFit="1" customWidth="1"/>
    <col min="3" max="3" width="11.85546875" style="6" customWidth="1"/>
    <col min="4" max="4" width="22.85546875" style="6" customWidth="1"/>
    <col min="5" max="5" width="11.42578125" style="6" customWidth="1"/>
    <col min="6" max="6" width="30" style="6" bestFit="1" customWidth="1"/>
    <col min="7" max="7" width="17.7109375" style="6" bestFit="1" customWidth="1"/>
    <col min="8" max="8" width="17.140625" style="6" bestFit="1" customWidth="1"/>
    <col min="9" max="9" width="32.5703125" style="6" bestFit="1" customWidth="1"/>
    <col min="10" max="10" width="23.140625" style="6" bestFit="1" customWidth="1"/>
    <col min="11" max="11" width="13.140625" style="6" bestFit="1" customWidth="1"/>
    <col min="12" max="12" width="7.28515625" style="6" customWidth="1"/>
    <col min="13" max="16384" width="9.140625" style="6"/>
  </cols>
  <sheetData>
    <row r="1" spans="1:12" s="6" customFormat="1" x14ac:dyDescent="0.25">
      <c r="K1" s="25">
        <v>45862</v>
      </c>
      <c r="L1" s="26"/>
    </row>
    <row r="2" spans="1:12" s="6" customFormat="1" x14ac:dyDescent="0.25">
      <c r="A2" s="7" t="s">
        <v>0</v>
      </c>
      <c r="B2" s="8"/>
      <c r="C2" s="8"/>
      <c r="D2" s="8"/>
      <c r="E2" s="8"/>
      <c r="F2" s="8"/>
      <c r="G2" s="9" t="s">
        <v>1</v>
      </c>
      <c r="H2" s="8"/>
      <c r="I2" s="8"/>
      <c r="J2" s="8"/>
      <c r="K2" s="8"/>
      <c r="L2" s="8"/>
    </row>
    <row r="3" spans="1:12" s="6" customFormat="1" x14ac:dyDescent="0.2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</row>
    <row r="4" spans="1:12" s="6" customFormat="1" ht="33" customHeight="1" x14ac:dyDescent="0.25">
      <c r="A4" s="6" t="s">
        <v>74</v>
      </c>
      <c r="B4" s="6" t="s">
        <v>14</v>
      </c>
      <c r="C4" s="6" t="s">
        <v>15</v>
      </c>
      <c r="D4" s="6" t="s">
        <v>16</v>
      </c>
      <c r="F4" s="6" t="s">
        <v>17</v>
      </c>
      <c r="G4" s="6" t="s">
        <v>18</v>
      </c>
      <c r="H4" s="10">
        <v>20233.75</v>
      </c>
      <c r="I4" s="6" t="s">
        <v>19</v>
      </c>
      <c r="K4" s="6" t="s">
        <v>20</v>
      </c>
    </row>
    <row r="5" spans="1:12" s="6" customFormat="1" ht="33" customHeight="1" x14ac:dyDescent="0.25">
      <c r="A5" s="6" t="s">
        <v>21</v>
      </c>
      <c r="B5" s="6" t="s">
        <v>14</v>
      </c>
      <c r="C5" s="6" t="s">
        <v>22</v>
      </c>
      <c r="D5" s="6" t="s">
        <v>23</v>
      </c>
      <c r="F5" s="6" t="s">
        <v>24</v>
      </c>
      <c r="G5" s="6" t="s">
        <v>18</v>
      </c>
      <c r="H5" s="10">
        <v>16405.75</v>
      </c>
      <c r="I5" s="6" t="s">
        <v>25</v>
      </c>
      <c r="K5" s="6" t="s">
        <v>26</v>
      </c>
    </row>
    <row r="6" spans="1:12" s="6" customFormat="1" ht="33" customHeight="1" x14ac:dyDescent="0.25">
      <c r="A6" s="6" t="s">
        <v>75</v>
      </c>
      <c r="B6" s="6" t="s">
        <v>27</v>
      </c>
      <c r="C6" s="6" t="s">
        <v>15</v>
      </c>
      <c r="D6" s="6" t="s">
        <v>28</v>
      </c>
      <c r="E6" s="6" t="s">
        <v>29</v>
      </c>
      <c r="F6" s="6" t="s">
        <v>30</v>
      </c>
      <c r="G6" s="6" t="s">
        <v>31</v>
      </c>
      <c r="H6" s="10">
        <v>46970</v>
      </c>
      <c r="J6" s="6" t="s">
        <v>32</v>
      </c>
      <c r="K6" s="6" t="s">
        <v>33</v>
      </c>
      <c r="L6" s="6" t="s">
        <v>34</v>
      </c>
    </row>
    <row r="7" spans="1:12" s="6" customFormat="1" ht="33" customHeight="1" x14ac:dyDescent="0.25">
      <c r="A7" s="6" t="s">
        <v>76</v>
      </c>
      <c r="B7" s="6" t="s">
        <v>27</v>
      </c>
      <c r="C7" s="6" t="s">
        <v>15</v>
      </c>
      <c r="D7" s="6" t="s">
        <v>35</v>
      </c>
      <c r="F7" s="6" t="s">
        <v>36</v>
      </c>
      <c r="G7" s="6" t="s">
        <v>18</v>
      </c>
      <c r="H7" s="10">
        <v>22039.439999999999</v>
      </c>
      <c r="I7" s="6" t="s">
        <v>37</v>
      </c>
      <c r="K7" s="6" t="s">
        <v>38</v>
      </c>
    </row>
    <row r="8" spans="1:12" s="6" customFormat="1" ht="33" customHeight="1" x14ac:dyDescent="0.25">
      <c r="A8" s="6" t="s">
        <v>39</v>
      </c>
      <c r="B8" s="6" t="s">
        <v>27</v>
      </c>
      <c r="C8" s="6" t="s">
        <v>22</v>
      </c>
      <c r="D8" s="6" t="s">
        <v>40</v>
      </c>
      <c r="F8" s="6" t="s">
        <v>41</v>
      </c>
      <c r="G8" s="6" t="s">
        <v>31</v>
      </c>
      <c r="H8" s="10">
        <v>24000</v>
      </c>
      <c r="I8" s="6" t="s">
        <v>42</v>
      </c>
      <c r="K8" s="6" t="s">
        <v>43</v>
      </c>
    </row>
    <row r="9" spans="1:12" s="6" customFormat="1" ht="33" customHeight="1" x14ac:dyDescent="0.25">
      <c r="A9" s="6" t="s">
        <v>77</v>
      </c>
      <c r="B9" s="6" t="s">
        <v>14</v>
      </c>
      <c r="C9" s="6" t="s">
        <v>15</v>
      </c>
      <c r="D9" s="6" t="s">
        <v>44</v>
      </c>
      <c r="F9" s="6" t="s">
        <v>45</v>
      </c>
      <c r="G9" s="6" t="s">
        <v>18</v>
      </c>
      <c r="H9" s="10">
        <v>10097.049999999999</v>
      </c>
      <c r="I9" s="6" t="s">
        <v>46</v>
      </c>
      <c r="K9" s="6" t="s">
        <v>47</v>
      </c>
    </row>
    <row r="10" spans="1:12" s="6" customFormat="1" ht="33" customHeight="1" x14ac:dyDescent="0.25">
      <c r="A10" s="6" t="s">
        <v>48</v>
      </c>
      <c r="B10" s="6" t="s">
        <v>14</v>
      </c>
      <c r="C10" s="6" t="s">
        <v>22</v>
      </c>
      <c r="D10" s="6" t="s">
        <v>49</v>
      </c>
      <c r="F10" s="6" t="s">
        <v>50</v>
      </c>
      <c r="G10" s="6" t="s">
        <v>18</v>
      </c>
      <c r="H10" s="10">
        <v>37206.44</v>
      </c>
      <c r="I10" s="6" t="s">
        <v>51</v>
      </c>
      <c r="K10" s="6" t="s">
        <v>52</v>
      </c>
    </row>
    <row r="11" spans="1:12" s="6" customFormat="1" ht="33" customHeight="1" x14ac:dyDescent="0.25">
      <c r="A11" s="6" t="s">
        <v>78</v>
      </c>
      <c r="B11" s="6" t="s">
        <v>27</v>
      </c>
      <c r="C11" s="6" t="s">
        <v>15</v>
      </c>
      <c r="D11" s="6" t="s">
        <v>53</v>
      </c>
      <c r="F11" s="6" t="s">
        <v>54</v>
      </c>
      <c r="G11" s="6" t="s">
        <v>18</v>
      </c>
      <c r="H11" s="10">
        <v>23847.88</v>
      </c>
      <c r="I11" s="6" t="s">
        <v>55</v>
      </c>
      <c r="K11" s="6" t="s">
        <v>56</v>
      </c>
    </row>
    <row r="12" spans="1:12" s="6" customFormat="1" x14ac:dyDescent="0.25">
      <c r="A12" s="11"/>
      <c r="B12" s="11"/>
      <c r="C12" s="11"/>
      <c r="D12" s="11" t="s">
        <v>57</v>
      </c>
      <c r="E12" s="11"/>
      <c r="F12" s="11"/>
      <c r="G12" s="11"/>
      <c r="H12" s="12">
        <f>SUM(H4:H11)</f>
        <v>200800.31</v>
      </c>
      <c r="I12" s="11"/>
      <c r="J12" s="11"/>
      <c r="K12" s="11"/>
      <c r="L12" s="11"/>
    </row>
  </sheetData>
  <mergeCells count="3">
    <mergeCell ref="A2:F2"/>
    <mergeCell ref="G2:L2"/>
    <mergeCell ref="K1:L1"/>
  </mergeCells>
  <pageMargins left="0.7" right="0.2" top="0.75" bottom="0.75" header="0.3" footer="0.3"/>
  <pageSetup paperSize="5" scale="74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8C90-3B67-4E90-A072-5D8E7F12127C}">
  <sheetPr>
    <pageSetUpPr fitToPage="1"/>
  </sheetPr>
  <dimension ref="A1:H20"/>
  <sheetViews>
    <sheetView workbookViewId="0">
      <selection activeCell="A26" sqref="A26"/>
    </sheetView>
  </sheetViews>
  <sheetFormatPr defaultRowHeight="18.75" x14ac:dyDescent="0.3"/>
  <cols>
    <col min="1" max="1" width="27.42578125" style="14" customWidth="1"/>
    <col min="2" max="2" width="12.85546875" style="14" customWidth="1"/>
    <col min="3" max="3" width="20.28515625" style="14" customWidth="1"/>
    <col min="4" max="4" width="23.140625" style="14" customWidth="1"/>
    <col min="5" max="5" width="20.85546875" style="14" customWidth="1"/>
    <col min="6" max="6" width="22.85546875" style="14" customWidth="1"/>
    <col min="7" max="7" width="14" style="14" customWidth="1"/>
    <col min="8" max="8" width="18" style="14" customWidth="1"/>
    <col min="9" max="16384" width="9.140625" style="14"/>
  </cols>
  <sheetData>
    <row r="1" spans="1:8" x14ac:dyDescent="0.3">
      <c r="E1" s="15"/>
      <c r="H1" s="16">
        <v>45862.999988425923</v>
      </c>
    </row>
    <row r="2" spans="1:8" x14ac:dyDescent="0.3">
      <c r="A2" s="17" t="s">
        <v>0</v>
      </c>
      <c r="B2" s="17"/>
      <c r="C2" s="18"/>
      <c r="D2" s="18"/>
      <c r="E2" s="19" t="s">
        <v>58</v>
      </c>
      <c r="F2" s="18"/>
      <c r="G2" s="18"/>
      <c r="H2" s="18"/>
    </row>
    <row r="3" spans="1:8" x14ac:dyDescent="0.3">
      <c r="A3" s="14" t="s">
        <v>7</v>
      </c>
      <c r="B3" s="14" t="s">
        <v>64</v>
      </c>
      <c r="C3" s="14" t="s">
        <v>8</v>
      </c>
      <c r="D3" s="14" t="s">
        <v>59</v>
      </c>
      <c r="E3" s="14" t="s">
        <v>60</v>
      </c>
      <c r="F3" s="14" t="s">
        <v>61</v>
      </c>
      <c r="G3" s="14" t="s">
        <v>63</v>
      </c>
      <c r="H3" s="14" t="s">
        <v>62</v>
      </c>
    </row>
    <row r="4" spans="1:8" ht="27" customHeight="1" x14ac:dyDescent="0.3">
      <c r="A4" s="14" t="s">
        <v>36</v>
      </c>
      <c r="C4" s="14" t="s">
        <v>18</v>
      </c>
      <c r="D4" s="20">
        <v>650</v>
      </c>
      <c r="E4" s="20">
        <v>0</v>
      </c>
      <c r="F4" s="21">
        <v>21964.44</v>
      </c>
      <c r="G4" s="20"/>
      <c r="H4" s="20">
        <v>22039.439999999999</v>
      </c>
    </row>
    <row r="5" spans="1:8" ht="27" customHeight="1" x14ac:dyDescent="0.3">
      <c r="D5" s="20"/>
      <c r="E5" s="20"/>
      <c r="F5" s="21"/>
      <c r="G5" s="20"/>
      <c r="H5" s="20"/>
    </row>
    <row r="6" spans="1:8" ht="27" customHeight="1" x14ac:dyDescent="0.3">
      <c r="A6" s="14" t="s">
        <v>65</v>
      </c>
      <c r="C6" s="14" t="s">
        <v>18</v>
      </c>
      <c r="D6" s="20">
        <v>650</v>
      </c>
      <c r="E6" s="20">
        <v>0</v>
      </c>
      <c r="F6" s="21">
        <v>23772.880000000001</v>
      </c>
      <c r="G6" s="20"/>
      <c r="H6" s="20">
        <v>23847.88</v>
      </c>
    </row>
    <row r="7" spans="1:8" ht="27" customHeight="1" x14ac:dyDescent="0.3">
      <c r="D7" s="20"/>
      <c r="E7" s="20"/>
      <c r="F7" s="21"/>
      <c r="G7" s="20"/>
      <c r="H7" s="20"/>
    </row>
    <row r="8" spans="1:8" ht="27" customHeight="1" x14ac:dyDescent="0.3">
      <c r="A8" s="14" t="s">
        <v>66</v>
      </c>
      <c r="C8" s="14" t="s">
        <v>18</v>
      </c>
      <c r="D8" s="20">
        <v>650</v>
      </c>
      <c r="E8" s="20">
        <v>0</v>
      </c>
      <c r="F8" s="21">
        <v>20158.75</v>
      </c>
      <c r="G8" s="20"/>
      <c r="H8" s="20">
        <v>20233.75</v>
      </c>
    </row>
    <row r="9" spans="1:8" ht="27" customHeight="1" x14ac:dyDescent="0.3">
      <c r="D9" s="20"/>
      <c r="E9" s="20"/>
      <c r="F9" s="21"/>
      <c r="G9" s="20"/>
      <c r="H9" s="20"/>
    </row>
    <row r="10" spans="1:8" ht="27" customHeight="1" x14ac:dyDescent="0.3">
      <c r="A10" s="14" t="s">
        <v>45</v>
      </c>
      <c r="B10" s="22" t="s">
        <v>67</v>
      </c>
      <c r="C10" s="14" t="s">
        <v>18</v>
      </c>
      <c r="D10" s="20">
        <v>300</v>
      </c>
      <c r="E10" s="20">
        <v>0</v>
      </c>
      <c r="F10" s="21">
        <v>10022.049999999999</v>
      </c>
      <c r="G10" s="20"/>
      <c r="H10" s="20">
        <v>10097.049999999999</v>
      </c>
    </row>
    <row r="11" spans="1:8" ht="27" customHeight="1" x14ac:dyDescent="0.3">
      <c r="D11" s="20"/>
      <c r="E11" s="20"/>
      <c r="F11" s="21"/>
      <c r="G11" s="20"/>
      <c r="H11" s="20"/>
    </row>
    <row r="12" spans="1:8" ht="27" customHeight="1" x14ac:dyDescent="0.3">
      <c r="A12" s="14" t="s">
        <v>41</v>
      </c>
      <c r="C12" s="14" t="s">
        <v>31</v>
      </c>
      <c r="D12" s="20">
        <v>650</v>
      </c>
      <c r="E12" s="20">
        <v>0</v>
      </c>
      <c r="F12" s="21">
        <v>23925</v>
      </c>
      <c r="G12" s="20"/>
      <c r="H12" s="20">
        <v>24000</v>
      </c>
    </row>
    <row r="13" spans="1:8" ht="27" customHeight="1" x14ac:dyDescent="0.3">
      <c r="D13" s="20"/>
      <c r="E13" s="20"/>
      <c r="F13" s="21"/>
      <c r="G13" s="20"/>
      <c r="H13" s="20"/>
    </row>
    <row r="14" spans="1:8" ht="27" customHeight="1" x14ac:dyDescent="0.3">
      <c r="A14" s="14" t="s">
        <v>50</v>
      </c>
      <c r="C14" s="14" t="s">
        <v>18</v>
      </c>
      <c r="D14" s="20">
        <v>950</v>
      </c>
      <c r="E14" s="20">
        <v>0</v>
      </c>
      <c r="F14" s="21">
        <v>37131.440000000002</v>
      </c>
      <c r="G14" s="20"/>
      <c r="H14" s="20">
        <v>37206.44</v>
      </c>
    </row>
    <row r="15" spans="1:8" ht="27" customHeight="1" x14ac:dyDescent="0.3">
      <c r="D15" s="20"/>
      <c r="E15" s="20"/>
      <c r="F15" s="21"/>
      <c r="G15" s="20"/>
      <c r="H15" s="20"/>
    </row>
    <row r="16" spans="1:8" ht="27" customHeight="1" x14ac:dyDescent="0.3">
      <c r="A16" s="14" t="s">
        <v>24</v>
      </c>
      <c r="C16" s="14" t="s">
        <v>18</v>
      </c>
      <c r="D16" s="20">
        <v>500</v>
      </c>
      <c r="E16" s="20">
        <v>0</v>
      </c>
      <c r="F16" s="21">
        <v>16330.75</v>
      </c>
      <c r="G16" s="20"/>
      <c r="H16" s="20">
        <v>16405.75</v>
      </c>
    </row>
    <row r="17" spans="1:8" ht="27" customHeight="1" x14ac:dyDescent="0.3">
      <c r="D17" s="20"/>
      <c r="E17" s="20"/>
      <c r="F17" s="21"/>
      <c r="G17" s="20"/>
      <c r="H17" s="20"/>
    </row>
    <row r="18" spans="1:8" ht="27" customHeight="1" x14ac:dyDescent="0.3">
      <c r="A18" s="14" t="s">
        <v>30</v>
      </c>
      <c r="C18" s="14" t="s">
        <v>31</v>
      </c>
      <c r="D18" s="20">
        <v>1150</v>
      </c>
      <c r="E18" s="20">
        <v>0</v>
      </c>
      <c r="F18" s="21">
        <v>46895</v>
      </c>
      <c r="G18" s="20"/>
      <c r="H18" s="20">
        <v>46970</v>
      </c>
    </row>
    <row r="19" spans="1:8" ht="15.75" customHeight="1" x14ac:dyDescent="0.3">
      <c r="D19" s="20"/>
      <c r="E19" s="20"/>
      <c r="F19" s="20"/>
      <c r="G19" s="20"/>
      <c r="H19" s="20"/>
    </row>
    <row r="20" spans="1:8" x14ac:dyDescent="0.3">
      <c r="A20" s="23"/>
      <c r="B20" s="23"/>
      <c r="C20" s="23"/>
      <c r="D20" s="24">
        <f>SUM(D4:D18)</f>
        <v>5500</v>
      </c>
      <c r="E20" s="24">
        <f>SUM(E4:E18)</f>
        <v>0</v>
      </c>
      <c r="F20" s="24">
        <f>SUM(F4:F18)</f>
        <v>200200.31</v>
      </c>
      <c r="G20" s="24"/>
      <c r="H20" s="24">
        <f>SUM(H4:H18)</f>
        <v>200800.31</v>
      </c>
    </row>
  </sheetData>
  <mergeCells count="2">
    <mergeCell ref="A2:D2"/>
    <mergeCell ref="E2:H2"/>
  </mergeCells>
  <pageMargins left="0.7" right="0.2" top="0.75" bottom="0.75" header="0.3" footer="0.3"/>
  <pageSetup scale="72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BA6F0-D8BB-412C-813D-33A19059E62B}">
  <dimension ref="A1:E21"/>
  <sheetViews>
    <sheetView zoomScaleNormal="100" workbookViewId="0">
      <selection activeCell="G6" sqref="G6"/>
    </sheetView>
  </sheetViews>
  <sheetFormatPr defaultRowHeight="15" x14ac:dyDescent="0.25"/>
  <cols>
    <col min="1" max="1" width="11.85546875" customWidth="1"/>
    <col min="2" max="2" width="16.28515625" customWidth="1"/>
    <col min="3" max="3" width="17.140625" customWidth="1"/>
    <col min="4" max="4" width="10.28515625" customWidth="1"/>
    <col min="5" max="5" width="35.7109375" customWidth="1"/>
  </cols>
  <sheetData>
    <row r="1" spans="1:5" ht="20.100000000000001" customHeight="1" x14ac:dyDescent="0.25">
      <c r="A1" t="s">
        <v>70</v>
      </c>
      <c r="D1" s="2"/>
      <c r="E1" s="2">
        <v>45862.999988425923</v>
      </c>
    </row>
    <row r="2" spans="1:5" ht="20.100000000000001" customHeight="1" x14ac:dyDescent="0.25">
      <c r="A2" s="3" t="s">
        <v>0</v>
      </c>
      <c r="B2" s="4"/>
      <c r="C2" s="4"/>
      <c r="D2" s="5" t="s">
        <v>68</v>
      </c>
      <c r="E2" s="4"/>
    </row>
    <row r="3" spans="1:5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</row>
    <row r="4" spans="1:5" ht="27" customHeight="1" x14ac:dyDescent="0.25">
      <c r="A4" t="s">
        <v>21</v>
      </c>
      <c r="B4" t="s">
        <v>22</v>
      </c>
      <c r="C4" t="s">
        <v>23</v>
      </c>
      <c r="E4" t="s">
        <v>24</v>
      </c>
    </row>
    <row r="5" spans="1:5" ht="27" customHeight="1" x14ac:dyDescent="0.25">
      <c r="A5" t="s">
        <v>39</v>
      </c>
      <c r="B5" t="s">
        <v>22</v>
      </c>
      <c r="C5" t="s">
        <v>40</v>
      </c>
      <c r="E5" t="s">
        <v>41</v>
      </c>
    </row>
    <row r="6" spans="1:5" ht="27" customHeight="1" x14ac:dyDescent="0.25">
      <c r="A6" t="s">
        <v>48</v>
      </c>
      <c r="B6" t="s">
        <v>22</v>
      </c>
      <c r="C6" t="s">
        <v>49</v>
      </c>
      <c r="E6" t="s">
        <v>50</v>
      </c>
    </row>
    <row r="7" spans="1:5" ht="18.75" customHeight="1" x14ac:dyDescent="0.25"/>
    <row r="8" spans="1:5" x14ac:dyDescent="0.25">
      <c r="A8" s="1"/>
      <c r="B8" s="1"/>
      <c r="C8" s="1" t="s">
        <v>69</v>
      </c>
      <c r="D8" s="1"/>
      <c r="E8" s="1"/>
    </row>
    <row r="13" spans="1:5" x14ac:dyDescent="0.25">
      <c r="A13" t="s">
        <v>71</v>
      </c>
      <c r="B13" s="13"/>
      <c r="C13" s="13"/>
      <c r="D13" s="13"/>
    </row>
    <row r="17" spans="1:4" x14ac:dyDescent="0.25">
      <c r="A17" t="s">
        <v>72</v>
      </c>
      <c r="B17" s="13"/>
      <c r="C17" s="13"/>
      <c r="D17" s="13"/>
    </row>
    <row r="21" spans="1:4" x14ac:dyDescent="0.25">
      <c r="A21" t="s">
        <v>73</v>
      </c>
      <c r="B21" s="13"/>
      <c r="C21" s="13"/>
    </row>
  </sheetData>
  <mergeCells count="2">
    <mergeCell ref="A2:C2"/>
    <mergeCell ref="D2:E2"/>
  </mergeCells>
  <pageMargins left="0.7" right="0.7" top="0.75" bottom="0.75" header="0.3" footer="0.3"/>
  <pageSetup scale="97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Funding Worksheet - Folder Vers</vt:lpstr>
      <vt:lpstr>Funding Worksheet - ACH</vt:lpstr>
      <vt:lpstr>Original Note log</vt:lpstr>
      <vt:lpstr>'Original Note log'!Print_Area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2025-07-24T18:28:07Z</cp:lastPrinted>
  <dcterms:created xsi:type="dcterms:W3CDTF">2025-07-24T18:08:57Z</dcterms:created>
  <dcterms:modified xsi:type="dcterms:W3CDTF">2025-07-24T18:47:08Z</dcterms:modified>
</cp:coreProperties>
</file>