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C018C3FD-D1B3-483C-9B69-C1E53E4E827F}" xr6:coauthVersionLast="47" xr6:coauthVersionMax="47" xr10:uidLastSave="{00000000-0000-0000-0000-000000000000}"/>
  <bookViews>
    <workbookView xWindow="32160" yWindow="75" windowWidth="20295" windowHeight="1414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F16" i="2"/>
  <c r="E16" i="2"/>
  <c r="D16" i="2"/>
  <c r="H10" i="1" l="1"/>
</calcChain>
</file>

<file path=xl/sharedStrings.xml><?xml version="1.0" encoding="utf-8"?>
<sst xmlns="http://schemas.openxmlformats.org/spreadsheetml/2006/main" count="111" uniqueCount="67">
  <si>
    <t>Bristol County Savings Bank</t>
  </si>
  <si>
    <t>Funding Worksheet - Folder Version</t>
  </si>
  <si>
    <t>To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</si>
  <si>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</si>
  <si>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</si>
  <si>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</si>
  <si>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</si>
  <si>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</si>
  <si>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</si>
  <si>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</si>
  <si>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</si>
  <si>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</si>
  <si>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</si>
  <si>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</si>
  <si>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</si>
  <si>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</si>
  <si>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151129444</t>
  </si>
  <si>
    <t>DealerTrack</t>
  </si>
  <si>
    <t>Paper</t>
  </si>
  <si>
    <t>LAWLOR, SEAN</t>
  </si>
  <si>
    <t>NARSA AMC LLC d/b/a</t>
  </si>
  <si>
    <t>Rachel Gorham</t>
  </si>
  <si>
    <t>SEAN.LAWLOR.06043@GMAIL.COM</t>
  </si>
  <si>
    <t>FLAVELL</t>
  </si>
  <si>
    <t>151129642</t>
  </si>
  <si>
    <t>KRUA, MERCY</t>
  </si>
  <si>
    <t>Viti Mercedes</t>
  </si>
  <si>
    <t>Neli Oliveira</t>
  </si>
  <si>
    <t>MERCYKRUA@GMAIL.COM</t>
  </si>
  <si>
    <t>MAWIAH</t>
  </si>
  <si>
    <t>Route One</t>
  </si>
  <si>
    <t>E Contract</t>
  </si>
  <si>
    <t>Dexter, Lee</t>
  </si>
  <si>
    <t>Mathieu Ford Sales, Inc</t>
  </si>
  <si>
    <t>leenkate@msn.com</t>
  </si>
  <si>
    <t>HURBIS</t>
  </si>
  <si>
    <t>151129840</t>
  </si>
  <si>
    <t>ROOS, RICHARD</t>
  </si>
  <si>
    <t>McGee Chevrolet Inc</t>
  </si>
  <si>
    <t>R.ROOS@LIVE.COM</t>
  </si>
  <si>
    <t>BERTOLO</t>
  </si>
  <si>
    <t>JIMENEZ, SAMANTHA</t>
  </si>
  <si>
    <t>Planet Subaru</t>
  </si>
  <si>
    <t>SAMIJIMI@LIVE.COM</t>
  </si>
  <si>
    <t>LOCKE</t>
  </si>
  <si>
    <t>OTTEN, COURTNEY</t>
  </si>
  <si>
    <t>RAH FALL RIVER VW, LLC</t>
  </si>
  <si>
    <t>COURTNEYEOTTEN@GMAIL.COM</t>
  </si>
  <si>
    <t>POLLOCK</t>
  </si>
  <si>
    <t># 6</t>
  </si>
  <si>
    <t>Funding Worksheet - ACH Version</t>
  </si>
  <si>
    <t>Dealer Flat</t>
  </si>
  <si>
    <t>Dealer Split</t>
  </si>
  <si>
    <t>Net to Dealer</t>
  </si>
  <si>
    <t>Contracted Amount Financed</t>
  </si>
  <si>
    <t>Funding Worksheet - Signoff Version</t>
  </si>
  <si>
    <t># 3</t>
  </si>
  <si>
    <t>Original Notes Delivered</t>
  </si>
  <si>
    <t>Delivered by:</t>
  </si>
  <si>
    <t>Received by:</t>
  </si>
  <si>
    <t>Date Signed:</t>
  </si>
  <si>
    <t>Auto Mall-NARSA AMC LLC d/b/a</t>
  </si>
  <si>
    <t>Column1</t>
  </si>
  <si>
    <t>Column2</t>
  </si>
  <si>
    <t>151129650 E</t>
  </si>
  <si>
    <t>151129858 E</t>
  </si>
  <si>
    <t>151129866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</si>
</sst>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</cellStyleXfs>
  <cellXfs count="20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0" fontId="0" fillId="0" borderId="1" xfId="0" applyBorder="1"/>
    <xf numFmtId="7" fontId="3" fillId="0" borderId="0" xfId="0" applyNumberFormat="1" applyFont="1"/>
    <xf numFmtId="0" fontId="4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7" fontId="4" fillId="0" borderId="0" xfId="0" applyNumberFormat="1" applyFont="1"/>
    <xf numFmtId="0" fontId="5" fillId="0" borderId="0" xfId="0" applyFont="1"/>
    <xf numFmtId="7" fontId="5" fillId="0" borderId="0" xfId="0" applyNumberFormat="1" applyFont="1"/>
  </cellXfs>
  <cellStyles count="6">
    <cellStyle name="Normal" xfId="0" builtinId="0"/>
    <cellStyle name="Normal 2" xfId="1" xr:uid="{A3F6E3E3-B6A1-49B3-B02A-738A1A47331E}"/>
    <cellStyle name="Normal 3" xfId="2" xr:uid="{A428BC95-4D3E-4F11-A452-CBB5FCE726BA}"/>
    <cellStyle name="Normal 4" xfId="3" xr:uid="{81FDFBD4-55B6-42B4-A69A-946AFC752613}"/>
    <cellStyle name="Normal 5" xfId="4" xr:uid="{F90E18AA-27D0-4F45-85CF-D376373434F2}"/>
    <cellStyle name="Normal 6" xfId="5" xr:uid="{219DB160-666D-475D-A16E-366FE5C26675}"/>
  </cellStyles>
  <dxfs count="1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0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8E25B2-58B7-4EEB-96C1-89208BD4300C}" name="Table_14" displayName="Table_14" ref="A3:H16">
  <sortState xmlns:xlrd2="http://schemas.microsoft.com/office/spreadsheetml/2017/richdata2" ref="A4:H16">
    <sortCondition ref="A4:A16"/>
  </sortState>
  <tableColumns count="8">
    <tableColumn id="1" xr3:uid="{517AA989-A910-4B56-B5CE-C7132EB3B400}" name="Dealer Name"/>
    <tableColumn id="7" xr3:uid="{56325870-1C90-40F0-B9DD-7A51215EBA21}" name="Column1"/>
    <tableColumn id="2" xr3:uid="{D93C2612-0F43-41DB-A9FB-4CA3FEB2BBE3}" name="Funded by"/>
    <tableColumn id="3" xr3:uid="{E302F171-49C4-4D3E-A82F-FADC68DA5297}" name="Dealer Flat"/>
    <tableColumn id="4" xr3:uid="{72288C90-D102-4D51-99A1-94B2178B31A0}" name="Dealer Split"/>
    <tableColumn id="5" xr3:uid="{9E9B9BCA-3F74-4FC6-BF8E-D1317A4EEE64}" name="Net to Dealer"/>
    <tableColumn id="8" xr3:uid="{E370FD60-1351-4A75-9B02-17BF6FA96868}" name="Column2" dataDxfId="16"/>
    <tableColumn id="6" xr3:uid="{4A4DA0B1-4726-47C3-8F41-0D2E4AC10BCD}" name="Contracted Amount Finance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571B4C-B8B7-4092-97D9-B33F285336DA}" name="Table_15" displayName="Table_15" ref="A3:E7">
  <tableColumns count="5">
    <tableColumn id="1" xr3:uid="{55D18333-C549-439A-ABFE-ECC7BE578317}" name="Account Number"/>
    <tableColumn id="2" xr3:uid="{570958AC-1494-41B7-9388-9E483AFE5853}" name="Contract Type"/>
    <tableColumn id="3" xr3:uid="{D0D8FFAB-423E-4626-BBDD-F7B0B0AD7287}" name="Applicant Name"/>
    <tableColumn id="4" xr3:uid="{213C9B56-D25D-4E54-916A-82BA986368BC}" name="Co-Applicant Name"/>
    <tableColumn id="5" xr3:uid="{177A2A3B-D10D-46E5-B8AA-620C485E8009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5.75" x14ac:dyDescent="0.25"/>
  <cols>
    <col min="1" max="1" width="14.42578125" style="12" customWidth="1"/>
    <col min="2" max="2" width="12.140625" style="12" bestFit="1" customWidth="1"/>
    <col min="3" max="3" width="14" style="12" bestFit="1" customWidth="1"/>
    <col min="4" max="4" width="20.140625" style="12" bestFit="1" customWidth="1"/>
    <col min="5" max="5" width="18.7109375" style="12" hidden="1" customWidth="1"/>
    <col min="6" max="6" width="24.140625" style="12" bestFit="1" customWidth="1"/>
    <col min="7" max="7" width="15.140625" style="12" bestFit="1" customWidth="1"/>
    <col min="8" max="8" width="17.140625" style="12" bestFit="1" customWidth="1"/>
    <col min="9" max="9" width="33.28515625" style="12" bestFit="1" customWidth="1"/>
    <col min="10" max="10" width="18.42578125" style="12" hidden="1" customWidth="1"/>
    <col min="11" max="11" width="19.28515625" style="12" bestFit="1" customWidth="1"/>
    <col min="12" max="12" width="12.85546875" style="12" hidden="1" customWidth="1"/>
    <col min="13" max="13" width="19.28515625" style="12" hidden="1" customWidth="1"/>
    <col min="14" max="16384" width="9.140625" style="12"/>
  </cols>
  <sheetData>
    <row r="1" spans="1:13" ht="24" customHeight="1" x14ac:dyDescent="0.25">
      <c r="K1" s="13">
        <v>45645</v>
      </c>
      <c r="L1" s="12" t="s">
        <v>2</v>
      </c>
      <c r="M1" s="13">
        <v>45645.999988425923</v>
      </c>
    </row>
    <row r="2" spans="1:13" ht="30" customHeight="1" x14ac:dyDescent="0.25">
      <c r="A2" s="14" t="s">
        <v>0</v>
      </c>
      <c r="B2" s="15"/>
      <c r="C2" s="15"/>
      <c r="D2" s="15"/>
      <c r="E2" s="15"/>
      <c r="F2" s="15"/>
      <c r="G2" s="16" t="s">
        <v>1</v>
      </c>
      <c r="H2" s="15"/>
      <c r="I2" s="15"/>
      <c r="J2" s="15"/>
      <c r="K2" s="15"/>
      <c r="L2" s="15"/>
      <c r="M2" s="15"/>
    </row>
    <row r="3" spans="1:13" ht="30" customHeight="1" x14ac:dyDescent="0.25">
      <c r="A3" s="12" t="s">
        <v>3</v>
      </c>
      <c r="B3" s="12" t="s">
        <v>4</v>
      </c>
      <c r="C3" s="12" t="s">
        <v>5</v>
      </c>
      <c r="D3" s="12" t="s">
        <v>6</v>
      </c>
      <c r="E3" s="12" t="s">
        <v>7</v>
      </c>
      <c r="F3" s="12" t="s">
        <v>8</v>
      </c>
      <c r="G3" s="12" t="s">
        <v>9</v>
      </c>
      <c r="H3" s="12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</row>
    <row r="4" spans="1:13" ht="30" customHeight="1" x14ac:dyDescent="0.25">
      <c r="A4" s="12" t="s">
        <v>16</v>
      </c>
      <c r="B4" s="12" t="s">
        <v>17</v>
      </c>
      <c r="C4" s="12" t="s">
        <v>18</v>
      </c>
      <c r="D4" s="12" t="s">
        <v>19</v>
      </c>
      <c r="F4" s="12" t="s">
        <v>20</v>
      </c>
      <c r="G4" s="12" t="s">
        <v>21</v>
      </c>
      <c r="H4" s="17">
        <v>10138.44</v>
      </c>
      <c r="I4" s="12" t="s">
        <v>22</v>
      </c>
      <c r="K4" s="12" t="s">
        <v>23</v>
      </c>
    </row>
    <row r="5" spans="1:13" ht="30" customHeight="1" x14ac:dyDescent="0.25">
      <c r="A5" s="12" t="s">
        <v>24</v>
      </c>
      <c r="B5" s="12" t="s">
        <v>17</v>
      </c>
      <c r="C5" s="12" t="s">
        <v>18</v>
      </c>
      <c r="D5" s="12" t="s">
        <v>25</v>
      </c>
      <c r="F5" s="12" t="s">
        <v>26</v>
      </c>
      <c r="G5" s="12" t="s">
        <v>27</v>
      </c>
      <c r="H5" s="17">
        <v>25277.25</v>
      </c>
      <c r="I5" s="12" t="s">
        <v>28</v>
      </c>
      <c r="K5" s="12" t="s">
        <v>29</v>
      </c>
    </row>
    <row r="6" spans="1:13" ht="30" customHeight="1" x14ac:dyDescent="0.25">
      <c r="A6" s="12" t="s">
        <v>64</v>
      </c>
      <c r="B6" s="12" t="s">
        <v>30</v>
      </c>
      <c r="C6" s="12" t="s">
        <v>31</v>
      </c>
      <c r="D6" s="12" t="s">
        <v>32</v>
      </c>
      <c r="F6" s="12" t="s">
        <v>33</v>
      </c>
      <c r="G6" s="12" t="s">
        <v>27</v>
      </c>
      <c r="H6" s="17">
        <v>39411</v>
      </c>
      <c r="I6" s="12" t="s">
        <v>34</v>
      </c>
      <c r="K6" s="12" t="s">
        <v>35</v>
      </c>
    </row>
    <row r="7" spans="1:13" ht="30" customHeight="1" x14ac:dyDescent="0.25">
      <c r="A7" s="12" t="s">
        <v>36</v>
      </c>
      <c r="B7" s="12" t="s">
        <v>30</v>
      </c>
      <c r="C7" s="12" t="s">
        <v>18</v>
      </c>
      <c r="D7" s="12" t="s">
        <v>37</v>
      </c>
      <c r="F7" s="12" t="s">
        <v>38</v>
      </c>
      <c r="G7" s="12" t="s">
        <v>21</v>
      </c>
      <c r="H7" s="17">
        <v>47295</v>
      </c>
      <c r="I7" s="12" t="s">
        <v>39</v>
      </c>
      <c r="K7" s="12" t="s">
        <v>40</v>
      </c>
    </row>
    <row r="8" spans="1:13" ht="30" customHeight="1" x14ac:dyDescent="0.25">
      <c r="A8" s="12" t="s">
        <v>65</v>
      </c>
      <c r="B8" s="12" t="s">
        <v>17</v>
      </c>
      <c r="C8" s="12" t="s">
        <v>31</v>
      </c>
      <c r="D8" s="12" t="s">
        <v>41</v>
      </c>
      <c r="F8" s="12" t="s">
        <v>42</v>
      </c>
      <c r="G8" s="12" t="s">
        <v>21</v>
      </c>
      <c r="H8" s="17">
        <v>17891.25</v>
      </c>
      <c r="I8" s="12" t="s">
        <v>43</v>
      </c>
      <c r="K8" s="12" t="s">
        <v>44</v>
      </c>
    </row>
    <row r="9" spans="1:13" ht="30" customHeight="1" x14ac:dyDescent="0.25">
      <c r="A9" s="12" t="s">
        <v>66</v>
      </c>
      <c r="B9" s="12" t="s">
        <v>17</v>
      </c>
      <c r="C9" s="12" t="s">
        <v>31</v>
      </c>
      <c r="D9" s="12" t="s">
        <v>45</v>
      </c>
      <c r="F9" s="12" t="s">
        <v>46</v>
      </c>
      <c r="G9" s="12" t="s">
        <v>27</v>
      </c>
      <c r="H9" s="17">
        <v>28198.23</v>
      </c>
      <c r="I9" s="12" t="s">
        <v>47</v>
      </c>
      <c r="K9" s="12" t="s">
        <v>48</v>
      </c>
    </row>
    <row r="10" spans="1:13" ht="30" customHeight="1" x14ac:dyDescent="0.25">
      <c r="A10" s="18"/>
      <c r="B10" s="18"/>
      <c r="C10" s="18"/>
      <c r="D10" s="18" t="s">
        <v>49</v>
      </c>
      <c r="E10" s="18"/>
      <c r="F10" s="18"/>
      <c r="G10" s="18"/>
      <c r="H10" s="19">
        <f>SUM(H4:H9)</f>
        <v>168211.17</v>
      </c>
      <c r="I10" s="18"/>
      <c r="J10" s="18"/>
      <c r="K10" s="18"/>
      <c r="L10" s="18"/>
      <c r="M10" s="18"/>
    </row>
  </sheetData>
  <mergeCells count="2">
    <mergeCell ref="A2:F2"/>
    <mergeCell ref="G2:M2"/>
  </mergeCells>
  <pageMargins left="0.7" right="0.2" top="0.75" bottom="0.75" header="0.3" footer="0.3"/>
  <pageSetup paperSize="5" scale="9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688D-0D20-41A7-A03F-59DD93C0B808}">
  <sheetPr>
    <pageSetUpPr fitToPage="1"/>
  </sheetPr>
  <dimension ref="A1:H16"/>
  <sheetViews>
    <sheetView workbookViewId="0">
      <selection activeCell="K5" sqref="K5"/>
    </sheetView>
  </sheetViews>
  <sheetFormatPr defaultRowHeight="15" x14ac:dyDescent="0.25"/>
  <cols>
    <col min="1" max="1" width="20" customWidth="1"/>
    <col min="2" max="2" width="10" customWidth="1"/>
    <col min="3" max="3" width="14.7109375" customWidth="1"/>
    <col min="4" max="4" width="13" customWidth="1"/>
    <col min="5" max="5" width="14.7109375" customWidth="1"/>
    <col min="6" max="6" width="17.5703125" customWidth="1"/>
    <col min="7" max="7" width="10.85546875" customWidth="1"/>
    <col min="8" max="8" width="18.85546875" customWidth="1"/>
  </cols>
  <sheetData>
    <row r="1" spans="1:8" x14ac:dyDescent="0.25">
      <c r="E1" s="4"/>
      <c r="H1" s="4">
        <v>45645.999988425923</v>
      </c>
    </row>
    <row r="2" spans="1:8" x14ac:dyDescent="0.25">
      <c r="A2" s="5" t="s">
        <v>0</v>
      </c>
      <c r="B2" s="5"/>
      <c r="C2" s="6"/>
      <c r="D2" s="6"/>
      <c r="E2" s="7" t="s">
        <v>50</v>
      </c>
      <c r="F2" s="6"/>
      <c r="G2" s="6"/>
      <c r="H2" s="6"/>
    </row>
    <row r="3" spans="1:8" ht="24.95" customHeight="1" x14ac:dyDescent="0.25">
      <c r="A3" t="s">
        <v>8</v>
      </c>
      <c r="B3" t="s">
        <v>62</v>
      </c>
      <c r="C3" t="s">
        <v>9</v>
      </c>
      <c r="D3" t="s">
        <v>51</v>
      </c>
      <c r="E3" t="s">
        <v>52</v>
      </c>
      <c r="F3" t="s">
        <v>53</v>
      </c>
      <c r="G3" t="s">
        <v>63</v>
      </c>
      <c r="H3" t="s">
        <v>54</v>
      </c>
    </row>
    <row r="4" spans="1:8" ht="24.95" customHeight="1" x14ac:dyDescent="0.25">
      <c r="A4" t="s">
        <v>61</v>
      </c>
      <c r="C4" t="s">
        <v>21</v>
      </c>
      <c r="D4" s="2">
        <v>200</v>
      </c>
      <c r="E4" s="2">
        <v>0</v>
      </c>
      <c r="F4" s="11">
        <v>10063.44</v>
      </c>
      <c r="G4" s="2"/>
      <c r="H4" s="2">
        <v>10138.44</v>
      </c>
    </row>
    <row r="5" spans="1:8" ht="24.95" customHeight="1" x14ac:dyDescent="0.25">
      <c r="D5" s="2"/>
      <c r="E5" s="2"/>
      <c r="F5" s="11"/>
      <c r="G5" s="2"/>
      <c r="H5" s="2"/>
    </row>
    <row r="6" spans="1:8" ht="24.95" customHeight="1" x14ac:dyDescent="0.25">
      <c r="A6" t="s">
        <v>33</v>
      </c>
      <c r="C6" t="s">
        <v>27</v>
      </c>
      <c r="D6" s="2">
        <v>650</v>
      </c>
      <c r="E6" s="2">
        <v>0</v>
      </c>
      <c r="F6" s="11">
        <v>39336</v>
      </c>
      <c r="G6" s="2"/>
      <c r="H6" s="2">
        <v>39411</v>
      </c>
    </row>
    <row r="7" spans="1:8" ht="24.95" customHeight="1" x14ac:dyDescent="0.25">
      <c r="D7" s="2"/>
      <c r="E7" s="2"/>
      <c r="F7" s="11"/>
      <c r="G7" s="2"/>
      <c r="H7" s="2"/>
    </row>
    <row r="8" spans="1:8" ht="24.95" customHeight="1" x14ac:dyDescent="0.25">
      <c r="A8" t="s">
        <v>38</v>
      </c>
      <c r="C8" t="s">
        <v>21</v>
      </c>
      <c r="D8" s="2">
        <v>800</v>
      </c>
      <c r="E8" s="2">
        <v>0</v>
      </c>
      <c r="F8" s="11">
        <v>47220</v>
      </c>
      <c r="G8" s="2"/>
      <c r="H8" s="2">
        <v>47295</v>
      </c>
    </row>
    <row r="9" spans="1:8" ht="24.95" customHeight="1" x14ac:dyDescent="0.25">
      <c r="D9" s="2"/>
      <c r="E9" s="2"/>
      <c r="F9" s="11"/>
      <c r="G9" s="2"/>
      <c r="H9" s="2"/>
    </row>
    <row r="10" spans="1:8" ht="24.95" customHeight="1" x14ac:dyDescent="0.25">
      <c r="A10" t="s">
        <v>42</v>
      </c>
      <c r="C10" t="s">
        <v>21</v>
      </c>
      <c r="D10" s="2">
        <v>350</v>
      </c>
      <c r="E10" s="2">
        <v>0</v>
      </c>
      <c r="F10" s="11">
        <v>17816.25</v>
      </c>
      <c r="G10" s="2"/>
      <c r="H10" s="2">
        <v>17891.25</v>
      </c>
    </row>
    <row r="11" spans="1:8" ht="24.95" customHeight="1" x14ac:dyDescent="0.25">
      <c r="D11" s="2"/>
      <c r="E11" s="2"/>
      <c r="F11" s="11"/>
      <c r="G11" s="2"/>
      <c r="H11" s="2"/>
    </row>
    <row r="12" spans="1:8" ht="24.95" customHeight="1" x14ac:dyDescent="0.25">
      <c r="A12" t="s">
        <v>46</v>
      </c>
      <c r="C12" t="s">
        <v>27</v>
      </c>
      <c r="D12" s="2">
        <v>500</v>
      </c>
      <c r="E12" s="2">
        <v>0</v>
      </c>
      <c r="F12" s="11">
        <v>28123.23</v>
      </c>
      <c r="G12" s="2"/>
      <c r="H12" s="2">
        <v>28198.23</v>
      </c>
    </row>
    <row r="13" spans="1:8" ht="24.95" customHeight="1" x14ac:dyDescent="0.25">
      <c r="D13" s="2"/>
      <c r="E13" s="2"/>
      <c r="F13" s="11"/>
      <c r="G13" s="2"/>
      <c r="H13" s="2"/>
    </row>
    <row r="14" spans="1:8" ht="24.95" customHeight="1" x14ac:dyDescent="0.25">
      <c r="A14" t="s">
        <v>26</v>
      </c>
      <c r="C14" t="s">
        <v>27</v>
      </c>
      <c r="D14" s="2">
        <v>500</v>
      </c>
      <c r="E14" s="2">
        <v>0</v>
      </c>
      <c r="F14" s="11">
        <v>25202.25</v>
      </c>
      <c r="G14" s="2"/>
      <c r="H14" s="2">
        <v>25277.25</v>
      </c>
    </row>
    <row r="15" spans="1:8" ht="16.5" customHeight="1" x14ac:dyDescent="0.25">
      <c r="D15" s="2"/>
      <c r="E15" s="2"/>
      <c r="F15" s="2"/>
      <c r="G15" s="2"/>
      <c r="H15" s="2"/>
    </row>
    <row r="16" spans="1:8" ht="24.95" customHeight="1" x14ac:dyDescent="0.25">
      <c r="A16" s="1"/>
      <c r="B16" s="1"/>
      <c r="C16" s="1"/>
      <c r="D16" s="3">
        <f>SUM(D4:D14)</f>
        <v>3000</v>
      </c>
      <c r="E16" s="3">
        <f>SUM(E4:E14)</f>
        <v>0</v>
      </c>
      <c r="F16" s="3">
        <f>SUM(F4:F14)</f>
        <v>167761.17000000001</v>
      </c>
      <c r="G16" s="3"/>
      <c r="H16" s="3">
        <f>SUM(H4:H14)</f>
        <v>168211.17</v>
      </c>
    </row>
  </sheetData>
  <mergeCells count="2">
    <mergeCell ref="A2:D2"/>
    <mergeCell ref="E2:H2"/>
  </mergeCells>
  <pageMargins left="0.7" right="0.2" top="0.75" bottom="0.75" header="0.3" footer="0.3"/>
  <pageSetup scale="9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921D-CB39-43F9-8C6B-6B9346149F3A}">
  <dimension ref="A1:E23"/>
  <sheetViews>
    <sheetView workbookViewId="0">
      <selection activeCell="K17" sqref="K17"/>
    </sheetView>
  </sheetViews>
  <sheetFormatPr defaultRowHeight="15" x14ac:dyDescent="0.25"/>
  <cols>
    <col min="1" max="1" width="12.5703125" customWidth="1"/>
    <col min="3" max="3" width="14.5703125" customWidth="1"/>
    <col min="5" max="5" width="28.28515625" customWidth="1"/>
  </cols>
  <sheetData>
    <row r="1" spans="1:5" ht="24.95" customHeight="1" x14ac:dyDescent="0.25">
      <c r="A1" s="9" t="s">
        <v>57</v>
      </c>
      <c r="D1" s="4"/>
      <c r="E1" s="8">
        <v>45645</v>
      </c>
    </row>
    <row r="2" spans="1:5" ht="24.95" customHeight="1" x14ac:dyDescent="0.25">
      <c r="A2" s="5" t="s">
        <v>0</v>
      </c>
      <c r="B2" s="6"/>
      <c r="C2" s="6"/>
      <c r="D2" s="7" t="s">
        <v>55</v>
      </c>
      <c r="E2" s="6"/>
    </row>
    <row r="3" spans="1:5" ht="24.95" customHeight="1" x14ac:dyDescent="0.25">
      <c r="A3" t="s">
        <v>3</v>
      </c>
      <c r="B3" t="s">
        <v>5</v>
      </c>
      <c r="C3" t="s">
        <v>6</v>
      </c>
      <c r="D3" t="s">
        <v>7</v>
      </c>
      <c r="E3" t="s">
        <v>8</v>
      </c>
    </row>
    <row r="4" spans="1:5" ht="24.95" customHeight="1" x14ac:dyDescent="0.25">
      <c r="A4" t="s">
        <v>16</v>
      </c>
      <c r="B4" t="s">
        <v>18</v>
      </c>
      <c r="C4" t="s">
        <v>19</v>
      </c>
      <c r="E4" t="s">
        <v>20</v>
      </c>
    </row>
    <row r="5" spans="1:5" ht="24.95" customHeight="1" x14ac:dyDescent="0.25">
      <c r="A5" t="s">
        <v>24</v>
      </c>
      <c r="B5" t="s">
        <v>18</v>
      </c>
      <c r="C5" t="s">
        <v>25</v>
      </c>
      <c r="E5" t="s">
        <v>26</v>
      </c>
    </row>
    <row r="6" spans="1:5" ht="24.95" customHeight="1" x14ac:dyDescent="0.25">
      <c r="A6" t="s">
        <v>36</v>
      </c>
      <c r="B6" t="s">
        <v>18</v>
      </c>
      <c r="C6" t="s">
        <v>37</v>
      </c>
      <c r="E6" t="s">
        <v>38</v>
      </c>
    </row>
    <row r="7" spans="1:5" ht="24.95" customHeight="1" x14ac:dyDescent="0.25">
      <c r="A7" s="1"/>
      <c r="B7" s="1"/>
      <c r="C7" s="1" t="s">
        <v>56</v>
      </c>
      <c r="D7" s="1"/>
      <c r="E7" s="1"/>
    </row>
    <row r="13" spans="1:5" x14ac:dyDescent="0.25">
      <c r="A13" t="s">
        <v>58</v>
      </c>
      <c r="B13" s="10"/>
      <c r="C13" s="10"/>
      <c r="D13" s="10"/>
      <c r="E13" s="10"/>
    </row>
    <row r="18" spans="1:5" x14ac:dyDescent="0.25">
      <c r="A18" t="s">
        <v>59</v>
      </c>
      <c r="B18" s="10"/>
      <c r="C18" s="10"/>
      <c r="D18" s="10"/>
      <c r="E18" s="10"/>
    </row>
    <row r="23" spans="1:5" x14ac:dyDescent="0.25">
      <c r="A23" t="s">
        <v>60</v>
      </c>
      <c r="B23" s="10"/>
      <c r="C23" s="10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2024-12-19T19:33:29Z</cp:lastPrinted>
  <dcterms:created xsi:type="dcterms:W3CDTF">2024-12-19T19:19:58Z</dcterms:created>
  <dcterms:modified xsi:type="dcterms:W3CDTF">2024-12-19T19:53:49Z</dcterms:modified>
</cp:coreProperties>
</file>