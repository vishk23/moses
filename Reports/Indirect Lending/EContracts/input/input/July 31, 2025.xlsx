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AF8CCB03-344E-458A-B613-703CEC6C955A}" xr6:coauthVersionLast="47" xr6:coauthVersionMax="47" xr10:uidLastSave="{00000000-0000-0000-0000-000000000000}"/>
  <bookViews>
    <workbookView xWindow="29400" yWindow="75" windowWidth="24885" windowHeight="145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G32" i="2"/>
  <c r="G28" i="2"/>
  <c r="G24" i="2"/>
  <c r="G19" i="2"/>
  <c r="H45" i="2"/>
  <c r="F45" i="2"/>
  <c r="E45" i="2"/>
  <c r="D45" i="2"/>
  <c r="H28" i="1"/>
</calcChain>
</file>

<file path=xl/sharedStrings.xml><?xml version="1.0" encoding="utf-8"?>
<sst xmlns="http://schemas.openxmlformats.org/spreadsheetml/2006/main" count="305" uniqueCount="153">
  <si>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</si>
  <si>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</si>
  <si>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</si>
  <si>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</si>
  <si>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</si>
  <si>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</si>
  <si>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</si>
  <si>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</si>
  <si>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</si>
  <si>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</si>
  <si>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</si>
  <si>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</si>
  <si>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</si>
  <si>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</si>
  <si>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</si>
  <si>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</si>
  <si>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</si>
  <si>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SYLVESTRE, OLIVER</t>
  </si>
  <si>
    <t>Mastria Mazda</t>
  </si>
  <si>
    <t>Marlene Braganca</t>
  </si>
  <si>
    <t>os142@msn.com</t>
  </si>
  <si>
    <t>Fruzenski</t>
  </si>
  <si>
    <t>SANTILLI, ANDREW</t>
  </si>
  <si>
    <t>Paul Masse Buick GMC South, Inc</t>
  </si>
  <si>
    <t>andrewsantillio@gmail.com</t>
  </si>
  <si>
    <t>Mushchino</t>
  </si>
  <si>
    <t>DealerTrack</t>
  </si>
  <si>
    <t>RIGGIN, CHARLENE</t>
  </si>
  <si>
    <t>RAH FALL RIVER VW, LLC</t>
  </si>
  <si>
    <t>CHARLENERIGGIN1@GMAIL.COM</t>
  </si>
  <si>
    <t>Almeida</t>
  </si>
  <si>
    <t>TACHE, CLAYTON</t>
  </si>
  <si>
    <t>Wareham Ford</t>
  </si>
  <si>
    <t>claytontache@gmail.com</t>
  </si>
  <si>
    <t>Lee</t>
  </si>
  <si>
    <t>LOPEZ, ERWIN</t>
  </si>
  <si>
    <t>Mastria Buick Pontiac</t>
  </si>
  <si>
    <t>ERWIN.LOPEZ@JUD.STATE.MA.US</t>
  </si>
  <si>
    <t>Donaldo</t>
  </si>
  <si>
    <t>ARRUDA, ANA</t>
  </si>
  <si>
    <t>Alden Mazda</t>
  </si>
  <si>
    <t>ANACRE8TION@COMCAST.NET</t>
  </si>
  <si>
    <t>Amaral</t>
  </si>
  <si>
    <t>TUCCI, JOHN</t>
  </si>
  <si>
    <t>Lucchettis Service Center Inc</t>
  </si>
  <si>
    <t>Neli Oliveira</t>
  </si>
  <si>
    <t>RJTUCCICON@GMAIL.COM</t>
  </si>
  <si>
    <t>LOBRUTTO</t>
  </si>
  <si>
    <t>151208280</t>
  </si>
  <si>
    <t>Paper</t>
  </si>
  <si>
    <t>BILLOTTE, JUDY</t>
  </si>
  <si>
    <t>S&amp;E Auto Services and Sales Inc</t>
  </si>
  <si>
    <t>judybillotte@gmail.com</t>
  </si>
  <si>
    <t>ADAMS</t>
  </si>
  <si>
    <t>151208298</t>
  </si>
  <si>
    <t>MILLER, LOUISE</t>
  </si>
  <si>
    <t>Bourne Enterprises Inc</t>
  </si>
  <si>
    <t>BRAZELTON</t>
  </si>
  <si>
    <t>REGO, CHRISTOPHER</t>
  </si>
  <si>
    <t>CJAY0470@GMAIL.COM</t>
  </si>
  <si>
    <t>Sylvia</t>
  </si>
  <si>
    <t>DENARO, KRISTY</t>
  </si>
  <si>
    <t>Patriot Auto Group Inc d/b/a</t>
  </si>
  <si>
    <t>kristyldenaro@hotmail.com</t>
  </si>
  <si>
    <t>SULLIVAN</t>
  </si>
  <si>
    <t>STEIGER, JOHN</t>
  </si>
  <si>
    <t>Planet Automotive Sales LLC</t>
  </si>
  <si>
    <t>JBSTEIGER13@GMAIL.COM</t>
  </si>
  <si>
    <t>BARRETT</t>
  </si>
  <si>
    <t>151208371</t>
  </si>
  <si>
    <t>CARMIGNANI, JEFFREY</t>
  </si>
  <si>
    <t>CARMIGNANI82@VERIZON.NET</t>
  </si>
  <si>
    <t>L'Etoile</t>
  </si>
  <si>
    <t>ENGLISH-CREEDON, REBECCA</t>
  </si>
  <si>
    <t>CREEDON, DENNIS</t>
  </si>
  <si>
    <t>T F Murphy Enterprises Inc</t>
  </si>
  <si>
    <t>REBECCAENGLISH@VERIZON.NET</t>
  </si>
  <si>
    <t>DFCREEDEN@AOL.COM</t>
  </si>
  <si>
    <t>MALONEY</t>
  </si>
  <si>
    <t>REALE</t>
  </si>
  <si>
    <t>151208397</t>
  </si>
  <si>
    <t>MELIN, RICHARD</t>
  </si>
  <si>
    <t>Anchor Nissan</t>
  </si>
  <si>
    <t>RICKMELIN@YMAIL.COM</t>
  </si>
  <si>
    <t>Bushnell</t>
  </si>
  <si>
    <t>OTTINO, MATTHEW</t>
  </si>
  <si>
    <t>Salvadore Chrysler</t>
  </si>
  <si>
    <t>Rachel Gorham</t>
  </si>
  <si>
    <t>titoottino@gmail.com</t>
  </si>
  <si>
    <t>WHITE</t>
  </si>
  <si>
    <t>SARITELLI, MICHAEL</t>
  </si>
  <si>
    <t>Metro Honda</t>
  </si>
  <si>
    <t>SARITELLIMICHAEL@GMAIL.COM</t>
  </si>
  <si>
    <t>PACE</t>
  </si>
  <si>
    <t>151208438</t>
  </si>
  <si>
    <t>GOSSELIN, DANNY</t>
  </si>
  <si>
    <t>DANIEL.J.GOSSLEIN@GMAIL.COM</t>
  </si>
  <si>
    <t>CARLIN</t>
  </si>
  <si>
    <t>DELEA, LAURA</t>
  </si>
  <si>
    <t>DELEA, HANNAH</t>
  </si>
  <si>
    <t>Gesner Auto Inc</t>
  </si>
  <si>
    <t>DENNISON</t>
  </si>
  <si>
    <t>HIGGINBOTTOM</t>
  </si>
  <si>
    <t>FRIESE, JASON</t>
  </si>
  <si>
    <t>jasonfriese@yahoo.com</t>
  </si>
  <si>
    <t>Mastascusa</t>
  </si>
  <si>
    <t>DOUGHERTY, SUSAN</t>
  </si>
  <si>
    <t>sldough@gmail.com</t>
  </si>
  <si>
    <t>KIMMELL</t>
  </si>
  <si>
    <t>PONDER, MICHAEL</t>
  </si>
  <si>
    <t>LASOILLE</t>
  </si>
  <si>
    <t>SULLIVAN, KEVIN</t>
  </si>
  <si>
    <t>KJSULLIVAN013@GMAIL.COM</t>
  </si>
  <si>
    <t>FARACA</t>
  </si>
  <si>
    <t>151208579</t>
  </si>
  <si>
    <t>MCCARTHY, MATTHEW</t>
  </si>
  <si>
    <t>Tasca Automotive Group Rt 6 One Inc</t>
  </si>
  <si>
    <t>MATTJO1984@COMCAST.NET</t>
  </si>
  <si>
    <t>FORGET</t>
  </si>
  <si>
    <t># 24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</si>
  <si>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</si>
  <si>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</si>
  <si>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</si>
  <si>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</si>
  <si>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</si>
  <si>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</si>
  <si>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Column1</t>
  </si>
  <si>
    <t>Column2</t>
  </si>
  <si>
    <t>Honda-Patriot Auto Group Inc d/b/a</t>
  </si>
  <si>
    <t>4453-2150</t>
  </si>
  <si>
    <t>5900-6390</t>
  </si>
  <si>
    <t>151207547 E</t>
  </si>
  <si>
    <t>151208173 E</t>
  </si>
  <si>
    <t>151208181 E</t>
  </si>
  <si>
    <t>151208222 E</t>
  </si>
  <si>
    <t>151208230 E</t>
  </si>
  <si>
    <t>151208256 E</t>
  </si>
  <si>
    <t>151208264 E</t>
  </si>
  <si>
    <t>151208321 E</t>
  </si>
  <si>
    <t>151208355 E</t>
  </si>
  <si>
    <t>151208363 E</t>
  </si>
  <si>
    <t>151208389 E</t>
  </si>
  <si>
    <t>151208404 E</t>
  </si>
  <si>
    <t>151208412 E</t>
  </si>
  <si>
    <t>151208454 E</t>
  </si>
  <si>
    <t>151208462 E</t>
  </si>
  <si>
    <t>151208488 E</t>
  </si>
  <si>
    <t>151208537 E</t>
  </si>
  <si>
    <t>151208561 E</t>
  </si>
  <si>
    <t># 6</t>
  </si>
  <si>
    <t>Delivered by:</t>
  </si>
  <si>
    <t>Received by:</t>
  </si>
  <si>
    <t>Date singed: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</si>
</sst>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7" fontId="2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"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8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D931E7-2E0C-4C9D-AEF5-A523A8038491}" name="Table_14" displayName="Table_14" ref="A3:H45">
  <tableColumns count="8">
    <tableColumn id="1" xr3:uid="{1407DA92-FCF5-4795-B191-C3F2053E46E7}" name="Dealer Name"/>
    <tableColumn id="8" xr3:uid="{C550E6FE-0277-4C00-A71A-575743650D4F}" name="Column2"/>
    <tableColumn id="2" xr3:uid="{CB3A955B-D62B-4608-8304-C4F007DA5865}" name="Funded by"/>
    <tableColumn id="3" xr3:uid="{58847416-4D89-4A47-B4EA-504639C57A81}" name="Dealer Flat"/>
    <tableColumn id="4" xr3:uid="{F08D1C46-3B2A-469D-B738-EBD9287788BD}" name="Dealer Split"/>
    <tableColumn id="5" xr3:uid="{4AE60475-0DB0-4BC2-A6F6-59183C1102C1}" name="Net to Dealer"/>
    <tableColumn id="7" xr3:uid="{E82DD380-FBE9-4281-8224-956471A7983B}" name="Column1" dataDxfId="0"/>
    <tableColumn id="6" xr3:uid="{FEAAD080-6548-435B-A429-B492BDDDC0E9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F20A4A-2BB5-47D1-9B39-7A3DE1554DCB}" name="Table_15" displayName="Table_15" ref="A3:F10">
  <tableColumns count="6">
    <tableColumn id="1" xr3:uid="{FDF075CB-24B2-4278-B736-F67559D8BDD3}" name="Account Number"/>
    <tableColumn id="2" xr3:uid="{FC3ED63D-E311-4D02-90AF-6C69B0D7275D}" name="Contract Type"/>
    <tableColumn id="3" xr3:uid="{1320FEC1-AC04-404C-A51C-E696953F1886}" name="Applicant Name"/>
    <tableColumn id="4" xr3:uid="{A43ECAF2-9FBD-47CD-93AC-49E332B92EA0}" name="Co-Applicant Name"/>
    <tableColumn id="5" xr3:uid="{E6DD64DC-2C7E-4674-82C0-D918A4A7B34C}" name="Dealer Name"/>
    <tableColumn id="6" xr3:uid="{2628F944-AF05-4D00-ACB9-101751B660E0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abSelected="1" topLeftCell="D1" workbookViewId="0">
      <pane ySplit="3" topLeftCell="A4" activePane="bottomLeft" state="frozen"/>
      <selection pane="bottomLeft" activeCell="K1" sqref="J1:K1048576"/>
    </sheetView>
  </sheetViews>
  <sheetFormatPr defaultRowHeight="15" x14ac:dyDescent="0.25"/>
  <cols>
    <col min="1" max="1" width="13.5703125" customWidth="1"/>
    <col min="2" max="2" width="12.140625" bestFit="1" customWidth="1"/>
    <col min="3" max="3" width="14" bestFit="1" customWidth="1"/>
    <col min="4" max="4" width="28.7109375" bestFit="1" customWidth="1"/>
    <col min="5" max="5" width="18.7109375" bestFit="1" customWidth="1"/>
    <col min="6" max="6" width="35.7109375" bestFit="1" customWidth="1"/>
    <col min="7" max="7" width="17.7109375" bestFit="1" customWidth="1"/>
    <col min="8" max="8" width="17.140625" bestFit="1" customWidth="1"/>
    <col min="9" max="9" width="32.140625" bestFit="1" customWidth="1"/>
    <col min="10" max="10" width="22.7109375" bestFit="1" customWidth="1"/>
    <col min="11" max="11" width="13.140625" bestFit="1" customWidth="1"/>
    <col min="12" max="12" width="15.7109375" bestFit="1" customWidth="1"/>
  </cols>
  <sheetData>
    <row r="1" spans="1:12" x14ac:dyDescent="0.25">
      <c r="K1" s="4">
        <v>45869</v>
      </c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24.95" customHeight="1" x14ac:dyDescent="0.25">
      <c r="A4" s="8" t="s">
        <v>131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26863.23</v>
      </c>
      <c r="I4" t="s">
        <v>20</v>
      </c>
      <c r="K4" t="s">
        <v>21</v>
      </c>
    </row>
    <row r="5" spans="1:12" ht="24.95" customHeight="1" x14ac:dyDescent="0.25">
      <c r="A5" t="s">
        <v>132</v>
      </c>
      <c r="B5" t="s">
        <v>15</v>
      </c>
      <c r="C5" t="s">
        <v>16</v>
      </c>
      <c r="D5" t="s">
        <v>22</v>
      </c>
      <c r="F5" t="s">
        <v>23</v>
      </c>
      <c r="G5" t="s">
        <v>19</v>
      </c>
      <c r="H5" s="2">
        <v>83650.399999999994</v>
      </c>
      <c r="I5" t="s">
        <v>24</v>
      </c>
      <c r="K5" t="s">
        <v>25</v>
      </c>
    </row>
    <row r="6" spans="1:12" ht="24.95" customHeight="1" x14ac:dyDescent="0.25">
      <c r="A6" t="s">
        <v>133</v>
      </c>
      <c r="B6" t="s">
        <v>26</v>
      </c>
      <c r="C6" t="s">
        <v>16</v>
      </c>
      <c r="D6" t="s">
        <v>27</v>
      </c>
      <c r="F6" t="s">
        <v>28</v>
      </c>
      <c r="G6" t="s">
        <v>19</v>
      </c>
      <c r="H6" s="2">
        <v>54482.63</v>
      </c>
      <c r="I6" t="s">
        <v>29</v>
      </c>
      <c r="K6" t="s">
        <v>30</v>
      </c>
    </row>
    <row r="7" spans="1:12" ht="24.95" customHeight="1" x14ac:dyDescent="0.25">
      <c r="A7" t="s">
        <v>134</v>
      </c>
      <c r="B7" t="s">
        <v>15</v>
      </c>
      <c r="C7" t="s">
        <v>16</v>
      </c>
      <c r="D7" t="s">
        <v>31</v>
      </c>
      <c r="F7" t="s">
        <v>32</v>
      </c>
      <c r="G7" t="s">
        <v>19</v>
      </c>
      <c r="H7" s="2">
        <v>50135.08</v>
      </c>
      <c r="I7" t="s">
        <v>33</v>
      </c>
      <c r="K7" t="s">
        <v>34</v>
      </c>
    </row>
    <row r="8" spans="1:12" ht="24.95" customHeight="1" x14ac:dyDescent="0.25">
      <c r="A8" t="s">
        <v>135</v>
      </c>
      <c r="B8" t="s">
        <v>15</v>
      </c>
      <c r="C8" t="s">
        <v>16</v>
      </c>
      <c r="D8" t="s">
        <v>35</v>
      </c>
      <c r="F8" t="s">
        <v>36</v>
      </c>
      <c r="G8" t="s">
        <v>19</v>
      </c>
      <c r="H8" s="2">
        <v>69493.05</v>
      </c>
      <c r="I8" t="s">
        <v>37</v>
      </c>
      <c r="K8" t="s">
        <v>38</v>
      </c>
    </row>
    <row r="9" spans="1:12" ht="24.95" customHeight="1" x14ac:dyDescent="0.25">
      <c r="A9" t="s">
        <v>136</v>
      </c>
      <c r="B9" t="s">
        <v>15</v>
      </c>
      <c r="C9" t="s">
        <v>16</v>
      </c>
      <c r="D9" t="s">
        <v>39</v>
      </c>
      <c r="F9" t="s">
        <v>40</v>
      </c>
      <c r="G9" t="s">
        <v>19</v>
      </c>
      <c r="H9" s="2">
        <v>30943.94</v>
      </c>
      <c r="I9" t="s">
        <v>41</v>
      </c>
      <c r="K9" t="s">
        <v>42</v>
      </c>
    </row>
    <row r="10" spans="1:12" ht="24.95" customHeight="1" x14ac:dyDescent="0.25">
      <c r="A10" t="s">
        <v>137</v>
      </c>
      <c r="B10" t="s">
        <v>15</v>
      </c>
      <c r="C10" t="s">
        <v>16</v>
      </c>
      <c r="D10" t="s">
        <v>43</v>
      </c>
      <c r="F10" t="s">
        <v>44</v>
      </c>
      <c r="G10" t="s">
        <v>45</v>
      </c>
      <c r="H10" s="2">
        <v>27337.06</v>
      </c>
      <c r="I10" t="s">
        <v>46</v>
      </c>
      <c r="K10" t="s">
        <v>47</v>
      </c>
    </row>
    <row r="11" spans="1:12" ht="24.95" customHeight="1" x14ac:dyDescent="0.25">
      <c r="A11" t="s">
        <v>48</v>
      </c>
      <c r="B11" t="s">
        <v>26</v>
      </c>
      <c r="C11" t="s">
        <v>49</v>
      </c>
      <c r="D11" t="s">
        <v>50</v>
      </c>
      <c r="F11" t="s">
        <v>51</v>
      </c>
      <c r="G11" t="s">
        <v>45</v>
      </c>
      <c r="H11" s="2">
        <v>31132.44</v>
      </c>
      <c r="I11" t="s">
        <v>52</v>
      </c>
      <c r="K11" t="s">
        <v>53</v>
      </c>
    </row>
    <row r="12" spans="1:12" ht="24.95" customHeight="1" x14ac:dyDescent="0.25">
      <c r="A12" t="s">
        <v>54</v>
      </c>
      <c r="B12" t="s">
        <v>26</v>
      </c>
      <c r="C12" t="s">
        <v>49</v>
      </c>
      <c r="D12" t="s">
        <v>55</v>
      </c>
      <c r="F12" t="s">
        <v>56</v>
      </c>
      <c r="G12" t="s">
        <v>45</v>
      </c>
      <c r="H12" s="2">
        <v>15128.63</v>
      </c>
      <c r="K12" t="s">
        <v>57</v>
      </c>
    </row>
    <row r="13" spans="1:12" ht="24.95" customHeight="1" x14ac:dyDescent="0.25">
      <c r="A13" t="s">
        <v>138</v>
      </c>
      <c r="B13" t="s">
        <v>26</v>
      </c>
      <c r="C13" t="s">
        <v>16</v>
      </c>
      <c r="D13" t="s">
        <v>58</v>
      </c>
      <c r="F13" t="s">
        <v>28</v>
      </c>
      <c r="G13" t="s">
        <v>19</v>
      </c>
      <c r="H13" s="2">
        <v>20992.69</v>
      </c>
      <c r="I13" t="s">
        <v>59</v>
      </c>
      <c r="K13" t="s">
        <v>60</v>
      </c>
    </row>
    <row r="14" spans="1:12" ht="24.95" customHeight="1" x14ac:dyDescent="0.25">
      <c r="A14" t="s">
        <v>139</v>
      </c>
      <c r="B14" t="s">
        <v>15</v>
      </c>
      <c r="C14" t="s">
        <v>16</v>
      </c>
      <c r="D14" t="s">
        <v>61</v>
      </c>
      <c r="F14" t="s">
        <v>62</v>
      </c>
      <c r="G14" t="s">
        <v>45</v>
      </c>
      <c r="H14" s="2">
        <v>28643.4</v>
      </c>
      <c r="I14" t="s">
        <v>63</v>
      </c>
      <c r="K14" t="s">
        <v>64</v>
      </c>
    </row>
    <row r="15" spans="1:12" ht="24.95" customHeight="1" x14ac:dyDescent="0.25">
      <c r="A15" t="s">
        <v>140</v>
      </c>
      <c r="B15" t="s">
        <v>26</v>
      </c>
      <c r="C15" t="s">
        <v>16</v>
      </c>
      <c r="D15" t="s">
        <v>65</v>
      </c>
      <c r="F15" t="s">
        <v>66</v>
      </c>
      <c r="G15" t="s">
        <v>19</v>
      </c>
      <c r="H15" s="2">
        <v>60377.68</v>
      </c>
      <c r="I15" t="s">
        <v>67</v>
      </c>
      <c r="K15" t="s">
        <v>68</v>
      </c>
    </row>
    <row r="16" spans="1:12" ht="24.95" customHeight="1" x14ac:dyDescent="0.25">
      <c r="A16" t="s">
        <v>69</v>
      </c>
      <c r="B16" t="s">
        <v>26</v>
      </c>
      <c r="C16" t="s">
        <v>49</v>
      </c>
      <c r="D16" t="s">
        <v>70</v>
      </c>
      <c r="F16" t="s">
        <v>66</v>
      </c>
      <c r="G16" t="s">
        <v>19</v>
      </c>
      <c r="H16" s="2">
        <v>33585.129999999997</v>
      </c>
      <c r="I16" t="s">
        <v>71</v>
      </c>
      <c r="K16" t="s">
        <v>72</v>
      </c>
    </row>
    <row r="17" spans="1:12" ht="24.95" customHeight="1" x14ac:dyDescent="0.25">
      <c r="A17" t="s">
        <v>141</v>
      </c>
      <c r="B17" t="s">
        <v>15</v>
      </c>
      <c r="C17" t="s">
        <v>16</v>
      </c>
      <c r="D17" t="s">
        <v>73</v>
      </c>
      <c r="E17" t="s">
        <v>74</v>
      </c>
      <c r="F17" t="s">
        <v>75</v>
      </c>
      <c r="G17" t="s">
        <v>45</v>
      </c>
      <c r="H17" s="2">
        <v>66787.38</v>
      </c>
      <c r="I17" t="s">
        <v>76</v>
      </c>
      <c r="J17" t="s">
        <v>77</v>
      </c>
      <c r="K17" t="s">
        <v>78</v>
      </c>
      <c r="L17" t="s">
        <v>79</v>
      </c>
    </row>
    <row r="18" spans="1:12" ht="24.95" customHeight="1" x14ac:dyDescent="0.25">
      <c r="A18" t="s">
        <v>80</v>
      </c>
      <c r="B18" t="s">
        <v>26</v>
      </c>
      <c r="C18" t="s">
        <v>49</v>
      </c>
      <c r="D18" t="s">
        <v>81</v>
      </c>
      <c r="F18" t="s">
        <v>82</v>
      </c>
      <c r="G18" t="s">
        <v>19</v>
      </c>
      <c r="H18" s="2">
        <v>60678.44</v>
      </c>
      <c r="I18" t="s">
        <v>83</v>
      </c>
      <c r="K18" t="s">
        <v>84</v>
      </c>
    </row>
    <row r="19" spans="1:12" ht="24.95" customHeight="1" x14ac:dyDescent="0.25">
      <c r="A19" t="s">
        <v>142</v>
      </c>
      <c r="B19" t="s">
        <v>15</v>
      </c>
      <c r="C19" t="s">
        <v>16</v>
      </c>
      <c r="D19" t="s">
        <v>85</v>
      </c>
      <c r="F19" t="s">
        <v>86</v>
      </c>
      <c r="G19" t="s">
        <v>87</v>
      </c>
      <c r="H19" s="2">
        <v>36662.550000000003</v>
      </c>
      <c r="I19" t="s">
        <v>88</v>
      </c>
      <c r="K19" t="s">
        <v>89</v>
      </c>
    </row>
    <row r="20" spans="1:12" ht="24.95" customHeight="1" x14ac:dyDescent="0.25">
      <c r="A20" t="s">
        <v>143</v>
      </c>
      <c r="B20" t="s">
        <v>26</v>
      </c>
      <c r="C20" t="s">
        <v>16</v>
      </c>
      <c r="D20" t="s">
        <v>90</v>
      </c>
      <c r="F20" t="s">
        <v>91</v>
      </c>
      <c r="G20" t="s">
        <v>87</v>
      </c>
      <c r="H20" s="2">
        <v>33323.9</v>
      </c>
      <c r="I20" t="s">
        <v>92</v>
      </c>
      <c r="K20" t="s">
        <v>93</v>
      </c>
    </row>
    <row r="21" spans="1:12" ht="24.95" customHeight="1" x14ac:dyDescent="0.25">
      <c r="A21" t="s">
        <v>94</v>
      </c>
      <c r="B21" t="s">
        <v>26</v>
      </c>
      <c r="C21" t="s">
        <v>49</v>
      </c>
      <c r="D21" t="s">
        <v>95</v>
      </c>
      <c r="F21" t="s">
        <v>66</v>
      </c>
      <c r="G21" t="s">
        <v>87</v>
      </c>
      <c r="H21" s="2">
        <v>15449.56</v>
      </c>
      <c r="I21" t="s">
        <v>96</v>
      </c>
      <c r="K21" t="s">
        <v>97</v>
      </c>
    </row>
    <row r="22" spans="1:12" ht="24.95" customHeight="1" x14ac:dyDescent="0.25">
      <c r="A22" t="s">
        <v>144</v>
      </c>
      <c r="B22" t="s">
        <v>26</v>
      </c>
      <c r="C22" t="s">
        <v>16</v>
      </c>
      <c r="D22" t="s">
        <v>98</v>
      </c>
      <c r="E22" t="s">
        <v>99</v>
      </c>
      <c r="F22" t="s">
        <v>100</v>
      </c>
      <c r="G22" t="s">
        <v>45</v>
      </c>
      <c r="H22" s="2">
        <v>18975</v>
      </c>
      <c r="K22" t="s">
        <v>101</v>
      </c>
      <c r="L22" t="s">
        <v>102</v>
      </c>
    </row>
    <row r="23" spans="1:12" ht="24.95" customHeight="1" x14ac:dyDescent="0.25">
      <c r="A23" t="s">
        <v>145</v>
      </c>
      <c r="B23" t="s">
        <v>26</v>
      </c>
      <c r="C23" t="s">
        <v>16</v>
      </c>
      <c r="D23" t="s">
        <v>103</v>
      </c>
      <c r="F23" t="s">
        <v>28</v>
      </c>
      <c r="G23" t="s">
        <v>19</v>
      </c>
      <c r="H23" s="2">
        <v>42769.93</v>
      </c>
      <c r="I23" t="s">
        <v>104</v>
      </c>
      <c r="K23" t="s">
        <v>105</v>
      </c>
    </row>
    <row r="24" spans="1:12" ht="24.95" customHeight="1" x14ac:dyDescent="0.25">
      <c r="A24" t="s">
        <v>146</v>
      </c>
      <c r="B24" t="s">
        <v>15</v>
      </c>
      <c r="C24" t="s">
        <v>16</v>
      </c>
      <c r="D24" t="s">
        <v>106</v>
      </c>
      <c r="F24" t="s">
        <v>86</v>
      </c>
      <c r="G24" t="s">
        <v>19</v>
      </c>
      <c r="H24" s="2">
        <v>33977.17</v>
      </c>
      <c r="I24" t="s">
        <v>107</v>
      </c>
      <c r="K24" t="s">
        <v>108</v>
      </c>
    </row>
    <row r="25" spans="1:12" ht="24.95" customHeight="1" x14ac:dyDescent="0.25">
      <c r="A25" t="s">
        <v>147</v>
      </c>
      <c r="B25" t="s">
        <v>15</v>
      </c>
      <c r="C25" t="s">
        <v>16</v>
      </c>
      <c r="D25" t="s">
        <v>109</v>
      </c>
      <c r="F25" t="s">
        <v>23</v>
      </c>
      <c r="G25" t="s">
        <v>45</v>
      </c>
      <c r="H25" s="2">
        <v>30804.38</v>
      </c>
      <c r="K25" t="s">
        <v>110</v>
      </c>
    </row>
    <row r="26" spans="1:12" ht="24.95" customHeight="1" x14ac:dyDescent="0.25">
      <c r="A26" t="s">
        <v>148</v>
      </c>
      <c r="B26" t="s">
        <v>15</v>
      </c>
      <c r="C26" t="s">
        <v>16</v>
      </c>
      <c r="D26" t="s">
        <v>111</v>
      </c>
      <c r="F26" t="s">
        <v>18</v>
      </c>
      <c r="G26" t="s">
        <v>87</v>
      </c>
      <c r="H26" s="2">
        <v>23045.73</v>
      </c>
      <c r="I26" t="s">
        <v>112</v>
      </c>
      <c r="K26" t="s">
        <v>113</v>
      </c>
    </row>
    <row r="27" spans="1:12" ht="24.95" customHeight="1" x14ac:dyDescent="0.25">
      <c r="A27" t="s">
        <v>114</v>
      </c>
      <c r="B27" t="s">
        <v>15</v>
      </c>
      <c r="C27" t="s">
        <v>49</v>
      </c>
      <c r="D27" t="s">
        <v>115</v>
      </c>
      <c r="F27" t="s">
        <v>116</v>
      </c>
      <c r="G27" t="s">
        <v>87</v>
      </c>
      <c r="H27" s="2">
        <v>34437</v>
      </c>
      <c r="I27" t="s">
        <v>117</v>
      </c>
      <c r="K27" t="s">
        <v>118</v>
      </c>
    </row>
    <row r="28" spans="1:12" x14ac:dyDescent="0.25">
      <c r="A28" s="1"/>
      <c r="B28" s="1"/>
      <c r="C28" s="1"/>
      <c r="D28" s="1" t="s">
        <v>119</v>
      </c>
      <c r="E28" s="1"/>
      <c r="F28" s="1"/>
      <c r="G28" s="1"/>
      <c r="H28" s="3">
        <f>SUM(H4:H27)</f>
        <v>929676.40000000014</v>
      </c>
      <c r="I28" s="1"/>
      <c r="J28" s="1"/>
      <c r="K28" s="1"/>
      <c r="L28" s="1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8599-014C-4C83-997A-8EB613F33E2C}">
  <sheetPr>
    <pageSetUpPr fitToPage="1"/>
  </sheetPr>
  <dimension ref="A1:H45"/>
  <sheetViews>
    <sheetView topLeftCell="A32" zoomScaleNormal="100" workbookViewId="0">
      <selection activeCell="F21" sqref="F21"/>
    </sheetView>
  </sheetViews>
  <sheetFormatPr defaultRowHeight="15" x14ac:dyDescent="0.25"/>
  <cols>
    <col min="1" max="1" width="24.140625" customWidth="1"/>
    <col min="2" max="2" width="18.5703125" customWidth="1"/>
    <col min="3" max="3" width="17.7109375" customWidth="1"/>
    <col min="4" max="4" width="14.5703125" customWidth="1"/>
    <col min="5" max="5" width="13.42578125" customWidth="1"/>
    <col min="6" max="6" width="27.85546875" customWidth="1"/>
    <col min="7" max="7" width="16" customWidth="1"/>
    <col min="8" max="8" width="19.28515625" customWidth="1"/>
  </cols>
  <sheetData>
    <row r="1" spans="1:8" x14ac:dyDescent="0.25">
      <c r="E1" s="4"/>
      <c r="H1" s="4">
        <v>45869.999988425923</v>
      </c>
    </row>
    <row r="2" spans="1:8" x14ac:dyDescent="0.25">
      <c r="A2" s="5" t="s">
        <v>0</v>
      </c>
      <c r="B2" s="5"/>
      <c r="C2" s="6"/>
      <c r="D2" s="6"/>
      <c r="E2" s="7" t="s">
        <v>120</v>
      </c>
      <c r="F2" s="6"/>
      <c r="G2" s="6"/>
      <c r="H2" s="6"/>
    </row>
    <row r="3" spans="1:8" x14ac:dyDescent="0.25">
      <c r="A3" t="s">
        <v>7</v>
      </c>
      <c r="B3" t="s">
        <v>127</v>
      </c>
      <c r="C3" t="s">
        <v>8</v>
      </c>
      <c r="D3" t="s">
        <v>121</v>
      </c>
      <c r="E3" t="s">
        <v>122</v>
      </c>
      <c r="F3" t="s">
        <v>123</v>
      </c>
      <c r="G3" t="s">
        <v>126</v>
      </c>
      <c r="H3" t="s">
        <v>124</v>
      </c>
    </row>
    <row r="4" spans="1:8" ht="24.95" customHeight="1" x14ac:dyDescent="0.25">
      <c r="A4" t="s">
        <v>40</v>
      </c>
      <c r="C4" t="s">
        <v>19</v>
      </c>
      <c r="D4" s="2">
        <v>850</v>
      </c>
      <c r="E4" s="2">
        <v>0</v>
      </c>
      <c r="F4" s="9">
        <v>30868.94</v>
      </c>
      <c r="G4" s="2"/>
      <c r="H4" s="2">
        <v>30943.94</v>
      </c>
    </row>
    <row r="5" spans="1:8" ht="24.95" customHeight="1" x14ac:dyDescent="0.25">
      <c r="D5" s="2"/>
      <c r="E5" s="2"/>
      <c r="F5" s="9"/>
      <c r="G5" s="2"/>
      <c r="H5" s="2"/>
    </row>
    <row r="6" spans="1:8" ht="24.95" customHeight="1" x14ac:dyDescent="0.25">
      <c r="A6" t="s">
        <v>82</v>
      </c>
      <c r="C6" t="s">
        <v>19</v>
      </c>
      <c r="D6" s="2">
        <v>1350</v>
      </c>
      <c r="E6" s="2">
        <v>0</v>
      </c>
      <c r="F6" s="9">
        <v>60603.44</v>
      </c>
      <c r="G6" s="2"/>
      <c r="H6" s="2">
        <v>60678.44</v>
      </c>
    </row>
    <row r="7" spans="1:8" ht="24.95" customHeight="1" x14ac:dyDescent="0.25">
      <c r="D7" s="2"/>
      <c r="E7" s="2"/>
      <c r="F7" s="9"/>
      <c r="G7" s="2"/>
      <c r="H7" s="2"/>
    </row>
    <row r="8" spans="1:8" ht="24.95" customHeight="1" x14ac:dyDescent="0.25">
      <c r="A8" t="s">
        <v>56</v>
      </c>
      <c r="C8" t="s">
        <v>45</v>
      </c>
      <c r="D8" s="2">
        <v>500</v>
      </c>
      <c r="E8" s="2">
        <v>0</v>
      </c>
      <c r="F8" s="9">
        <v>15053.63</v>
      </c>
      <c r="G8" s="2"/>
      <c r="H8" s="2">
        <v>15128.63</v>
      </c>
    </row>
    <row r="9" spans="1:8" ht="24.95" customHeight="1" x14ac:dyDescent="0.25">
      <c r="D9" s="2"/>
      <c r="E9" s="2"/>
      <c r="F9" s="9"/>
      <c r="G9" s="2"/>
      <c r="H9" s="2"/>
    </row>
    <row r="10" spans="1:8" ht="24.95" customHeight="1" x14ac:dyDescent="0.25">
      <c r="A10" t="s">
        <v>100</v>
      </c>
      <c r="C10" t="s">
        <v>45</v>
      </c>
      <c r="D10" s="2">
        <v>500</v>
      </c>
      <c r="E10" s="2">
        <v>0</v>
      </c>
      <c r="F10" s="9">
        <v>18900</v>
      </c>
      <c r="G10" s="2"/>
      <c r="H10" s="2">
        <v>18975</v>
      </c>
    </row>
    <row r="11" spans="1:8" ht="24.95" customHeight="1" x14ac:dyDescent="0.25">
      <c r="D11" s="2"/>
      <c r="E11" s="2"/>
      <c r="F11" s="9"/>
      <c r="G11" s="2"/>
      <c r="H11" s="2"/>
    </row>
    <row r="12" spans="1:8" ht="24.95" customHeight="1" x14ac:dyDescent="0.25">
      <c r="A12" t="s">
        <v>128</v>
      </c>
      <c r="C12" t="s">
        <v>45</v>
      </c>
      <c r="D12" s="2">
        <v>750</v>
      </c>
      <c r="E12" s="2">
        <v>0</v>
      </c>
      <c r="F12" s="9">
        <v>28568.400000000001</v>
      </c>
      <c r="G12" s="2"/>
      <c r="H12" s="2">
        <v>28643.4</v>
      </c>
    </row>
    <row r="13" spans="1:8" ht="24.95" customHeight="1" x14ac:dyDescent="0.25">
      <c r="D13" s="2"/>
      <c r="E13" s="2"/>
      <c r="F13" s="9"/>
      <c r="G13" s="2"/>
      <c r="H13" s="2"/>
    </row>
    <row r="14" spans="1:8" ht="24.95" customHeight="1" x14ac:dyDescent="0.25">
      <c r="A14" t="s">
        <v>44</v>
      </c>
      <c r="C14" t="s">
        <v>45</v>
      </c>
      <c r="D14" s="2">
        <v>750</v>
      </c>
      <c r="E14" s="2">
        <v>0</v>
      </c>
      <c r="F14" s="9">
        <v>27262.06</v>
      </c>
      <c r="G14" s="2"/>
      <c r="H14" s="2">
        <v>27337.06</v>
      </c>
    </row>
    <row r="15" spans="1:8" ht="24.95" customHeight="1" x14ac:dyDescent="0.25">
      <c r="D15" s="2"/>
      <c r="E15" s="2"/>
      <c r="F15" s="2"/>
      <c r="G15" s="2"/>
      <c r="H15" s="2"/>
    </row>
    <row r="16" spans="1:8" ht="24.95" customHeight="1" x14ac:dyDescent="0.25">
      <c r="A16" t="s">
        <v>36</v>
      </c>
      <c r="B16" t="s">
        <v>129</v>
      </c>
      <c r="C16" t="s">
        <v>19</v>
      </c>
      <c r="D16" s="2">
        <v>1350</v>
      </c>
      <c r="E16" s="2">
        <v>0</v>
      </c>
      <c r="F16" s="9">
        <v>69418.05</v>
      </c>
      <c r="G16" s="2"/>
      <c r="H16" s="2">
        <v>69493.05</v>
      </c>
    </row>
    <row r="17" spans="1:8" ht="24.95" customHeight="1" x14ac:dyDescent="0.25">
      <c r="D17" s="2"/>
      <c r="E17" s="2"/>
      <c r="F17" s="2"/>
      <c r="G17" s="2"/>
      <c r="H17" s="2"/>
    </row>
    <row r="18" spans="1:8" ht="24.95" customHeight="1" x14ac:dyDescent="0.25">
      <c r="A18" t="s">
        <v>18</v>
      </c>
      <c r="B18" t="s">
        <v>130</v>
      </c>
      <c r="C18" t="s">
        <v>19</v>
      </c>
      <c r="D18" s="2">
        <v>750</v>
      </c>
      <c r="E18" s="2">
        <v>0</v>
      </c>
      <c r="F18" s="2">
        <v>26788.23</v>
      </c>
      <c r="G18" s="2"/>
      <c r="H18" s="2">
        <v>26863.23</v>
      </c>
    </row>
    <row r="19" spans="1:8" ht="24.95" customHeight="1" x14ac:dyDescent="0.25">
      <c r="A19" t="s">
        <v>18</v>
      </c>
      <c r="C19" t="s">
        <v>87</v>
      </c>
      <c r="D19" s="2">
        <v>650</v>
      </c>
      <c r="E19" s="2">
        <v>0</v>
      </c>
      <c r="F19" s="2">
        <v>22970.73</v>
      </c>
      <c r="G19" s="9">
        <f>SUM(F18:F19)</f>
        <v>49758.96</v>
      </c>
      <c r="H19" s="2">
        <v>23045.73</v>
      </c>
    </row>
    <row r="20" spans="1:8" ht="24.95" customHeight="1" x14ac:dyDescent="0.25">
      <c r="D20" s="2"/>
      <c r="E20" s="2"/>
      <c r="F20" s="2"/>
      <c r="G20" s="2"/>
      <c r="H20" s="2"/>
    </row>
    <row r="21" spans="1:8" ht="24.95" customHeight="1" x14ac:dyDescent="0.25">
      <c r="A21" t="s">
        <v>91</v>
      </c>
      <c r="C21" t="s">
        <v>87</v>
      </c>
      <c r="D21" s="2">
        <v>850</v>
      </c>
      <c r="E21" s="2">
        <v>0</v>
      </c>
      <c r="F21" s="9">
        <v>33248.9</v>
      </c>
      <c r="G21" s="2"/>
      <c r="H21" s="2">
        <v>33323.9</v>
      </c>
    </row>
    <row r="22" spans="1:8" ht="24.95" customHeight="1" x14ac:dyDescent="0.25">
      <c r="D22" s="2"/>
      <c r="E22" s="2"/>
      <c r="F22" s="2"/>
      <c r="G22" s="2"/>
      <c r="H22" s="2"/>
    </row>
    <row r="23" spans="1:8" ht="24.95" customHeight="1" x14ac:dyDescent="0.25">
      <c r="A23" t="s">
        <v>23</v>
      </c>
      <c r="C23" t="s">
        <v>19</v>
      </c>
      <c r="D23" s="2">
        <v>1500</v>
      </c>
      <c r="E23" s="2">
        <v>0</v>
      </c>
      <c r="F23" s="2">
        <v>83575.399999999994</v>
      </c>
      <c r="G23" s="2"/>
      <c r="H23" s="2">
        <v>83650.399999999994</v>
      </c>
    </row>
    <row r="24" spans="1:8" ht="24.95" customHeight="1" x14ac:dyDescent="0.25">
      <c r="A24" t="s">
        <v>23</v>
      </c>
      <c r="C24" t="s">
        <v>45</v>
      </c>
      <c r="D24" s="2">
        <v>850</v>
      </c>
      <c r="E24" s="2">
        <v>0</v>
      </c>
      <c r="F24" s="2">
        <v>30729.38</v>
      </c>
      <c r="G24" s="9">
        <f>SUM(F23:F24)</f>
        <v>114304.78</v>
      </c>
      <c r="H24" s="2">
        <v>30804.38</v>
      </c>
    </row>
    <row r="25" spans="1:8" ht="24.95" customHeight="1" x14ac:dyDescent="0.25">
      <c r="D25" s="2"/>
      <c r="E25" s="2"/>
      <c r="F25" s="2"/>
      <c r="G25" s="2"/>
      <c r="H25" s="2"/>
    </row>
    <row r="26" spans="1:8" ht="24.95" customHeight="1" x14ac:dyDescent="0.25">
      <c r="A26" t="s">
        <v>66</v>
      </c>
      <c r="C26" t="s">
        <v>19</v>
      </c>
      <c r="D26" s="2">
        <v>1350</v>
      </c>
      <c r="E26" s="2">
        <v>0</v>
      </c>
      <c r="F26" s="2">
        <v>60302.68</v>
      </c>
      <c r="G26" s="2"/>
      <c r="H26" s="2">
        <v>60377.68</v>
      </c>
    </row>
    <row r="27" spans="1:8" ht="24.95" customHeight="1" x14ac:dyDescent="0.25">
      <c r="A27" t="s">
        <v>66</v>
      </c>
      <c r="C27" t="s">
        <v>19</v>
      </c>
      <c r="D27" s="2">
        <v>850</v>
      </c>
      <c r="E27" s="2">
        <v>0</v>
      </c>
      <c r="F27" s="2">
        <v>33510.129999999997</v>
      </c>
      <c r="G27" s="2"/>
      <c r="H27" s="2">
        <v>33585.129999999997</v>
      </c>
    </row>
    <row r="28" spans="1:8" ht="24.95" customHeight="1" x14ac:dyDescent="0.25">
      <c r="A28" t="s">
        <v>66</v>
      </c>
      <c r="C28" t="s">
        <v>87</v>
      </c>
      <c r="D28" s="2">
        <v>500</v>
      </c>
      <c r="E28" s="2">
        <v>0</v>
      </c>
      <c r="F28" s="2">
        <v>15374.56</v>
      </c>
      <c r="G28" s="9">
        <f>SUM(F26:F28)</f>
        <v>109187.37</v>
      </c>
      <c r="H28" s="2">
        <v>15449.56</v>
      </c>
    </row>
    <row r="29" spans="1:8" ht="24.95" customHeight="1" x14ac:dyDescent="0.25">
      <c r="D29" s="2"/>
      <c r="E29" s="2"/>
      <c r="F29" s="2"/>
      <c r="G29" s="2"/>
      <c r="H29" s="2"/>
    </row>
    <row r="30" spans="1:8" ht="24.95" customHeight="1" x14ac:dyDescent="0.25">
      <c r="A30" t="s">
        <v>28</v>
      </c>
      <c r="C30" t="s">
        <v>19</v>
      </c>
      <c r="D30" s="2">
        <v>650</v>
      </c>
      <c r="E30" s="2">
        <v>0</v>
      </c>
      <c r="F30" s="2">
        <v>20917.689999999999</v>
      </c>
      <c r="G30" s="2"/>
      <c r="H30" s="2">
        <v>20992.69</v>
      </c>
    </row>
    <row r="31" spans="1:8" ht="24.95" customHeight="1" x14ac:dyDescent="0.25">
      <c r="A31" t="s">
        <v>28</v>
      </c>
      <c r="C31" t="s">
        <v>19</v>
      </c>
      <c r="D31" s="2">
        <v>1350</v>
      </c>
      <c r="E31" s="2">
        <v>0</v>
      </c>
      <c r="F31" s="2">
        <v>54407.63</v>
      </c>
      <c r="G31" s="2"/>
      <c r="H31" s="2">
        <v>54482.63</v>
      </c>
    </row>
    <row r="32" spans="1:8" ht="24.95" customHeight="1" x14ac:dyDescent="0.25">
      <c r="A32" t="s">
        <v>28</v>
      </c>
      <c r="C32" t="s">
        <v>19</v>
      </c>
      <c r="D32" s="2">
        <v>1050</v>
      </c>
      <c r="E32" s="2">
        <v>0</v>
      </c>
      <c r="F32" s="2">
        <v>42694.93</v>
      </c>
      <c r="G32" s="9">
        <f>SUM(F30:F32)</f>
        <v>118020.25</v>
      </c>
      <c r="H32" s="2">
        <v>42769.93</v>
      </c>
    </row>
    <row r="33" spans="1:8" ht="24.95" customHeight="1" x14ac:dyDescent="0.25">
      <c r="D33" s="2"/>
      <c r="E33" s="2"/>
      <c r="F33" s="2"/>
      <c r="G33" s="2"/>
      <c r="H33" s="2"/>
    </row>
    <row r="34" spans="1:8" ht="24.95" customHeight="1" x14ac:dyDescent="0.25">
      <c r="A34" t="s">
        <v>51</v>
      </c>
      <c r="C34" t="s">
        <v>45</v>
      </c>
      <c r="D34" s="2">
        <v>850</v>
      </c>
      <c r="E34" s="2">
        <v>0</v>
      </c>
      <c r="F34" s="9">
        <v>31057.439999999999</v>
      </c>
      <c r="G34" s="2"/>
      <c r="H34" s="2">
        <v>31132.44</v>
      </c>
    </row>
    <row r="35" spans="1:8" ht="24.95" customHeight="1" x14ac:dyDescent="0.25">
      <c r="D35" s="2"/>
      <c r="E35" s="2"/>
      <c r="F35" s="2"/>
      <c r="G35" s="2"/>
      <c r="H35" s="2"/>
    </row>
    <row r="36" spans="1:8" ht="24.95" customHeight="1" x14ac:dyDescent="0.25">
      <c r="A36" t="s">
        <v>86</v>
      </c>
      <c r="C36" t="s">
        <v>19</v>
      </c>
      <c r="D36" s="2">
        <v>850</v>
      </c>
      <c r="E36" s="2">
        <v>0</v>
      </c>
      <c r="F36" s="2">
        <v>33902.17</v>
      </c>
      <c r="G36" s="2"/>
      <c r="H36" s="2">
        <v>33977.17</v>
      </c>
    </row>
    <row r="37" spans="1:8" ht="24.95" customHeight="1" x14ac:dyDescent="0.25">
      <c r="A37" t="s">
        <v>86</v>
      </c>
      <c r="C37" t="s">
        <v>87</v>
      </c>
      <c r="D37" s="2">
        <v>950</v>
      </c>
      <c r="E37" s="2">
        <v>0</v>
      </c>
      <c r="F37" s="2">
        <v>36587.550000000003</v>
      </c>
      <c r="G37" s="9">
        <f>SUM(F36:F37)</f>
        <v>70489.72</v>
      </c>
      <c r="H37" s="2">
        <v>36662.550000000003</v>
      </c>
    </row>
    <row r="38" spans="1:8" ht="24.95" customHeight="1" x14ac:dyDescent="0.25">
      <c r="D38" s="2"/>
      <c r="E38" s="2"/>
      <c r="F38" s="2"/>
      <c r="G38" s="2"/>
      <c r="H38" s="2"/>
    </row>
    <row r="39" spans="1:8" ht="24.95" customHeight="1" x14ac:dyDescent="0.25">
      <c r="A39" t="s">
        <v>75</v>
      </c>
      <c r="C39" t="s">
        <v>45</v>
      </c>
      <c r="D39" s="2">
        <v>1350</v>
      </c>
      <c r="E39" s="2">
        <v>0</v>
      </c>
      <c r="F39" s="9">
        <v>66712.38</v>
      </c>
      <c r="G39" s="2"/>
      <c r="H39" s="2">
        <v>66787.38</v>
      </c>
    </row>
    <row r="40" spans="1:8" ht="24.95" customHeight="1" x14ac:dyDescent="0.25">
      <c r="D40" s="2"/>
      <c r="E40" s="2"/>
      <c r="F40" s="2"/>
      <c r="G40" s="2"/>
      <c r="H40" s="2"/>
    </row>
    <row r="41" spans="1:8" ht="24.95" customHeight="1" x14ac:dyDescent="0.25">
      <c r="A41" t="s">
        <v>116</v>
      </c>
      <c r="C41" t="s">
        <v>87</v>
      </c>
      <c r="D41" s="2">
        <v>850</v>
      </c>
      <c r="E41" s="2">
        <v>0</v>
      </c>
      <c r="F41" s="9">
        <v>34362</v>
      </c>
      <c r="G41" s="2"/>
      <c r="H41" s="2">
        <v>34437</v>
      </c>
    </row>
    <row r="42" spans="1:8" ht="24.95" customHeight="1" x14ac:dyDescent="0.25">
      <c r="D42" s="2"/>
      <c r="E42" s="2"/>
      <c r="F42" s="9"/>
      <c r="G42" s="2"/>
      <c r="H42" s="2"/>
    </row>
    <row r="43" spans="1:8" ht="24.95" customHeight="1" x14ac:dyDescent="0.25">
      <c r="A43" t="s">
        <v>32</v>
      </c>
      <c r="C43" t="s">
        <v>19</v>
      </c>
      <c r="D43" s="2">
        <v>1350</v>
      </c>
      <c r="E43" s="2">
        <v>0</v>
      </c>
      <c r="F43" s="9">
        <v>50060.08</v>
      </c>
      <c r="G43" s="2"/>
      <c r="H43" s="2">
        <v>50135.08</v>
      </c>
    </row>
    <row r="44" spans="1:8" ht="24.95" customHeight="1" x14ac:dyDescent="0.25">
      <c r="D44" s="2"/>
      <c r="E44" s="2"/>
      <c r="F44" s="2"/>
      <c r="G44" s="2"/>
      <c r="H44" s="2"/>
    </row>
    <row r="45" spans="1:8" x14ac:dyDescent="0.25">
      <c r="A45" s="1"/>
      <c r="B45" s="1"/>
      <c r="C45" s="1"/>
      <c r="D45" s="3">
        <f>SUM(D4:D43)</f>
        <v>22600</v>
      </c>
      <c r="E45" s="3">
        <f>SUM(E4:E43)</f>
        <v>0</v>
      </c>
      <c r="F45" s="3">
        <f>SUM(F4:F43)</f>
        <v>927876.4</v>
      </c>
      <c r="G45" s="3"/>
      <c r="H45" s="3">
        <f>SUM(H4:H43)</f>
        <v>929676.4</v>
      </c>
    </row>
  </sheetData>
  <mergeCells count="2">
    <mergeCell ref="A2:D2"/>
    <mergeCell ref="E2:H2"/>
  </mergeCells>
  <pageMargins left="0.7" right="0.7" top="0.75" bottom="0.75" header="0.3" footer="0.3"/>
  <pageSetup scale="76" fitToHeight="0" orientation="landscape" r:id="rId1"/>
  <rowBreaks count="1" manualBreakCount="1">
    <brk id="2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5438-8AC2-4769-849A-0BC00F5EFD83}">
  <sheetPr>
    <pageSetUpPr fitToPage="1"/>
  </sheetPr>
  <dimension ref="A1:F26"/>
  <sheetViews>
    <sheetView workbookViewId="0">
      <selection activeCell="I23" sqref="I23"/>
    </sheetView>
  </sheetViews>
  <sheetFormatPr defaultRowHeight="15" x14ac:dyDescent="0.25"/>
  <cols>
    <col min="1" max="1" width="17.7109375" customWidth="1"/>
    <col min="2" max="2" width="11.7109375" customWidth="1"/>
    <col min="3" max="3" width="14.7109375" customWidth="1"/>
    <col min="4" max="4" width="12.28515625" customWidth="1"/>
    <col min="5" max="5" width="19.5703125" customWidth="1"/>
    <col min="6" max="6" width="25.28515625" customWidth="1"/>
  </cols>
  <sheetData>
    <row r="1" spans="1:6" x14ac:dyDescent="0.25">
      <c r="D1" s="4"/>
      <c r="F1" s="4">
        <v>45869.999988425923</v>
      </c>
    </row>
    <row r="2" spans="1:6" x14ac:dyDescent="0.25">
      <c r="A2" s="5" t="s">
        <v>0</v>
      </c>
      <c r="B2" s="6"/>
      <c r="C2" s="6"/>
      <c r="D2" s="7" t="s">
        <v>125</v>
      </c>
      <c r="E2" s="6"/>
      <c r="F2" s="6"/>
    </row>
    <row r="3" spans="1:6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48</v>
      </c>
      <c r="B4" t="s">
        <v>49</v>
      </c>
      <c r="C4" t="s">
        <v>50</v>
      </c>
      <c r="E4" t="s">
        <v>51</v>
      </c>
    </row>
    <row r="5" spans="1:6" ht="24.95" customHeight="1" x14ac:dyDescent="0.25">
      <c r="A5" t="s">
        <v>54</v>
      </c>
      <c r="B5" t="s">
        <v>49</v>
      </c>
      <c r="C5" t="s">
        <v>55</v>
      </c>
      <c r="E5" t="s">
        <v>56</v>
      </c>
    </row>
    <row r="6" spans="1:6" ht="24.95" customHeight="1" x14ac:dyDescent="0.25">
      <c r="A6" t="s">
        <v>69</v>
      </c>
      <c r="B6" t="s">
        <v>49</v>
      </c>
      <c r="C6" t="s">
        <v>70</v>
      </c>
      <c r="E6" t="s">
        <v>66</v>
      </c>
    </row>
    <row r="7" spans="1:6" ht="24.95" customHeight="1" x14ac:dyDescent="0.25">
      <c r="A7" t="s">
        <v>80</v>
      </c>
      <c r="B7" t="s">
        <v>49</v>
      </c>
      <c r="C7" t="s">
        <v>81</v>
      </c>
      <c r="E7" t="s">
        <v>82</v>
      </c>
    </row>
    <row r="8" spans="1:6" ht="24.95" customHeight="1" x14ac:dyDescent="0.25">
      <c r="A8" t="s">
        <v>94</v>
      </c>
      <c r="B8" t="s">
        <v>49</v>
      </c>
      <c r="C8" t="s">
        <v>95</v>
      </c>
      <c r="E8" t="s">
        <v>66</v>
      </c>
    </row>
    <row r="9" spans="1:6" ht="24.95" customHeight="1" x14ac:dyDescent="0.25">
      <c r="A9" t="s">
        <v>114</v>
      </c>
      <c r="B9" t="s">
        <v>49</v>
      </c>
      <c r="C9" t="s">
        <v>115</v>
      </c>
      <c r="E9" t="s">
        <v>116</v>
      </c>
    </row>
    <row r="10" spans="1:6" x14ac:dyDescent="0.25">
      <c r="A10" s="1"/>
      <c r="B10" s="1"/>
      <c r="C10" s="1" t="s">
        <v>149</v>
      </c>
      <c r="D10" s="1"/>
      <c r="E10" s="1"/>
      <c r="F10" s="1"/>
    </row>
    <row r="16" spans="1:6" x14ac:dyDescent="0.25">
      <c r="A16" t="s">
        <v>150</v>
      </c>
      <c r="B16" s="10"/>
      <c r="C16" s="10"/>
      <c r="D16" s="10"/>
      <c r="E16" s="10"/>
    </row>
    <row r="21" spans="1:5" x14ac:dyDescent="0.25">
      <c r="A21" t="s">
        <v>151</v>
      </c>
      <c r="B21" s="10"/>
      <c r="C21" s="10"/>
      <c r="D21" s="10"/>
      <c r="E21" s="10"/>
    </row>
    <row r="26" spans="1:5" x14ac:dyDescent="0.25">
      <c r="A26" t="s">
        <v>152</v>
      </c>
      <c r="B26" s="10"/>
      <c r="C26" s="10"/>
    </row>
  </sheetData>
  <mergeCells count="2">
    <mergeCell ref="A2:C2"/>
    <mergeCell ref="D2:F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2025-07-31T19:21:28Z</cp:lastPrinted>
  <dcterms:created xsi:type="dcterms:W3CDTF">2025-07-31T18:51:39Z</dcterms:created>
  <dcterms:modified xsi:type="dcterms:W3CDTF">2025-07-31T19:27:16Z</dcterms:modified>
</cp:coreProperties>
</file>