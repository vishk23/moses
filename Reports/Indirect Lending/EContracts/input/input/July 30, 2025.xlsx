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17AC8C81-6AED-44FB-B50F-33663FA08FC1}" xr6:coauthVersionLast="47" xr6:coauthVersionMax="47" xr10:uidLastSave="{00000000-0000-0000-0000-000000000000}"/>
  <bookViews>
    <workbookView xWindow="0" yWindow="600" windowWidth="29040" windowHeight="1560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6" i="1"/>
  <c r="F19" i="1"/>
  <c r="F25" i="1"/>
  <c r="H19" i="2"/>
  <c r="H27" i="1"/>
  <c r="H26" i="1"/>
  <c r="E26" i="1"/>
  <c r="D26" i="1"/>
  <c r="C26" i="1"/>
</calcChain>
</file>

<file path=xl/sharedStrings.xml><?xml version="1.0" encoding="utf-8"?>
<sst xmlns="http://schemas.openxmlformats.org/spreadsheetml/2006/main" count="207" uniqueCount="114">
  <si>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</si>
  <si>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</si>
  <si>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</si>
  <si>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</si>
  <si>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</si>
  <si>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</si>
  <si>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</si>
  <si>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</si>
  <si>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</si>
  <si>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</si>
  <si>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AutoMax Preowned(Framingham)</t>
  </si>
  <si>
    <t>Neli Oliveira</t>
  </si>
  <si>
    <t>Hiller Co Inc</t>
  </si>
  <si>
    <t>Marlene Braganca</t>
  </si>
  <si>
    <t>Mastria Kia</t>
  </si>
  <si>
    <t>Patriot Auto Group Inc d/b/a</t>
  </si>
  <si>
    <t>RAH FALL RIVER VW, LLC</t>
  </si>
  <si>
    <t>Richard Lundgren, Inc. d/b/a</t>
  </si>
  <si>
    <t>Saccucci Honda</t>
  </si>
  <si>
    <t>T F Murphy Enterprises Inc</t>
  </si>
  <si>
    <t># 15</t>
  </si>
  <si>
    <t>OSTER</t>
  </si>
  <si>
    <t>GIACOMOZIURELLA@GMAIL.COM</t>
  </si>
  <si>
    <t>ZIURELLA, GIACOMO</t>
  </si>
  <si>
    <t>Paper</t>
  </si>
  <si>
    <t>DealerTrack</t>
  </si>
  <si>
    <t>151208016</t>
  </si>
  <si>
    <t>SANBORN</t>
  </si>
  <si>
    <t>SUZANNE.DEMARCO2@VERIZON.NET</t>
  </si>
  <si>
    <t>DEMARCO, SUZANNE</t>
  </si>
  <si>
    <t>E Contract</t>
  </si>
  <si>
    <t>151208008e</t>
  </si>
  <si>
    <t>KUPSTAS</t>
  </si>
  <si>
    <t>LORANGE</t>
  </si>
  <si>
    <t>BERNARDM20@COMCAST.NET</t>
  </si>
  <si>
    <t>bernardm20@comcast.net</t>
  </si>
  <si>
    <t>MCGEARY, SUSAN</t>
  </si>
  <si>
    <t>MCGEARY, BERNARD</t>
  </si>
  <si>
    <t>Route One</t>
  </si>
  <si>
    <t>151207985e</t>
  </si>
  <si>
    <t>McKay</t>
  </si>
  <si>
    <t>BFETTERMAN78@GMAIL.COM</t>
  </si>
  <si>
    <t>FETTERMAN, Benjamin</t>
  </si>
  <si>
    <t>151207943e</t>
  </si>
  <si>
    <t>Cutcher</t>
  </si>
  <si>
    <t>Mackenzie</t>
  </si>
  <si>
    <t>SSOWDEN627@YAHOO.COM</t>
  </si>
  <si>
    <t>SWSOWDEN@GMAIL.COM</t>
  </si>
  <si>
    <t>SOWDEN, SUSAN</t>
  </si>
  <si>
    <t>SOWDEN, SCOTT</t>
  </si>
  <si>
    <t>151207935e</t>
  </si>
  <si>
    <t>J.S. LEMIEUX AND SONS CO., INC.</t>
  </si>
  <si>
    <t>ORCUTT</t>
  </si>
  <si>
    <t>JS.LEMSONS@YAHOO.COM</t>
  </si>
  <si>
    <t>LEMIEUX, JOSEPH</t>
  </si>
  <si>
    <t>151207919e</t>
  </si>
  <si>
    <t>FREEMAN</t>
  </si>
  <si>
    <t>CARLSON, TIMOTHY</t>
  </si>
  <si>
    <t>151207901e</t>
  </si>
  <si>
    <t>Pederzini</t>
  </si>
  <si>
    <t>Marzilli</t>
  </si>
  <si>
    <t>willcauchon@gmail.com</t>
  </si>
  <si>
    <t>CAUCHON, RICHARD</t>
  </si>
  <si>
    <t>CAUCHON, WILLIAM</t>
  </si>
  <si>
    <t>151207894e</t>
  </si>
  <si>
    <t>TAM</t>
  </si>
  <si>
    <t>MA</t>
  </si>
  <si>
    <t>ASHLEYJEE31@GMAIL.COM</t>
  </si>
  <si>
    <t>alanchen309@gmail.com</t>
  </si>
  <si>
    <t>JEE, ASHLEY</t>
  </si>
  <si>
    <t>CHEN, ALAN</t>
  </si>
  <si>
    <t>151207878e</t>
  </si>
  <si>
    <t>Perrelli</t>
  </si>
  <si>
    <t>KCOUCH37@AOL.COM</t>
  </si>
  <si>
    <t>COUTCHER, KELLY</t>
  </si>
  <si>
    <t>151207852e</t>
  </si>
  <si>
    <t>DAROS</t>
  </si>
  <si>
    <t>DAROS, ADELSON</t>
  </si>
  <si>
    <t>151207844e</t>
  </si>
  <si>
    <t>GRABOWSKI</t>
  </si>
  <si>
    <t>nymanmatt@yahoo.com</t>
  </si>
  <si>
    <t>NYMAN, MATTHEW</t>
  </si>
  <si>
    <t>151207828e</t>
  </si>
  <si>
    <t>Del Raye</t>
  </si>
  <si>
    <t>DMPILLION@GMAIL.COM</t>
  </si>
  <si>
    <t>PILLION, DANIELLE</t>
  </si>
  <si>
    <t>151207802e</t>
  </si>
  <si>
    <t>Munsill</t>
  </si>
  <si>
    <t>SARALIVINGSTONOLIVEIRA@GMAIL.COM</t>
  </si>
  <si>
    <t>LIVINGSTON OLIVEIRA, SARA</t>
  </si>
  <si>
    <t>151207787e</t>
  </si>
  <si>
    <t>Halligan</t>
  </si>
  <si>
    <t>jgeoghan@</t>
  </si>
  <si>
    <t>GEOGHAN, JOHN</t>
  </si>
  <si>
    <t>151207711e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</si>
  <si>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</si>
  <si>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</si>
  <si>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</si>
  <si>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</si>
  <si>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</si>
  <si>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</si>
  <si>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</si>
  <si>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</si>
  <si>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</si>
  <si>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</si>
  <si>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</si>
  <si>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</t>
  </si>
  <si>
    <t>Received By_________________________________________________________________________</t>
  </si>
  <si>
    <t>Delivered By________________________________________________________________________</t>
  </si>
  <si>
    <t># 1</t>
  </si>
  <si>
    <t>Funding Worksheet - Signoff Version</t>
  </si>
  <si>
    <t>Column1</t>
  </si>
  <si>
    <t>Column2</t>
  </si>
  <si>
    <t>5099     5689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</si>
</sst>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50E15243-352D-49BD-941C-FE55B232904D}"/>
  </cellStyles>
  <dxfs count="25"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7" totalsRowCount="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6022C038-7338-4151-9505-BE2B2F623134}" name="Column1" dataDxfId="0"/>
    <tableColumn id="8" xr3:uid="{755B07D9-A943-4B2A-A132-80D3C3615786}" name="Column2" dataDxfId="1"/>
    <tableColumn id="6" xr3:uid="{00000000-0010-0000-0000-000006000000}" name="Contracted Amount Financed" totalsRowFunction="custom">
      <totalsRowFormula>COUNT(H4:H25)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B7759D-54F0-4EC5-AC67-CDAEB8745DC6}" name="Table_13" displayName="Table_13" ref="A3:L19" headerRowDxfId="12" dataDxfId="10" totalsRowDxfId="11">
  <tableColumns count="12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E79CAC-43D4-4455-B3EF-5E4116CB6269}" name="Table_14" displayName="Table_14" ref="A3:E5" headerRowDxfId="4" dataDxfId="2" totalsRowDxfId="3">
  <tableColumns count="5">
    <tableColumn id="1" xr3:uid="{00000000-0010-0000-0000-000001000000}" name="Account Number" dataDxfId="9"/>
    <tableColumn id="2" xr3:uid="{00000000-0010-0000-0000-000002000000}" name="Contract Type" dataDxfId="8"/>
    <tableColumn id="3" xr3:uid="{00000000-0010-0000-0000-000003000000}" name="Applicant Name" dataDxfId="7"/>
    <tableColumn id="4" xr3:uid="{00000000-0010-0000-0000-000004000000}" name="Co-Applicant Name" dataDxfId="6"/>
    <tableColumn id="5" xr3:uid="{00000000-0010-0000-0000-000005000000}" name="Dealer 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3" topLeftCell="A4" activePane="bottomLeft" state="frozen"/>
      <selection pane="bottomLeft" activeCell="F25" sqref="F25"/>
    </sheetView>
  </sheetViews>
  <sheetFormatPr defaultRowHeight="15" x14ac:dyDescent="0.25"/>
  <cols>
    <col min="1" max="1" width="31.85546875" bestFit="1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45868</v>
      </c>
      <c r="E1" t="s">
        <v>2</v>
      </c>
      <c r="H1" s="4">
        <v>45868.999988425923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111</v>
      </c>
      <c r="G3" t="s">
        <v>112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23181.81</v>
      </c>
      <c r="F4" s="2"/>
      <c r="G4" s="2"/>
      <c r="H4" s="2">
        <v>23256.81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950</v>
      </c>
      <c r="D6" s="2">
        <v>0</v>
      </c>
      <c r="E6" s="2">
        <v>37993.06</v>
      </c>
      <c r="F6" s="2"/>
      <c r="G6" s="2"/>
      <c r="H6" s="2">
        <v>38068.06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13</v>
      </c>
      <c r="C8" s="2">
        <v>850</v>
      </c>
      <c r="D8" s="2">
        <v>0</v>
      </c>
      <c r="E8" s="2">
        <v>30297.98</v>
      </c>
      <c r="F8" s="2"/>
      <c r="G8" s="2" t="s">
        <v>113</v>
      </c>
      <c r="H8" s="2">
        <v>30372.98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13</v>
      </c>
      <c r="C10" s="2">
        <v>750</v>
      </c>
      <c r="D10" s="2">
        <v>0</v>
      </c>
      <c r="E10" s="2">
        <v>26435.38</v>
      </c>
      <c r="F10" s="2"/>
      <c r="G10" s="2"/>
      <c r="H10" s="2">
        <v>26510.38</v>
      </c>
    </row>
    <row r="11" spans="1:8" x14ac:dyDescent="0.25">
      <c r="A11" t="s">
        <v>15</v>
      </c>
      <c r="B11" t="s">
        <v>13</v>
      </c>
      <c r="C11" s="2">
        <v>950</v>
      </c>
      <c r="D11" s="2">
        <v>0</v>
      </c>
      <c r="E11" s="2">
        <v>38739.46</v>
      </c>
      <c r="F11" s="2"/>
      <c r="G11" s="2"/>
      <c r="H11" s="2">
        <v>38814.46</v>
      </c>
    </row>
    <row r="12" spans="1:8" x14ac:dyDescent="0.25">
      <c r="A12" t="s">
        <v>15</v>
      </c>
      <c r="B12" t="s">
        <v>11</v>
      </c>
      <c r="C12" s="2">
        <v>950</v>
      </c>
      <c r="D12" s="2">
        <v>0</v>
      </c>
      <c r="E12" s="2">
        <v>36209.94</v>
      </c>
      <c r="F12" s="2"/>
      <c r="G12" s="2"/>
      <c r="H12" s="2">
        <v>36284.94</v>
      </c>
    </row>
    <row r="13" spans="1:8" x14ac:dyDescent="0.25">
      <c r="A13" t="s">
        <v>15</v>
      </c>
      <c r="B13" t="s">
        <v>11</v>
      </c>
      <c r="C13" s="2">
        <v>300</v>
      </c>
      <c r="D13" s="2">
        <v>0</v>
      </c>
      <c r="E13" s="2">
        <v>12900.5</v>
      </c>
      <c r="F13" s="2">
        <f>SUM(E10:E13)</f>
        <v>114285.28</v>
      </c>
      <c r="G13" s="2"/>
      <c r="H13" s="2">
        <v>12975.5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16</v>
      </c>
      <c r="B15" t="s">
        <v>13</v>
      </c>
      <c r="C15" s="2">
        <v>750</v>
      </c>
      <c r="D15" s="2">
        <v>0</v>
      </c>
      <c r="E15" s="2">
        <v>28007.64</v>
      </c>
      <c r="F15" s="2"/>
      <c r="G15" s="2"/>
      <c r="H15" s="2">
        <v>28082.639999999999</v>
      </c>
    </row>
    <row r="16" spans="1:8" x14ac:dyDescent="0.25">
      <c r="A16" t="s">
        <v>16</v>
      </c>
      <c r="B16" t="s">
        <v>13</v>
      </c>
      <c r="C16" s="2">
        <v>1150</v>
      </c>
      <c r="D16" s="2">
        <v>0</v>
      </c>
      <c r="E16" s="2">
        <v>47987.43</v>
      </c>
      <c r="F16" s="2">
        <f>SUM(E15:E16)</f>
        <v>75995.070000000007</v>
      </c>
      <c r="G16" s="2"/>
      <c r="H16" s="2">
        <v>48062.43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17</v>
      </c>
      <c r="B18" t="s">
        <v>13</v>
      </c>
      <c r="C18" s="2">
        <v>850</v>
      </c>
      <c r="D18" s="2">
        <v>0</v>
      </c>
      <c r="E18" s="2">
        <v>34233.31</v>
      </c>
      <c r="F18" s="2"/>
      <c r="G18" s="2"/>
      <c r="H18" s="2">
        <v>34308.31</v>
      </c>
    </row>
    <row r="19" spans="1:8" x14ac:dyDescent="0.25">
      <c r="A19" t="s">
        <v>17</v>
      </c>
      <c r="B19" t="s">
        <v>11</v>
      </c>
      <c r="C19" s="2">
        <v>650</v>
      </c>
      <c r="D19" s="2">
        <v>0</v>
      </c>
      <c r="E19" s="2">
        <v>21197</v>
      </c>
      <c r="F19" s="2">
        <f>SUM(E18:E19)</f>
        <v>55430.31</v>
      </c>
      <c r="G19" s="2"/>
      <c r="H19" s="2">
        <v>21272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18</v>
      </c>
      <c r="B21" t="s">
        <v>13</v>
      </c>
      <c r="C21" s="2">
        <v>950</v>
      </c>
      <c r="D21" s="2">
        <v>0</v>
      </c>
      <c r="E21" s="2">
        <v>36960.33</v>
      </c>
      <c r="F21" s="2"/>
      <c r="G21" s="2"/>
      <c r="H21" s="2">
        <v>37035.33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19</v>
      </c>
      <c r="B23" t="s">
        <v>13</v>
      </c>
      <c r="C23" s="2">
        <v>1050</v>
      </c>
      <c r="D23" s="2">
        <v>0</v>
      </c>
      <c r="E23" s="2">
        <v>40103.99</v>
      </c>
      <c r="F23" s="2"/>
      <c r="G23" s="2"/>
      <c r="H23" s="2">
        <v>40178.99</v>
      </c>
    </row>
    <row r="24" spans="1:8" x14ac:dyDescent="0.25">
      <c r="A24" t="s">
        <v>19</v>
      </c>
      <c r="B24" t="s">
        <v>13</v>
      </c>
      <c r="C24" s="2">
        <v>850</v>
      </c>
      <c r="D24" s="2">
        <v>0</v>
      </c>
      <c r="E24" s="2">
        <v>31368.13</v>
      </c>
      <c r="F24" s="2"/>
      <c r="G24" s="2"/>
      <c r="H24" s="2">
        <v>31443.13</v>
      </c>
    </row>
    <row r="25" spans="1:8" x14ac:dyDescent="0.25">
      <c r="A25" t="s">
        <v>19</v>
      </c>
      <c r="B25" t="s">
        <v>13</v>
      </c>
      <c r="C25" s="2">
        <v>950</v>
      </c>
      <c r="D25" s="2">
        <v>0</v>
      </c>
      <c r="E25" s="2">
        <v>38965.5</v>
      </c>
      <c r="F25" s="2">
        <f>SUM(E23:E25)</f>
        <v>110437.62</v>
      </c>
      <c r="G25" s="2"/>
      <c r="H25" s="2">
        <v>39040.5</v>
      </c>
    </row>
    <row r="26" spans="1:8" x14ac:dyDescent="0.25">
      <c r="A26" s="1"/>
      <c r="B26" s="1"/>
      <c r="C26" s="3">
        <f>SUM(C4:C25)</f>
        <v>12600</v>
      </c>
      <c r="D26" s="3">
        <f>SUM(D4:D25)</f>
        <v>0</v>
      </c>
      <c r="E26" s="3">
        <f>SUM(E4:E25)</f>
        <v>484581.46</v>
      </c>
      <c r="F26" s="3"/>
      <c r="G26" s="3"/>
      <c r="H26" s="3">
        <f>SUM(H4:H25)</f>
        <v>485706.46</v>
      </c>
    </row>
    <row r="27" spans="1:8" x14ac:dyDescent="0.25">
      <c r="H27">
        <f>COUNT(H4:H25)</f>
        <v>15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DF8C-7E72-427D-8C52-8AC401A78016}">
  <sheetPr>
    <pageSetUpPr fitToPage="1"/>
  </sheetPr>
  <dimension ref="A1:L22"/>
  <sheetViews>
    <sheetView workbookViewId="0">
      <pane ySplit="3" topLeftCell="A4" activePane="bottomLeft" state="frozen"/>
      <selection pane="bottomLeft" activeCell="A18" sqref="A4:A1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7.42578125" style="8" bestFit="1" customWidth="1"/>
    <col min="5" max="5" width="20" style="8" bestFit="1" customWidth="1"/>
    <col min="6" max="6" width="31.85546875" style="8" bestFit="1" customWidth="1"/>
    <col min="7" max="7" width="17.7109375" style="8" bestFit="1" customWidth="1"/>
    <col min="8" max="8" width="17.140625" style="8" bestFit="1" customWidth="1"/>
    <col min="9" max="9" width="38.28515625" style="8" bestFit="1" customWidth="1"/>
    <col min="10" max="10" width="29.140625" style="8" bestFit="1" customWidth="1"/>
    <col min="11" max="11" width="13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45868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105</v>
      </c>
      <c r="H2" s="12"/>
      <c r="I2" s="12"/>
      <c r="J2" s="12"/>
      <c r="K2" s="12"/>
      <c r="L2" s="12"/>
    </row>
    <row r="3" spans="1:12" ht="35.1" customHeight="1" x14ac:dyDescent="0.25">
      <c r="A3" s="9" t="s">
        <v>104</v>
      </c>
      <c r="B3" s="9" t="s">
        <v>103</v>
      </c>
      <c r="C3" s="9" t="s">
        <v>102</v>
      </c>
      <c r="D3" s="9" t="s">
        <v>101</v>
      </c>
      <c r="E3" s="9" t="s">
        <v>100</v>
      </c>
      <c r="F3" s="9" t="s">
        <v>4</v>
      </c>
      <c r="G3" s="9" t="s">
        <v>5</v>
      </c>
      <c r="H3" s="9" t="s">
        <v>99</v>
      </c>
      <c r="I3" s="9" t="s">
        <v>98</v>
      </c>
      <c r="J3" s="9" t="s">
        <v>97</v>
      </c>
      <c r="K3" s="9" t="s">
        <v>96</v>
      </c>
      <c r="L3" s="9" t="s">
        <v>95</v>
      </c>
    </row>
    <row r="4" spans="1:12" ht="35.1" customHeight="1" x14ac:dyDescent="0.25">
      <c r="A4" s="9" t="s">
        <v>94</v>
      </c>
      <c r="B4" s="9" t="s">
        <v>38</v>
      </c>
      <c r="C4" s="9" t="s">
        <v>30</v>
      </c>
      <c r="D4" s="9" t="s">
        <v>93</v>
      </c>
      <c r="E4" s="9"/>
      <c r="F4" s="9" t="s">
        <v>19</v>
      </c>
      <c r="G4" s="9" t="s">
        <v>13</v>
      </c>
      <c r="H4" s="14">
        <v>40178.99</v>
      </c>
      <c r="I4" s="9" t="s">
        <v>92</v>
      </c>
      <c r="J4" s="9"/>
      <c r="K4" s="9" t="s">
        <v>91</v>
      </c>
      <c r="L4" s="9"/>
    </row>
    <row r="5" spans="1:12" ht="35.1" customHeight="1" x14ac:dyDescent="0.25">
      <c r="A5" s="9" t="s">
        <v>90</v>
      </c>
      <c r="B5" s="9" t="s">
        <v>25</v>
      </c>
      <c r="C5" s="9" t="s">
        <v>30</v>
      </c>
      <c r="D5" s="9" t="s">
        <v>89</v>
      </c>
      <c r="E5" s="9"/>
      <c r="F5" s="9" t="s">
        <v>16</v>
      </c>
      <c r="G5" s="9" t="s">
        <v>13</v>
      </c>
      <c r="H5" s="14">
        <v>28082.639999999999</v>
      </c>
      <c r="I5" s="9" t="s">
        <v>88</v>
      </c>
      <c r="J5" s="9"/>
      <c r="K5" s="9" t="s">
        <v>87</v>
      </c>
      <c r="L5" s="9"/>
    </row>
    <row r="6" spans="1:12" ht="35.1" customHeight="1" x14ac:dyDescent="0.25">
      <c r="A6" s="9" t="s">
        <v>86</v>
      </c>
      <c r="B6" s="9" t="s">
        <v>25</v>
      </c>
      <c r="C6" s="9" t="s">
        <v>30</v>
      </c>
      <c r="D6" s="9" t="s">
        <v>85</v>
      </c>
      <c r="E6" s="9"/>
      <c r="F6" s="9" t="s">
        <v>14</v>
      </c>
      <c r="G6" s="9" t="s">
        <v>13</v>
      </c>
      <c r="H6" s="14">
        <v>30372.98</v>
      </c>
      <c r="I6" s="9" t="s">
        <v>84</v>
      </c>
      <c r="J6" s="9"/>
      <c r="K6" s="9" t="s">
        <v>83</v>
      </c>
      <c r="L6" s="9"/>
    </row>
    <row r="7" spans="1:12" ht="35.1" customHeight="1" x14ac:dyDescent="0.25">
      <c r="A7" s="9" t="s">
        <v>82</v>
      </c>
      <c r="B7" s="9" t="s">
        <v>38</v>
      </c>
      <c r="C7" s="9" t="s">
        <v>30</v>
      </c>
      <c r="D7" s="9" t="s">
        <v>81</v>
      </c>
      <c r="E7" s="9"/>
      <c r="F7" s="9" t="s">
        <v>15</v>
      </c>
      <c r="G7" s="9" t="s">
        <v>13</v>
      </c>
      <c r="H7" s="14">
        <v>26510.38</v>
      </c>
      <c r="I7" s="9" t="s">
        <v>80</v>
      </c>
      <c r="J7" s="9"/>
      <c r="K7" s="9" t="s">
        <v>79</v>
      </c>
      <c r="L7" s="9"/>
    </row>
    <row r="8" spans="1:12" ht="35.1" customHeight="1" x14ac:dyDescent="0.25">
      <c r="A8" s="9" t="s">
        <v>78</v>
      </c>
      <c r="B8" s="9" t="s">
        <v>25</v>
      </c>
      <c r="C8" s="9" t="s">
        <v>30</v>
      </c>
      <c r="D8" s="9" t="s">
        <v>77</v>
      </c>
      <c r="E8" s="9"/>
      <c r="F8" s="9" t="s">
        <v>10</v>
      </c>
      <c r="G8" s="9" t="s">
        <v>11</v>
      </c>
      <c r="H8" s="14">
        <v>23256.81</v>
      </c>
      <c r="I8" s="9"/>
      <c r="J8" s="9"/>
      <c r="K8" s="9" t="s">
        <v>76</v>
      </c>
      <c r="L8" s="9"/>
    </row>
    <row r="9" spans="1:12" ht="35.1" customHeight="1" x14ac:dyDescent="0.25">
      <c r="A9" s="9" t="s">
        <v>75</v>
      </c>
      <c r="B9" s="9" t="s">
        <v>25</v>
      </c>
      <c r="C9" s="9" t="s">
        <v>30</v>
      </c>
      <c r="D9" s="9" t="s">
        <v>74</v>
      </c>
      <c r="E9" s="9"/>
      <c r="F9" s="9" t="s">
        <v>16</v>
      </c>
      <c r="G9" s="9" t="s">
        <v>13</v>
      </c>
      <c r="H9" s="14">
        <v>48062.43</v>
      </c>
      <c r="I9" s="9" t="s">
        <v>73</v>
      </c>
      <c r="J9" s="9"/>
      <c r="K9" s="9" t="s">
        <v>72</v>
      </c>
      <c r="L9" s="9"/>
    </row>
    <row r="10" spans="1:12" ht="35.1" customHeight="1" x14ac:dyDescent="0.25">
      <c r="A10" s="9" t="s">
        <v>71</v>
      </c>
      <c r="B10" s="9" t="s">
        <v>38</v>
      </c>
      <c r="C10" s="9" t="s">
        <v>30</v>
      </c>
      <c r="D10" s="9" t="s">
        <v>70</v>
      </c>
      <c r="E10" s="9" t="s">
        <v>69</v>
      </c>
      <c r="F10" s="9" t="s">
        <v>15</v>
      </c>
      <c r="G10" s="9" t="s">
        <v>11</v>
      </c>
      <c r="H10" s="14">
        <v>36284.94</v>
      </c>
      <c r="I10" s="9" t="s">
        <v>68</v>
      </c>
      <c r="J10" s="9" t="s">
        <v>67</v>
      </c>
      <c r="K10" s="9" t="s">
        <v>66</v>
      </c>
      <c r="L10" s="9" t="s">
        <v>65</v>
      </c>
    </row>
    <row r="11" spans="1:12" ht="35.1" customHeight="1" x14ac:dyDescent="0.25">
      <c r="A11" s="9" t="s">
        <v>64</v>
      </c>
      <c r="B11" s="9" t="s">
        <v>38</v>
      </c>
      <c r="C11" s="9" t="s">
        <v>30</v>
      </c>
      <c r="D11" s="9" t="s">
        <v>63</v>
      </c>
      <c r="E11" s="9" t="s">
        <v>62</v>
      </c>
      <c r="F11" s="9" t="s">
        <v>19</v>
      </c>
      <c r="G11" s="9" t="s">
        <v>13</v>
      </c>
      <c r="H11" s="14">
        <v>31443.13</v>
      </c>
      <c r="I11" s="9" t="s">
        <v>61</v>
      </c>
      <c r="J11" s="9"/>
      <c r="K11" s="9" t="s">
        <v>60</v>
      </c>
      <c r="L11" s="9" t="s">
        <v>59</v>
      </c>
    </row>
    <row r="12" spans="1:12" ht="35.1" customHeight="1" x14ac:dyDescent="0.25">
      <c r="A12" s="9" t="s">
        <v>58</v>
      </c>
      <c r="B12" s="9" t="s">
        <v>38</v>
      </c>
      <c r="C12" s="9" t="s">
        <v>30</v>
      </c>
      <c r="D12" s="9" t="s">
        <v>57</v>
      </c>
      <c r="E12" s="9"/>
      <c r="F12" s="9" t="s">
        <v>19</v>
      </c>
      <c r="G12" s="9" t="s">
        <v>13</v>
      </c>
      <c r="H12" s="14">
        <v>39040.5</v>
      </c>
      <c r="I12" s="9"/>
      <c r="J12" s="9"/>
      <c r="K12" s="9" t="s">
        <v>56</v>
      </c>
      <c r="L12" s="9"/>
    </row>
    <row r="13" spans="1:12" ht="35.1" customHeight="1" x14ac:dyDescent="0.25">
      <c r="A13" s="9" t="s">
        <v>55</v>
      </c>
      <c r="B13" s="9" t="s">
        <v>38</v>
      </c>
      <c r="C13" s="9" t="s">
        <v>30</v>
      </c>
      <c r="D13" s="9" t="s">
        <v>51</v>
      </c>
      <c r="E13" s="9" t="s">
        <v>54</v>
      </c>
      <c r="F13" s="9" t="s">
        <v>12</v>
      </c>
      <c r="G13" s="9" t="s">
        <v>13</v>
      </c>
      <c r="H13" s="14">
        <v>38068.06</v>
      </c>
      <c r="I13" s="9" t="s">
        <v>53</v>
      </c>
      <c r="J13" s="9"/>
      <c r="K13" s="9" t="s">
        <v>52</v>
      </c>
      <c r="L13" s="9"/>
    </row>
    <row r="14" spans="1:12" ht="35.1" customHeight="1" x14ac:dyDescent="0.25">
      <c r="A14" s="9" t="s">
        <v>50</v>
      </c>
      <c r="B14" s="9" t="s">
        <v>25</v>
      </c>
      <c r="C14" s="9" t="s">
        <v>30</v>
      </c>
      <c r="D14" s="9" t="s">
        <v>49</v>
      </c>
      <c r="E14" s="9" t="s">
        <v>48</v>
      </c>
      <c r="F14" s="9" t="s">
        <v>17</v>
      </c>
      <c r="G14" s="9" t="s">
        <v>13</v>
      </c>
      <c r="H14" s="14">
        <v>34308.31</v>
      </c>
      <c r="I14" s="9" t="s">
        <v>47</v>
      </c>
      <c r="J14" s="9" t="s">
        <v>46</v>
      </c>
      <c r="K14" s="9" t="s">
        <v>45</v>
      </c>
      <c r="L14" s="9" t="s">
        <v>44</v>
      </c>
    </row>
    <row r="15" spans="1:12" ht="35.1" customHeight="1" x14ac:dyDescent="0.25">
      <c r="A15" s="9" t="s">
        <v>43</v>
      </c>
      <c r="B15" s="9" t="s">
        <v>38</v>
      </c>
      <c r="C15" s="9" t="s">
        <v>30</v>
      </c>
      <c r="D15" s="9" t="s">
        <v>42</v>
      </c>
      <c r="E15" s="9"/>
      <c r="F15" s="9" t="s">
        <v>15</v>
      </c>
      <c r="G15" s="9" t="s">
        <v>13</v>
      </c>
      <c r="H15" s="14">
        <v>38814.46</v>
      </c>
      <c r="I15" s="9" t="s">
        <v>41</v>
      </c>
      <c r="J15" s="9"/>
      <c r="K15" s="9" t="s">
        <v>40</v>
      </c>
      <c r="L15" s="9"/>
    </row>
    <row r="16" spans="1:12" ht="35.1" customHeight="1" x14ac:dyDescent="0.25">
      <c r="A16" s="9" t="s">
        <v>39</v>
      </c>
      <c r="B16" s="9" t="s">
        <v>38</v>
      </c>
      <c r="C16" s="9" t="s">
        <v>30</v>
      </c>
      <c r="D16" s="9" t="s">
        <v>37</v>
      </c>
      <c r="E16" s="9" t="s">
        <v>36</v>
      </c>
      <c r="F16" s="9" t="s">
        <v>15</v>
      </c>
      <c r="G16" s="9" t="s">
        <v>11</v>
      </c>
      <c r="H16" s="14">
        <v>12975.5</v>
      </c>
      <c r="I16" s="9" t="s">
        <v>35</v>
      </c>
      <c r="J16" s="9" t="s">
        <v>34</v>
      </c>
      <c r="K16" s="9" t="s">
        <v>33</v>
      </c>
      <c r="L16" s="9" t="s">
        <v>32</v>
      </c>
    </row>
    <row r="17" spans="1:12" ht="35.1" customHeight="1" x14ac:dyDescent="0.25">
      <c r="A17" s="9" t="s">
        <v>31</v>
      </c>
      <c r="B17" s="9" t="s">
        <v>25</v>
      </c>
      <c r="C17" s="9" t="s">
        <v>30</v>
      </c>
      <c r="D17" s="9" t="s">
        <v>29</v>
      </c>
      <c r="E17" s="9"/>
      <c r="F17" s="9" t="s">
        <v>17</v>
      </c>
      <c r="G17" s="9" t="s">
        <v>11</v>
      </c>
      <c r="H17" s="14">
        <v>21272</v>
      </c>
      <c r="I17" s="9" t="s">
        <v>28</v>
      </c>
      <c r="J17" s="9"/>
      <c r="K17" s="9" t="s">
        <v>27</v>
      </c>
      <c r="L17" s="9"/>
    </row>
    <row r="18" spans="1:12" ht="35.1" customHeight="1" x14ac:dyDescent="0.25">
      <c r="A18" s="9" t="s">
        <v>26</v>
      </c>
      <c r="B18" s="9" t="s">
        <v>25</v>
      </c>
      <c r="C18" s="9" t="s">
        <v>24</v>
      </c>
      <c r="D18" s="9" t="s">
        <v>23</v>
      </c>
      <c r="E18" s="9"/>
      <c r="F18" s="9" t="s">
        <v>18</v>
      </c>
      <c r="G18" s="9" t="s">
        <v>13</v>
      </c>
      <c r="H18" s="14">
        <v>37035.33</v>
      </c>
      <c r="I18" s="9" t="s">
        <v>22</v>
      </c>
      <c r="J18" s="9"/>
      <c r="K18" s="9" t="s">
        <v>21</v>
      </c>
      <c r="L18" s="9"/>
    </row>
    <row r="19" spans="1:12" ht="35.1" customHeight="1" x14ac:dyDescent="0.25">
      <c r="A19" s="15"/>
      <c r="B19" s="15"/>
      <c r="C19" s="15"/>
      <c r="D19" s="15" t="s">
        <v>20</v>
      </c>
      <c r="E19" s="15"/>
      <c r="F19" s="15"/>
      <c r="G19" s="15"/>
      <c r="H19" s="16">
        <f>SUM(H4:H18)</f>
        <v>485706.46</v>
      </c>
      <c r="I19" s="15"/>
      <c r="J19" s="15"/>
      <c r="K19" s="15"/>
      <c r="L19" s="15"/>
    </row>
    <row r="20" spans="1:12" ht="35.1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5.1" customHeight="1" x14ac:dyDescent="0.25"/>
    <row r="22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A98B-D218-43DD-9EAA-C7E38E0DDC3A}">
  <dimension ref="A1:F29"/>
  <sheetViews>
    <sheetView workbookViewId="0">
      <pane ySplit="3" topLeftCell="A4" activePane="bottomLeft" state="frozen"/>
      <selection pane="bottomLeft" activeCell="D17" sqref="D17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7.42578125" style="8" bestFit="1" customWidth="1"/>
    <col min="4" max="4" width="20" style="8" bestFit="1" customWidth="1"/>
    <col min="5" max="5" width="31.85546875" style="8" bestFit="1" customWidth="1"/>
    <col min="6" max="16384" width="9.140625" style="8"/>
  </cols>
  <sheetData>
    <row r="1" spans="1:6" x14ac:dyDescent="0.25">
      <c r="A1" s="9"/>
      <c r="B1" s="9"/>
      <c r="C1" s="9" t="s">
        <v>3</v>
      </c>
      <c r="D1" s="10">
        <v>45868</v>
      </c>
      <c r="E1" s="9" t="s">
        <v>2</v>
      </c>
      <c r="F1" s="9"/>
    </row>
    <row r="2" spans="1:6" x14ac:dyDescent="0.25">
      <c r="A2" s="11" t="s">
        <v>0</v>
      </c>
      <c r="B2" s="12"/>
      <c r="C2" s="12"/>
      <c r="D2" s="13" t="s">
        <v>110</v>
      </c>
      <c r="E2" s="12"/>
      <c r="F2" s="9"/>
    </row>
    <row r="3" spans="1:6" x14ac:dyDescent="0.25">
      <c r="A3" s="9" t="s">
        <v>104</v>
      </c>
      <c r="B3" s="9" t="s">
        <v>102</v>
      </c>
      <c r="C3" s="9" t="s">
        <v>101</v>
      </c>
      <c r="D3" s="9" t="s">
        <v>100</v>
      </c>
      <c r="E3" s="9" t="s">
        <v>4</v>
      </c>
      <c r="F3" s="9"/>
    </row>
    <row r="4" spans="1:6" x14ac:dyDescent="0.25">
      <c r="A4" s="9" t="s">
        <v>26</v>
      </c>
      <c r="B4" s="9" t="s">
        <v>24</v>
      </c>
      <c r="C4" s="9" t="s">
        <v>23</v>
      </c>
      <c r="D4" s="9"/>
      <c r="E4" s="9" t="s">
        <v>18</v>
      </c>
      <c r="F4" s="9"/>
    </row>
    <row r="5" spans="1:6" x14ac:dyDescent="0.25">
      <c r="A5" s="15"/>
      <c r="B5" s="15"/>
      <c r="C5" s="15" t="s">
        <v>109</v>
      </c>
      <c r="D5" s="15"/>
      <c r="E5" s="15"/>
      <c r="F5" s="9"/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9" t="s">
        <v>108</v>
      </c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 t="s">
        <v>107</v>
      </c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 t="s">
        <v>106</v>
      </c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</sheetData>
  <mergeCells count="2">
    <mergeCell ref="A2:C2"/>
    <mergeCell ref="D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2025-07-30T18:10:40Z</cp:lastPrinted>
  <dcterms:created xsi:type="dcterms:W3CDTF">2025-07-30T17:25:57Z</dcterms:created>
  <dcterms:modified xsi:type="dcterms:W3CDTF">2025-07-30T18:21:02Z</dcterms:modified>
</cp:coreProperties>
</file>