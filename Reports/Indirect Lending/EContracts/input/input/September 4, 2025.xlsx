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B873718A-63FC-4287-B934-BCE89975D283}" xr6:coauthVersionLast="47" xr6:coauthVersionMax="47" xr10:uidLastSave="{00000000-0000-0000-0000-000000000000}"/>
  <bookViews>
    <workbookView xWindow="31725" yWindow="135" windowWidth="22545" windowHeight="1470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2" l="1"/>
  <c r="G38" i="2"/>
  <c r="G32" i="2"/>
  <c r="G29" i="2"/>
  <c r="H49" i="2"/>
  <c r="F49" i="2"/>
  <c r="E49" i="2"/>
  <c r="D49" i="2"/>
  <c r="H29" i="1" l="1"/>
</calcChain>
</file>

<file path=xl/sharedStrings.xml><?xml version="1.0" encoding="utf-8"?>
<sst xmlns="http://schemas.openxmlformats.org/spreadsheetml/2006/main" count="294" uniqueCount="159">
  <si>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</si>
  <si>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</si>
  <si>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</si>
  <si>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</si>
  <si>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</si>
  <si>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</si>
  <si>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</si>
  <si>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</si>
  <si>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</si>
  <si>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</si>
  <si>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</si>
  <si>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App MMN</t>
  </si>
  <si>
    <t>Co-App MMN</t>
  </si>
  <si>
    <t>DealerTrack</t>
  </si>
  <si>
    <t>E Contract</t>
  </si>
  <si>
    <t>LEPINE, LINDA</t>
  </si>
  <si>
    <t>Richard Lundgren, Inc. d/b/a</t>
  </si>
  <si>
    <t>Marlene Braganca</t>
  </si>
  <si>
    <t>LINDYLU0917@CHARTER.NET</t>
  </si>
  <si>
    <t>Picard</t>
  </si>
  <si>
    <t>Route One</t>
  </si>
  <si>
    <t>BIALOBRZEWSKI, SHANE</t>
  </si>
  <si>
    <t>Mathieu Ford Sales, Inc</t>
  </si>
  <si>
    <t>SHANEBALASKO@VERIZON.NET</t>
  </si>
  <si>
    <t>Maga</t>
  </si>
  <si>
    <t>COYNE, DEREK</t>
  </si>
  <si>
    <t>Priority Automotive LLC</t>
  </si>
  <si>
    <t>DEKKING@COMCAST.NET</t>
  </si>
  <si>
    <t>O'Donnell</t>
  </si>
  <si>
    <t>VICINO, MICHAEL</t>
  </si>
  <si>
    <t>T F Murphy Enterprises Inc</t>
  </si>
  <si>
    <t>mjvicino@gmail.com</t>
  </si>
  <si>
    <t>Cyr</t>
  </si>
  <si>
    <t>MORAN, JOSEPH</t>
  </si>
  <si>
    <t>MORAN, KELSEA</t>
  </si>
  <si>
    <t>Metro Honda</t>
  </si>
  <si>
    <t>Gregoire</t>
  </si>
  <si>
    <t>Regan</t>
  </si>
  <si>
    <t>151220656</t>
  </si>
  <si>
    <t>Paper</t>
  </si>
  <si>
    <t>DURGIN, BARBARA</t>
  </si>
  <si>
    <t>Planet Automotive Sales LLC</t>
  </si>
  <si>
    <t>Rachel Gorham</t>
  </si>
  <si>
    <t>ATTYDURGIN@COMCAST.NET</t>
  </si>
  <si>
    <t>NANTUCKET</t>
  </si>
  <si>
    <t>PYTLARZ, JOANNA</t>
  </si>
  <si>
    <t>j.pytlarz@yahoo.com</t>
  </si>
  <si>
    <t>Grzywna</t>
  </si>
  <si>
    <t>MEDEIROS, GAILELYN</t>
  </si>
  <si>
    <t>RAH FALL RIVER VW, LLC</t>
  </si>
  <si>
    <t>GAILMED03@GMAIL.COM</t>
  </si>
  <si>
    <t>DECHAINE</t>
  </si>
  <si>
    <t>GASBARRO, GABRIELLE</t>
  </si>
  <si>
    <t>Tasca Automotive Group Rt 6 Two</t>
  </si>
  <si>
    <t>Neli Oliveira</t>
  </si>
  <si>
    <t>GABBYGASBARRO12@GMAIL.COM</t>
  </si>
  <si>
    <t>RECA</t>
  </si>
  <si>
    <t>ACHILOV, DILSHOD</t>
  </si>
  <si>
    <t>ACHILOV, SAYID</t>
  </si>
  <si>
    <t>SACHILOV24@GMAIL.COM</t>
  </si>
  <si>
    <t>Kambar</t>
  </si>
  <si>
    <t>kAYUMOVA</t>
  </si>
  <si>
    <t>OBALIL, DEBORAH</t>
  </si>
  <si>
    <t>Anchor Subaru</t>
  </si>
  <si>
    <t>DEBORAH@OBALIL.COM</t>
  </si>
  <si>
    <t>OAKWOOD</t>
  </si>
  <si>
    <t>PANELA, FLAVIO</t>
  </si>
  <si>
    <t>Colonial South Chevrolet</t>
  </si>
  <si>
    <t>SILVA</t>
  </si>
  <si>
    <t>PAQUIN, PHILLIP</t>
  </si>
  <si>
    <t>Bailey's Motor Sales Inc</t>
  </si>
  <si>
    <t>PHINJR@COMCAST.NET</t>
  </si>
  <si>
    <t>RYAN</t>
  </si>
  <si>
    <t>LEJACQ-SMITH, BENJAMIN</t>
  </si>
  <si>
    <t>Alden Mazda</t>
  </si>
  <si>
    <t>LEJACQSMITH7@GMAIL.COM</t>
  </si>
  <si>
    <t>LEJACQ</t>
  </si>
  <si>
    <t>RICCIO, JOHN</t>
  </si>
  <si>
    <t>Planet Subaru</t>
  </si>
  <si>
    <t>RICCIO05@AOL.COM</t>
  </si>
  <si>
    <t>SAURINO</t>
  </si>
  <si>
    <t>ROMER, JAMES</t>
  </si>
  <si>
    <t>Alden Buick Pontiac GMC</t>
  </si>
  <si>
    <t>TILEJR@COMCAST.NET</t>
  </si>
  <si>
    <t>KNOX</t>
  </si>
  <si>
    <t>MUKASA, KEVIN</t>
  </si>
  <si>
    <t>Grieco Toyota</t>
  </si>
  <si>
    <t>KVNMKS@GMAIL.COM</t>
  </si>
  <si>
    <t>NAMATA</t>
  </si>
  <si>
    <t>MAUCH, HATTIE</t>
  </si>
  <si>
    <t>Wareham Ford</t>
  </si>
  <si>
    <t>hattie@post.harvard.edu</t>
  </si>
  <si>
    <t>Erwin</t>
  </si>
  <si>
    <t>LAPHAM, ARTHUR</t>
  </si>
  <si>
    <t>LAPHAM, PAMELA</t>
  </si>
  <si>
    <t>Atlantic Subaru</t>
  </si>
  <si>
    <t>RAVENKEMPO@AOL.COM</t>
  </si>
  <si>
    <t>LAPHAM</t>
  </si>
  <si>
    <t>PARISEAU</t>
  </si>
  <si>
    <t>HIIPAKKA, RACHEL</t>
  </si>
  <si>
    <t>Langway Toyota of Newport</t>
  </si>
  <si>
    <t>RACHEL.D.HIIPAKKA@GMAIL.COM</t>
  </si>
  <si>
    <t>JENKINS</t>
  </si>
  <si>
    <t>GUERCHON, SUSAN</t>
  </si>
  <si>
    <t>Patriot Auto Group Inc d/b/a</t>
  </si>
  <si>
    <t>GUERSUSLL@GMAIL.COM</t>
  </si>
  <si>
    <t>Pratt</t>
  </si>
  <si>
    <t>RICHARD, LILLIAN</t>
  </si>
  <si>
    <t>LILLSBASKET@GMAIL.COM</t>
  </si>
  <si>
    <t>Rizzo</t>
  </si>
  <si>
    <t>BIRDWELL, SUSAN</t>
  </si>
  <si>
    <t>NJBIRDW@VERIZON.NET</t>
  </si>
  <si>
    <t>OSTROWSKI</t>
  </si>
  <si>
    <t>WHITTEMORE, JANET</t>
  </si>
  <si>
    <t>R3V Motors, Inc</t>
  </si>
  <si>
    <t>JANUSKI7490@YAHOO.COM</t>
  </si>
  <si>
    <t>ALLAN</t>
  </si>
  <si>
    <t>BRADLEY, DOUGLAS</t>
  </si>
  <si>
    <t>DOUGEBRAD62@HOTMAIL.COM</t>
  </si>
  <si>
    <t>SMITH</t>
  </si>
  <si>
    <t># 25</t>
  </si>
  <si>
    <t>Funding Worksheet - ACH Version</t>
  </si>
  <si>
    <t>Dealer Flat</t>
  </si>
  <si>
    <t>Dealer Split</t>
  </si>
  <si>
    <t>Net to Dealer</t>
  </si>
  <si>
    <t>Contracted Amount Financed</t>
  </si>
  <si>
    <t>Funding Worksheet - Signoff Version</t>
  </si>
  <si>
    <t># 1</t>
  </si>
  <si>
    <t>Original Note Delivered by</t>
  </si>
  <si>
    <t>Delivered by:</t>
  </si>
  <si>
    <t>Received by:</t>
  </si>
  <si>
    <t>Date Signed:</t>
  </si>
  <si>
    <t>Column1</t>
  </si>
  <si>
    <t>Column2</t>
  </si>
  <si>
    <t>honda-Patriot Auto Group Inc d/b/a</t>
  </si>
  <si>
    <t>151220531 E</t>
  </si>
  <si>
    <t>151220549 E</t>
  </si>
  <si>
    <t>151220565 E</t>
  </si>
  <si>
    <t>151220606 E</t>
  </si>
  <si>
    <t>151220614 E</t>
  </si>
  <si>
    <t>151220698 E</t>
  </si>
  <si>
    <t>151220721 E</t>
  </si>
  <si>
    <t>151220747 E</t>
  </si>
  <si>
    <t>151220771 E</t>
  </si>
  <si>
    <t>151220789 E</t>
  </si>
  <si>
    <t>151220797 E</t>
  </si>
  <si>
    <t>151220804 E</t>
  </si>
  <si>
    <t>151220812 E</t>
  </si>
  <si>
    <t>151220820 E</t>
  </si>
  <si>
    <t>151220838 E</t>
  </si>
  <si>
    <t>151220888 E</t>
  </si>
  <si>
    <t>151220903 E</t>
  </si>
  <si>
    <t>151220953 E</t>
  </si>
  <si>
    <t>151220961 E</t>
  </si>
  <si>
    <t>151220979 E</t>
  </si>
  <si>
    <t>151220987 E</t>
  </si>
  <si>
    <t>151220995 E</t>
  </si>
  <si>
    <t>151221042 E</t>
  </si>
  <si>
    <t>151221026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</si>
</sst>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14" fontId="0" fillId="0" borderId="0" xfId="0" applyNumberFormat="1"/>
    <xf numFmtId="0" fontId="0" fillId="0" borderId="1" xfId="0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7" fontId="4" fillId="0" borderId="0" xfId="0" applyNumberFormat="1" applyFont="1"/>
    <xf numFmtId="0" fontId="3" fillId="0" borderId="0" xfId="0" applyFont="1"/>
    <xf numFmtId="7" fontId="3" fillId="0" borderId="0" xfId="0" applyNumberFormat="1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/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K29" headerRowDxfId="2" dataDxfId="0" totalsRowDxfId="1">
  <tableColumns count="11">
    <tableColumn id="1" xr3:uid="{00000000-0010-0000-0000-000001000000}" name="Account Number" dataDxfId="13"/>
    <tableColumn id="2" xr3:uid="{00000000-0010-0000-0000-000002000000}" name="Portal" dataDxfId="12"/>
    <tableColumn id="3" xr3:uid="{00000000-0010-0000-0000-000003000000}" name="Contract Type" dataDxfId="11"/>
    <tableColumn id="4" xr3:uid="{00000000-0010-0000-0000-000004000000}" name="Applicant Name" dataDxfId="10"/>
    <tableColumn id="5" xr3:uid="{00000000-0010-0000-0000-000005000000}" name="Co-Applicant Name" dataDxfId="9"/>
    <tableColumn id="6" xr3:uid="{00000000-0010-0000-0000-000006000000}" name="Dealer Name" dataDxfId="8"/>
    <tableColumn id="7" xr3:uid="{00000000-0010-0000-0000-000007000000}" name="Funded by" dataDxfId="7"/>
    <tableColumn id="8" xr3:uid="{00000000-0010-0000-0000-000008000000}" name="Amount Financed" dataDxfId="6"/>
    <tableColumn id="9" xr3:uid="{00000000-0010-0000-0000-000009000000}" name="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26267E-37C5-443E-B025-6B1F5A33403A}" name="Table_13" displayName="Table_13" ref="A3:H49" headerRowDxfId="16" dataDxfId="14" totalsRowDxfId="15">
  <tableColumns count="8">
    <tableColumn id="1" xr3:uid="{F3A19AD9-75BF-4C00-94FA-C7A0AC25E572}" name="Dealer Name" dataDxfId="24"/>
    <tableColumn id="7" xr3:uid="{7A6C5AD7-5B32-41E3-BD42-28C9E65A9150}" name="Column1" dataDxfId="23"/>
    <tableColumn id="2" xr3:uid="{A8EDB6AC-2E16-4C9D-9CA7-567B4DDE339B}" name="Funded by" dataDxfId="22"/>
    <tableColumn id="3" xr3:uid="{9FFD8F14-4279-4F52-9821-1E4CF8C5DA69}" name="Dealer Flat" dataDxfId="21"/>
    <tableColumn id="4" xr3:uid="{21984067-2267-42D8-A99C-C7439BC0A682}" name="Dealer Split" dataDxfId="20"/>
    <tableColumn id="5" xr3:uid="{D13DF65E-223F-4C09-8B76-799451FCEAE8}" name="Net to Dealer" dataDxfId="19"/>
    <tableColumn id="8" xr3:uid="{768A6937-C5BA-494C-8E56-77D8E478CE86}" name="Column2" dataDxfId="18"/>
    <tableColumn id="6" xr3:uid="{9F9E19FF-DE71-46C3-97FE-A297242D4CFB}" name="Contracted Amount Financed" dataDxfId="1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777F32-52FD-42C1-9062-2074695C4EA6}" name="Table_15" displayName="Table_15" ref="A3:E5">
  <tableColumns count="5">
    <tableColumn id="1" xr3:uid="{93098F49-FAA7-4FBB-8A9E-95202BF4BCC8}" name="Account Number"/>
    <tableColumn id="2" xr3:uid="{42D9B5A7-35A8-4A15-80E1-746D5B8B2AFF}" name="Contract Type"/>
    <tableColumn id="3" xr3:uid="{CA5A1FBB-02D2-4B63-910E-553C7B7FF64D}" name="Applicant Name"/>
    <tableColumn id="4" xr3:uid="{DE4F3716-6B10-4916-958F-5AF0B50CE360}" name="Co-Applicant Name"/>
    <tableColumn id="5" xr3:uid="{6A70156A-9997-472E-9895-69A05A39C14A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tabSelected="1" zoomScaleNormal="100" workbookViewId="0">
      <pane ySplit="3" topLeftCell="A18" activePane="bottomLeft" state="frozen"/>
      <selection pane="bottomLeft" activeCell="G31" sqref="G31"/>
    </sheetView>
  </sheetViews>
  <sheetFormatPr defaultRowHeight="15.75" x14ac:dyDescent="0.25"/>
  <cols>
    <col min="1" max="1" width="13.42578125" style="8" customWidth="1"/>
    <col min="2" max="2" width="12.140625" style="8" bestFit="1" customWidth="1"/>
    <col min="3" max="3" width="14" style="8" bestFit="1" customWidth="1"/>
    <col min="4" max="4" width="24.42578125" style="8" bestFit="1" customWidth="1"/>
    <col min="5" max="5" width="18.7109375" style="8" bestFit="1" customWidth="1"/>
    <col min="6" max="6" width="32.42578125" style="8" bestFit="1" customWidth="1"/>
    <col min="7" max="7" width="17.7109375" style="8" bestFit="1" customWidth="1"/>
    <col min="8" max="8" width="17.140625" style="8" bestFit="1" customWidth="1"/>
    <col min="9" max="9" width="32.5703125" style="8" bestFit="1" customWidth="1"/>
    <col min="10" max="10" width="15" style="8" customWidth="1"/>
    <col min="11" max="11" width="12.85546875" style="8" bestFit="1" customWidth="1"/>
    <col min="12" max="16384" width="9.140625" style="8"/>
  </cols>
  <sheetData>
    <row r="1" spans="1:11" x14ac:dyDescent="0.25">
      <c r="J1" s="17">
        <v>45904</v>
      </c>
      <c r="K1" s="18"/>
    </row>
    <row r="2" spans="1:11" x14ac:dyDescent="0.25">
      <c r="A2" s="10" t="s">
        <v>0</v>
      </c>
      <c r="B2" s="11"/>
      <c r="C2" s="11"/>
      <c r="D2" s="11"/>
      <c r="E2" s="11"/>
      <c r="F2" s="11"/>
      <c r="G2" s="12" t="s">
        <v>1</v>
      </c>
      <c r="H2" s="11"/>
      <c r="I2" s="11"/>
      <c r="J2" s="11"/>
      <c r="K2" s="11"/>
    </row>
    <row r="3" spans="1:11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</row>
    <row r="4" spans="1:11" ht="33" customHeight="1" x14ac:dyDescent="0.25">
      <c r="A4" s="8" t="s">
        <v>135</v>
      </c>
      <c r="B4" s="8" t="s">
        <v>13</v>
      </c>
      <c r="C4" s="8" t="s">
        <v>14</v>
      </c>
      <c r="D4" s="8" t="s">
        <v>15</v>
      </c>
      <c r="F4" s="8" t="s">
        <v>16</v>
      </c>
      <c r="G4" s="8" t="s">
        <v>17</v>
      </c>
      <c r="H4" s="13">
        <v>17879.75</v>
      </c>
      <c r="I4" s="8" t="s">
        <v>18</v>
      </c>
      <c r="J4" s="8" t="s">
        <v>19</v>
      </c>
    </row>
    <row r="5" spans="1:11" ht="33" customHeight="1" x14ac:dyDescent="0.25">
      <c r="A5" s="8" t="s">
        <v>136</v>
      </c>
      <c r="B5" s="8" t="s">
        <v>20</v>
      </c>
      <c r="C5" s="8" t="s">
        <v>14</v>
      </c>
      <c r="D5" s="8" t="s">
        <v>21</v>
      </c>
      <c r="F5" s="8" t="s">
        <v>22</v>
      </c>
      <c r="G5" s="8" t="s">
        <v>17</v>
      </c>
      <c r="H5" s="13">
        <v>32284.81</v>
      </c>
      <c r="I5" s="8" t="s">
        <v>23</v>
      </c>
      <c r="J5" s="8" t="s">
        <v>24</v>
      </c>
    </row>
    <row r="6" spans="1:11" ht="33" customHeight="1" x14ac:dyDescent="0.25">
      <c r="A6" s="8" t="s">
        <v>137</v>
      </c>
      <c r="B6" s="8" t="s">
        <v>13</v>
      </c>
      <c r="C6" s="8" t="s">
        <v>14</v>
      </c>
      <c r="D6" s="8" t="s">
        <v>25</v>
      </c>
      <c r="F6" s="8" t="s">
        <v>26</v>
      </c>
      <c r="G6" s="8" t="s">
        <v>17</v>
      </c>
      <c r="H6" s="13">
        <v>30001</v>
      </c>
      <c r="I6" s="8" t="s">
        <v>27</v>
      </c>
      <c r="J6" s="8" t="s">
        <v>28</v>
      </c>
    </row>
    <row r="7" spans="1:11" ht="33" customHeight="1" x14ac:dyDescent="0.25">
      <c r="A7" s="8" t="s">
        <v>138</v>
      </c>
      <c r="B7" s="8" t="s">
        <v>20</v>
      </c>
      <c r="C7" s="8" t="s">
        <v>14</v>
      </c>
      <c r="D7" s="8" t="s">
        <v>29</v>
      </c>
      <c r="F7" s="8" t="s">
        <v>30</v>
      </c>
      <c r="G7" s="8" t="s">
        <v>17</v>
      </c>
      <c r="H7" s="13">
        <v>27599.38</v>
      </c>
      <c r="I7" s="8" t="s">
        <v>31</v>
      </c>
      <c r="J7" s="8" t="s">
        <v>32</v>
      </c>
    </row>
    <row r="8" spans="1:11" ht="33" customHeight="1" x14ac:dyDescent="0.25">
      <c r="A8" s="8" t="s">
        <v>139</v>
      </c>
      <c r="B8" s="8" t="s">
        <v>13</v>
      </c>
      <c r="C8" s="8" t="s">
        <v>14</v>
      </c>
      <c r="D8" s="8" t="s">
        <v>33</v>
      </c>
      <c r="E8" s="8" t="s">
        <v>34</v>
      </c>
      <c r="F8" s="8" t="s">
        <v>35</v>
      </c>
      <c r="G8" s="8" t="s">
        <v>17</v>
      </c>
      <c r="H8" s="13">
        <v>52939.4</v>
      </c>
      <c r="J8" s="8" t="s">
        <v>36</v>
      </c>
      <c r="K8" s="8" t="s">
        <v>37</v>
      </c>
    </row>
    <row r="9" spans="1:11" ht="33" customHeight="1" x14ac:dyDescent="0.25">
      <c r="A9" s="8" t="s">
        <v>38</v>
      </c>
      <c r="B9" s="8" t="s">
        <v>13</v>
      </c>
      <c r="C9" s="8" t="s">
        <v>39</v>
      </c>
      <c r="D9" s="8" t="s">
        <v>40</v>
      </c>
      <c r="F9" s="8" t="s">
        <v>41</v>
      </c>
      <c r="G9" s="8" t="s">
        <v>42</v>
      </c>
      <c r="H9" s="13">
        <v>19995.689999999999</v>
      </c>
      <c r="I9" s="8" t="s">
        <v>43</v>
      </c>
      <c r="J9" s="8" t="s">
        <v>44</v>
      </c>
    </row>
    <row r="10" spans="1:11" ht="33" customHeight="1" x14ac:dyDescent="0.25">
      <c r="A10" s="8" t="s">
        <v>140</v>
      </c>
      <c r="B10" s="8" t="s">
        <v>13</v>
      </c>
      <c r="C10" s="8" t="s">
        <v>14</v>
      </c>
      <c r="D10" s="8" t="s">
        <v>45</v>
      </c>
      <c r="F10" s="8" t="s">
        <v>26</v>
      </c>
      <c r="G10" s="8" t="s">
        <v>17</v>
      </c>
      <c r="H10" s="13">
        <v>21847.41</v>
      </c>
      <c r="I10" s="8" t="s">
        <v>46</v>
      </c>
      <c r="J10" s="8" t="s">
        <v>47</v>
      </c>
    </row>
    <row r="11" spans="1:11" ht="33" customHeight="1" x14ac:dyDescent="0.25">
      <c r="A11" s="8" t="s">
        <v>141</v>
      </c>
      <c r="B11" s="8" t="s">
        <v>13</v>
      </c>
      <c r="C11" s="8" t="s">
        <v>14</v>
      </c>
      <c r="D11" s="8" t="s">
        <v>48</v>
      </c>
      <c r="F11" s="8" t="s">
        <v>49</v>
      </c>
      <c r="G11" s="8" t="s">
        <v>42</v>
      </c>
      <c r="H11" s="13">
        <v>28275.99</v>
      </c>
      <c r="I11" s="8" t="s">
        <v>50</v>
      </c>
      <c r="J11" s="8" t="s">
        <v>51</v>
      </c>
    </row>
    <row r="12" spans="1:11" ht="33" customHeight="1" x14ac:dyDescent="0.25">
      <c r="A12" s="8" t="s">
        <v>142</v>
      </c>
      <c r="B12" s="8" t="s">
        <v>20</v>
      </c>
      <c r="C12" s="8" t="s">
        <v>14</v>
      </c>
      <c r="D12" s="8" t="s">
        <v>52</v>
      </c>
      <c r="F12" s="8" t="s">
        <v>53</v>
      </c>
      <c r="G12" s="8" t="s">
        <v>54</v>
      </c>
      <c r="H12" s="13">
        <v>22311.33</v>
      </c>
      <c r="I12" s="8" t="s">
        <v>55</v>
      </c>
      <c r="J12" s="8" t="s">
        <v>56</v>
      </c>
    </row>
    <row r="13" spans="1:11" ht="33" customHeight="1" x14ac:dyDescent="0.25">
      <c r="A13" s="8" t="s">
        <v>143</v>
      </c>
      <c r="B13" s="8" t="s">
        <v>13</v>
      </c>
      <c r="C13" s="8" t="s">
        <v>14</v>
      </c>
      <c r="D13" s="8" t="s">
        <v>57</v>
      </c>
      <c r="E13" s="8" t="s">
        <v>58</v>
      </c>
      <c r="F13" s="8" t="s">
        <v>49</v>
      </c>
      <c r="G13" s="8" t="s">
        <v>17</v>
      </c>
      <c r="H13" s="13">
        <v>19031.439999999999</v>
      </c>
      <c r="I13" s="8" t="s">
        <v>59</v>
      </c>
      <c r="J13" s="8" t="s">
        <v>60</v>
      </c>
      <c r="K13" s="8" t="s">
        <v>61</v>
      </c>
    </row>
    <row r="14" spans="1:11" ht="33" customHeight="1" x14ac:dyDescent="0.25">
      <c r="A14" s="8" t="s">
        <v>144</v>
      </c>
      <c r="B14" s="8" t="s">
        <v>13</v>
      </c>
      <c r="C14" s="8" t="s">
        <v>14</v>
      </c>
      <c r="D14" s="8" t="s">
        <v>62</v>
      </c>
      <c r="F14" s="8" t="s">
        <v>63</v>
      </c>
      <c r="G14" s="8" t="s">
        <v>54</v>
      </c>
      <c r="H14" s="13">
        <v>44728.34</v>
      </c>
      <c r="I14" s="8" t="s">
        <v>64</v>
      </c>
      <c r="J14" s="8" t="s">
        <v>65</v>
      </c>
    </row>
    <row r="15" spans="1:11" ht="33" customHeight="1" x14ac:dyDescent="0.25">
      <c r="A15" s="8" t="s">
        <v>145</v>
      </c>
      <c r="B15" s="8" t="s">
        <v>20</v>
      </c>
      <c r="C15" s="8" t="s">
        <v>14</v>
      </c>
      <c r="D15" s="8" t="s">
        <v>66</v>
      </c>
      <c r="F15" s="8" t="s">
        <v>67</v>
      </c>
      <c r="G15" s="8" t="s">
        <v>54</v>
      </c>
      <c r="H15" s="13">
        <v>10111</v>
      </c>
      <c r="J15" s="8" t="s">
        <v>68</v>
      </c>
    </row>
    <row r="16" spans="1:11" ht="33" customHeight="1" x14ac:dyDescent="0.25">
      <c r="A16" s="8" t="s">
        <v>146</v>
      </c>
      <c r="B16" s="8" t="s">
        <v>20</v>
      </c>
      <c r="C16" s="8" t="s">
        <v>14</v>
      </c>
      <c r="D16" s="8" t="s">
        <v>69</v>
      </c>
      <c r="F16" s="8" t="s">
        <v>70</v>
      </c>
      <c r="G16" s="8" t="s">
        <v>54</v>
      </c>
      <c r="H16" s="13">
        <v>56875.17</v>
      </c>
      <c r="I16" s="8" t="s">
        <v>71</v>
      </c>
      <c r="J16" s="8" t="s">
        <v>72</v>
      </c>
    </row>
    <row r="17" spans="1:11" ht="33" customHeight="1" x14ac:dyDescent="0.25">
      <c r="A17" s="8" t="s">
        <v>147</v>
      </c>
      <c r="B17" s="8" t="s">
        <v>20</v>
      </c>
      <c r="C17" s="8" t="s">
        <v>14</v>
      </c>
      <c r="D17" s="8" t="s">
        <v>73</v>
      </c>
      <c r="F17" s="8" t="s">
        <v>74</v>
      </c>
      <c r="G17" s="8" t="s">
        <v>54</v>
      </c>
      <c r="H17" s="13">
        <v>20894.13</v>
      </c>
      <c r="I17" s="8" t="s">
        <v>75</v>
      </c>
      <c r="J17" s="8" t="s">
        <v>76</v>
      </c>
    </row>
    <row r="18" spans="1:11" ht="33" customHeight="1" x14ac:dyDescent="0.25">
      <c r="A18" s="8" t="s">
        <v>148</v>
      </c>
      <c r="B18" s="8" t="s">
        <v>13</v>
      </c>
      <c r="C18" s="8" t="s">
        <v>14</v>
      </c>
      <c r="D18" s="8" t="s">
        <v>77</v>
      </c>
      <c r="F18" s="8" t="s">
        <v>78</v>
      </c>
      <c r="G18" s="8" t="s">
        <v>54</v>
      </c>
      <c r="H18" s="13">
        <v>20855.13</v>
      </c>
      <c r="I18" s="8" t="s">
        <v>79</v>
      </c>
      <c r="J18" s="8" t="s">
        <v>80</v>
      </c>
    </row>
    <row r="19" spans="1:11" ht="33" customHeight="1" x14ac:dyDescent="0.25">
      <c r="A19" s="8" t="s">
        <v>149</v>
      </c>
      <c r="B19" s="8" t="s">
        <v>20</v>
      </c>
      <c r="C19" s="8" t="s">
        <v>14</v>
      </c>
      <c r="D19" s="8" t="s">
        <v>81</v>
      </c>
      <c r="F19" s="8" t="s">
        <v>82</v>
      </c>
      <c r="G19" s="8" t="s">
        <v>54</v>
      </c>
      <c r="H19" s="13">
        <v>99792.69</v>
      </c>
      <c r="I19" s="8" t="s">
        <v>83</v>
      </c>
      <c r="J19" s="8" t="s">
        <v>84</v>
      </c>
    </row>
    <row r="20" spans="1:11" ht="33" customHeight="1" x14ac:dyDescent="0.25">
      <c r="A20" s="8" t="s">
        <v>150</v>
      </c>
      <c r="B20" s="8" t="s">
        <v>20</v>
      </c>
      <c r="C20" s="8" t="s">
        <v>14</v>
      </c>
      <c r="D20" s="8" t="s">
        <v>85</v>
      </c>
      <c r="F20" s="8" t="s">
        <v>86</v>
      </c>
      <c r="G20" s="8" t="s">
        <v>54</v>
      </c>
      <c r="H20" s="13">
        <v>37544.9</v>
      </c>
      <c r="I20" s="8" t="s">
        <v>87</v>
      </c>
      <c r="J20" s="8" t="s">
        <v>88</v>
      </c>
    </row>
    <row r="21" spans="1:11" ht="33" customHeight="1" x14ac:dyDescent="0.25">
      <c r="A21" s="8" t="s">
        <v>151</v>
      </c>
      <c r="B21" s="8" t="s">
        <v>20</v>
      </c>
      <c r="C21" s="8" t="s">
        <v>14</v>
      </c>
      <c r="D21" s="8" t="s">
        <v>89</v>
      </c>
      <c r="F21" s="8" t="s">
        <v>90</v>
      </c>
      <c r="G21" s="8" t="s">
        <v>17</v>
      </c>
      <c r="H21" s="13">
        <v>32321.25</v>
      </c>
      <c r="I21" s="8" t="s">
        <v>91</v>
      </c>
      <c r="J21" s="8" t="s">
        <v>92</v>
      </c>
    </row>
    <row r="22" spans="1:11" ht="33" customHeight="1" x14ac:dyDescent="0.25">
      <c r="A22" s="8" t="s">
        <v>152</v>
      </c>
      <c r="B22" s="8" t="s">
        <v>13</v>
      </c>
      <c r="C22" s="8" t="s">
        <v>14</v>
      </c>
      <c r="D22" s="8" t="s">
        <v>93</v>
      </c>
      <c r="E22" s="8" t="s">
        <v>94</v>
      </c>
      <c r="F22" s="8" t="s">
        <v>95</v>
      </c>
      <c r="G22" s="8" t="s">
        <v>42</v>
      </c>
      <c r="H22" s="13">
        <v>32967.300000000003</v>
      </c>
      <c r="I22" s="8" t="s">
        <v>96</v>
      </c>
      <c r="J22" s="8" t="s">
        <v>97</v>
      </c>
      <c r="K22" s="8" t="s">
        <v>98</v>
      </c>
    </row>
    <row r="23" spans="1:11" ht="33" customHeight="1" x14ac:dyDescent="0.25">
      <c r="A23" s="8" t="s">
        <v>153</v>
      </c>
      <c r="B23" s="8" t="s">
        <v>20</v>
      </c>
      <c r="C23" s="8" t="s">
        <v>14</v>
      </c>
      <c r="D23" s="8" t="s">
        <v>99</v>
      </c>
      <c r="F23" s="8" t="s">
        <v>100</v>
      </c>
      <c r="G23" s="8" t="s">
        <v>42</v>
      </c>
      <c r="H23" s="13">
        <v>29437.26</v>
      </c>
      <c r="I23" s="8" t="s">
        <v>101</v>
      </c>
      <c r="J23" s="8" t="s">
        <v>102</v>
      </c>
    </row>
    <row r="24" spans="1:11" ht="33" customHeight="1" x14ac:dyDescent="0.25">
      <c r="A24" s="8" t="s">
        <v>154</v>
      </c>
      <c r="B24" s="8" t="s">
        <v>20</v>
      </c>
      <c r="C24" s="8" t="s">
        <v>14</v>
      </c>
      <c r="D24" s="8" t="s">
        <v>103</v>
      </c>
      <c r="F24" s="8" t="s">
        <v>104</v>
      </c>
      <c r="G24" s="8" t="s">
        <v>17</v>
      </c>
      <c r="H24" s="13">
        <v>14377.06</v>
      </c>
      <c r="I24" s="8" t="s">
        <v>105</v>
      </c>
      <c r="J24" s="8" t="s">
        <v>106</v>
      </c>
    </row>
    <row r="25" spans="1:11" ht="33" customHeight="1" x14ac:dyDescent="0.25">
      <c r="A25" s="8" t="s">
        <v>155</v>
      </c>
      <c r="B25" s="8" t="s">
        <v>13</v>
      </c>
      <c r="C25" s="8" t="s">
        <v>14</v>
      </c>
      <c r="D25" s="8" t="s">
        <v>107</v>
      </c>
      <c r="F25" s="8" t="s">
        <v>78</v>
      </c>
      <c r="G25" s="8" t="s">
        <v>17</v>
      </c>
      <c r="H25" s="13">
        <v>28776.13</v>
      </c>
      <c r="I25" s="8" t="s">
        <v>108</v>
      </c>
      <c r="J25" s="8" t="s">
        <v>109</v>
      </c>
    </row>
    <row r="26" spans="1:11" ht="33" customHeight="1" x14ac:dyDescent="0.25">
      <c r="A26" s="8" t="s">
        <v>156</v>
      </c>
      <c r="B26" s="8" t="s">
        <v>20</v>
      </c>
      <c r="C26" s="8" t="s">
        <v>14</v>
      </c>
      <c r="D26" s="8" t="s">
        <v>110</v>
      </c>
      <c r="F26" s="8" t="s">
        <v>53</v>
      </c>
      <c r="G26" s="8" t="s">
        <v>42</v>
      </c>
      <c r="H26" s="13">
        <v>42490.98</v>
      </c>
      <c r="I26" s="8" t="s">
        <v>111</v>
      </c>
      <c r="J26" s="8" t="s">
        <v>112</v>
      </c>
    </row>
    <row r="27" spans="1:11" ht="33" customHeight="1" x14ac:dyDescent="0.25">
      <c r="A27" s="8" t="s">
        <v>158</v>
      </c>
      <c r="B27" s="8" t="s">
        <v>13</v>
      </c>
      <c r="C27" s="8" t="s">
        <v>14</v>
      </c>
      <c r="D27" s="8" t="s">
        <v>113</v>
      </c>
      <c r="F27" s="8" t="s">
        <v>114</v>
      </c>
      <c r="G27" s="8" t="s">
        <v>42</v>
      </c>
      <c r="H27" s="13">
        <v>34553.06</v>
      </c>
      <c r="I27" s="8" t="s">
        <v>115</v>
      </c>
      <c r="J27" s="8" t="s">
        <v>116</v>
      </c>
    </row>
    <row r="28" spans="1:11" ht="33" customHeight="1" x14ac:dyDescent="0.25">
      <c r="A28" s="8" t="s">
        <v>157</v>
      </c>
      <c r="B28" s="8" t="s">
        <v>13</v>
      </c>
      <c r="C28" s="8" t="s">
        <v>14</v>
      </c>
      <c r="D28" s="8" t="s">
        <v>117</v>
      </c>
      <c r="F28" s="8" t="s">
        <v>49</v>
      </c>
      <c r="G28" s="8" t="s">
        <v>42</v>
      </c>
      <c r="H28" s="13">
        <v>33140.93</v>
      </c>
      <c r="I28" s="8" t="s">
        <v>118</v>
      </c>
      <c r="J28" s="8" t="s">
        <v>119</v>
      </c>
    </row>
    <row r="29" spans="1:11" x14ac:dyDescent="0.25">
      <c r="A29" s="15"/>
      <c r="B29" s="15"/>
      <c r="C29" s="15"/>
      <c r="D29" s="15" t="s">
        <v>120</v>
      </c>
      <c r="E29" s="15"/>
      <c r="F29" s="15"/>
      <c r="G29" s="15"/>
      <c r="H29" s="16">
        <f>SUM(H4:H28)</f>
        <v>811031.53000000014</v>
      </c>
      <c r="I29" s="15"/>
      <c r="J29" s="15"/>
      <c r="K29" s="15"/>
    </row>
  </sheetData>
  <mergeCells count="3">
    <mergeCell ref="A2:F2"/>
    <mergeCell ref="G2:K2"/>
    <mergeCell ref="J1:K1"/>
  </mergeCells>
  <pageMargins left="0.7" right="0.7" top="0.75" bottom="0.75" header="0.3" footer="0.3"/>
  <pageSetup paperSize="5" scale="76" fitToHeight="0" orientation="landscape" r:id="rId1"/>
  <headerFooter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BE32-299E-4A25-B306-3CBC07277711}">
  <sheetPr>
    <pageSetUpPr fitToPage="1"/>
  </sheetPr>
  <dimension ref="A1:H49"/>
  <sheetViews>
    <sheetView topLeftCell="A23" workbookViewId="0">
      <selection activeCell="G11" sqref="G11"/>
    </sheetView>
  </sheetViews>
  <sheetFormatPr defaultRowHeight="15.75" x14ac:dyDescent="0.25"/>
  <cols>
    <col min="1" max="1" width="24.7109375" style="8" customWidth="1"/>
    <col min="2" max="2" width="10.7109375" style="8" customWidth="1"/>
    <col min="3" max="3" width="16.28515625" style="8" customWidth="1"/>
    <col min="4" max="4" width="15.28515625" style="8" customWidth="1"/>
    <col min="5" max="5" width="19.5703125" style="8" customWidth="1"/>
    <col min="6" max="6" width="21.42578125" style="8" customWidth="1"/>
    <col min="7" max="7" width="17" style="8" customWidth="1"/>
    <col min="8" max="8" width="18.28515625" style="8" customWidth="1"/>
    <col min="9" max="16384" width="9.140625" style="8"/>
  </cols>
  <sheetData>
    <row r="1" spans="1:8" x14ac:dyDescent="0.25">
      <c r="E1" s="9"/>
      <c r="H1" s="9">
        <v>45904.999988425923</v>
      </c>
    </row>
    <row r="2" spans="1:8" x14ac:dyDescent="0.25">
      <c r="A2" s="10" t="s">
        <v>0</v>
      </c>
      <c r="B2" s="10"/>
      <c r="C2" s="11"/>
      <c r="D2" s="11"/>
      <c r="E2" s="12" t="s">
        <v>121</v>
      </c>
      <c r="F2" s="11"/>
      <c r="G2" s="11"/>
      <c r="H2" s="11"/>
    </row>
    <row r="3" spans="1:8" ht="16.5" customHeight="1" x14ac:dyDescent="0.25">
      <c r="A3" s="8" t="s">
        <v>7</v>
      </c>
      <c r="B3" s="8" t="s">
        <v>132</v>
      </c>
      <c r="C3" s="8" t="s">
        <v>8</v>
      </c>
      <c r="D3" s="8" t="s">
        <v>122</v>
      </c>
      <c r="E3" s="8" t="s">
        <v>123</v>
      </c>
      <c r="F3" s="8" t="s">
        <v>124</v>
      </c>
      <c r="G3" s="8" t="s">
        <v>133</v>
      </c>
      <c r="H3" s="8" t="s">
        <v>125</v>
      </c>
    </row>
    <row r="4" spans="1:8" ht="24.95" customHeight="1" x14ac:dyDescent="0.25">
      <c r="A4" s="8" t="s">
        <v>82</v>
      </c>
      <c r="C4" s="8" t="s">
        <v>54</v>
      </c>
      <c r="D4" s="13">
        <v>1500</v>
      </c>
      <c r="E4" s="13">
        <v>0</v>
      </c>
      <c r="F4" s="14">
        <v>99717.69</v>
      </c>
      <c r="G4" s="13"/>
      <c r="H4" s="13">
        <v>99792.69</v>
      </c>
    </row>
    <row r="5" spans="1:8" ht="24.95" customHeight="1" x14ac:dyDescent="0.25">
      <c r="D5" s="13"/>
      <c r="E5" s="13"/>
      <c r="F5" s="14"/>
      <c r="G5" s="13"/>
      <c r="H5" s="13"/>
    </row>
    <row r="6" spans="1:8" ht="24.95" customHeight="1" x14ac:dyDescent="0.25">
      <c r="A6" s="8" t="s">
        <v>74</v>
      </c>
      <c r="C6" s="8" t="s">
        <v>54</v>
      </c>
      <c r="D6" s="13">
        <v>650</v>
      </c>
      <c r="E6" s="13">
        <v>0</v>
      </c>
      <c r="F6" s="14">
        <v>20819.13</v>
      </c>
      <c r="G6" s="13"/>
      <c r="H6" s="13">
        <v>20894.13</v>
      </c>
    </row>
    <row r="7" spans="1:8" ht="24.95" customHeight="1" x14ac:dyDescent="0.25">
      <c r="D7" s="13"/>
      <c r="E7" s="13"/>
      <c r="F7" s="13"/>
      <c r="G7" s="13"/>
      <c r="H7" s="13"/>
    </row>
    <row r="8" spans="1:8" ht="24.95" customHeight="1" x14ac:dyDescent="0.25">
      <c r="A8" s="8" t="s">
        <v>63</v>
      </c>
      <c r="C8" s="8" t="s">
        <v>54</v>
      </c>
      <c r="D8" s="13">
        <v>1050</v>
      </c>
      <c r="E8" s="13">
        <v>0</v>
      </c>
      <c r="F8" s="14">
        <v>44653.34</v>
      </c>
      <c r="G8" s="13"/>
      <c r="H8" s="13">
        <v>44728.34</v>
      </c>
    </row>
    <row r="9" spans="1:8" ht="24.95" customHeight="1" x14ac:dyDescent="0.25">
      <c r="D9" s="13"/>
      <c r="E9" s="13"/>
      <c r="F9" s="14"/>
      <c r="G9" s="13"/>
      <c r="H9" s="13"/>
    </row>
    <row r="10" spans="1:8" ht="24.95" customHeight="1" x14ac:dyDescent="0.25">
      <c r="A10" s="8" t="s">
        <v>95</v>
      </c>
      <c r="C10" s="8" t="s">
        <v>42</v>
      </c>
      <c r="D10" s="13">
        <v>850</v>
      </c>
      <c r="E10" s="13">
        <v>0</v>
      </c>
      <c r="F10" s="14">
        <v>32892.300000000003</v>
      </c>
      <c r="G10" s="14"/>
      <c r="H10" s="13">
        <v>32967.300000000003</v>
      </c>
    </row>
    <row r="11" spans="1:8" ht="24.95" customHeight="1" x14ac:dyDescent="0.25">
      <c r="D11" s="13"/>
      <c r="E11" s="13"/>
      <c r="F11" s="13"/>
      <c r="G11" s="13"/>
      <c r="H11" s="13"/>
    </row>
    <row r="12" spans="1:8" ht="24.95" customHeight="1" x14ac:dyDescent="0.25">
      <c r="A12" s="8" t="s">
        <v>70</v>
      </c>
      <c r="C12" s="8" t="s">
        <v>54</v>
      </c>
      <c r="D12" s="13">
        <v>1350</v>
      </c>
      <c r="E12" s="13">
        <v>0</v>
      </c>
      <c r="F12" s="14">
        <v>56800.17</v>
      </c>
      <c r="G12" s="13"/>
      <c r="H12" s="13">
        <v>56875.17</v>
      </c>
    </row>
    <row r="13" spans="1:8" ht="24.95" customHeight="1" x14ac:dyDescent="0.25">
      <c r="D13" s="13"/>
      <c r="E13" s="13"/>
      <c r="F13" s="14"/>
      <c r="G13" s="13"/>
      <c r="H13" s="13"/>
    </row>
    <row r="14" spans="1:8" ht="24.95" customHeight="1" x14ac:dyDescent="0.25">
      <c r="A14" s="8" t="s">
        <v>67</v>
      </c>
      <c r="C14" s="8" t="s">
        <v>54</v>
      </c>
      <c r="D14" s="13">
        <v>300</v>
      </c>
      <c r="E14" s="13">
        <v>0</v>
      </c>
      <c r="F14" s="14">
        <v>10036</v>
      </c>
      <c r="G14" s="13"/>
      <c r="H14" s="13">
        <v>10111</v>
      </c>
    </row>
    <row r="15" spans="1:8" ht="24.95" customHeight="1" x14ac:dyDescent="0.25">
      <c r="D15" s="13"/>
      <c r="E15" s="13"/>
      <c r="F15" s="14"/>
      <c r="G15" s="13"/>
      <c r="H15" s="13"/>
    </row>
    <row r="16" spans="1:8" ht="24.95" customHeight="1" x14ac:dyDescent="0.25">
      <c r="A16" s="8" t="s">
        <v>86</v>
      </c>
      <c r="C16" s="8" t="s">
        <v>54</v>
      </c>
      <c r="D16" s="13">
        <v>950</v>
      </c>
      <c r="E16" s="13">
        <v>0</v>
      </c>
      <c r="F16" s="14">
        <v>37469.9</v>
      </c>
      <c r="G16" s="13"/>
      <c r="H16" s="13">
        <v>37544.9</v>
      </c>
    </row>
    <row r="17" spans="1:8" ht="24.95" customHeight="1" x14ac:dyDescent="0.25">
      <c r="D17" s="13"/>
      <c r="E17" s="13"/>
      <c r="F17" s="13"/>
      <c r="G17" s="13"/>
      <c r="H17" s="13"/>
    </row>
    <row r="18" spans="1:8" ht="24.95" customHeight="1" x14ac:dyDescent="0.25">
      <c r="A18" s="8" t="s">
        <v>134</v>
      </c>
      <c r="C18" s="8" t="s">
        <v>17</v>
      </c>
      <c r="D18" s="13">
        <v>300</v>
      </c>
      <c r="E18" s="13">
        <v>0</v>
      </c>
      <c r="F18" s="14">
        <v>14302.06</v>
      </c>
      <c r="G18" s="13"/>
      <c r="H18" s="13">
        <v>14377.06</v>
      </c>
    </row>
    <row r="19" spans="1:8" ht="24.95" customHeight="1" x14ac:dyDescent="0.25">
      <c r="D19" s="13"/>
      <c r="E19" s="13"/>
      <c r="F19" s="13"/>
      <c r="G19" s="13"/>
      <c r="H19" s="13"/>
    </row>
    <row r="20" spans="1:8" ht="24.95" customHeight="1" x14ac:dyDescent="0.25">
      <c r="A20" s="8" t="s">
        <v>100</v>
      </c>
      <c r="C20" s="8" t="s">
        <v>42</v>
      </c>
      <c r="D20" s="13">
        <v>750</v>
      </c>
      <c r="E20" s="13">
        <v>0</v>
      </c>
      <c r="F20" s="14">
        <v>29362.26</v>
      </c>
      <c r="G20" s="13"/>
      <c r="H20" s="13">
        <v>29437.26</v>
      </c>
    </row>
    <row r="21" spans="1:8" ht="24.95" customHeight="1" x14ac:dyDescent="0.25">
      <c r="D21" s="13"/>
      <c r="E21" s="13"/>
      <c r="F21" s="14"/>
      <c r="G21" s="13"/>
      <c r="H21" s="13"/>
    </row>
    <row r="22" spans="1:8" ht="24.95" customHeight="1" x14ac:dyDescent="0.25">
      <c r="A22" s="8" t="s">
        <v>22</v>
      </c>
      <c r="C22" s="8" t="s">
        <v>17</v>
      </c>
      <c r="D22" s="13">
        <v>850</v>
      </c>
      <c r="E22" s="13">
        <v>0</v>
      </c>
      <c r="F22" s="14">
        <v>32209.81</v>
      </c>
      <c r="G22" s="13"/>
      <c r="H22" s="13">
        <v>32284.81</v>
      </c>
    </row>
    <row r="23" spans="1:8" ht="24.95" customHeight="1" x14ac:dyDescent="0.25">
      <c r="D23" s="13"/>
      <c r="E23" s="13"/>
      <c r="F23" s="14"/>
      <c r="G23" s="13"/>
      <c r="H23" s="13"/>
    </row>
    <row r="24" spans="1:8" ht="24.95" customHeight="1" x14ac:dyDescent="0.25">
      <c r="A24" s="8" t="s">
        <v>35</v>
      </c>
      <c r="C24" s="8" t="s">
        <v>17</v>
      </c>
      <c r="D24" s="13">
        <v>1350</v>
      </c>
      <c r="E24" s="13">
        <v>0</v>
      </c>
      <c r="F24" s="14">
        <v>52864.4</v>
      </c>
      <c r="G24" s="13"/>
      <c r="H24" s="13">
        <v>52939.4</v>
      </c>
    </row>
    <row r="25" spans="1:8" ht="24.95" customHeight="1" x14ac:dyDescent="0.25">
      <c r="D25" s="13"/>
      <c r="E25" s="13"/>
      <c r="F25" s="14"/>
      <c r="G25" s="13"/>
      <c r="H25" s="13"/>
    </row>
    <row r="26" spans="1:8" ht="24.95" customHeight="1" x14ac:dyDescent="0.25">
      <c r="A26" s="8" t="s">
        <v>41</v>
      </c>
      <c r="C26" s="8" t="s">
        <v>42</v>
      </c>
      <c r="D26" s="13">
        <v>500</v>
      </c>
      <c r="E26" s="13">
        <v>0</v>
      </c>
      <c r="F26" s="13">
        <v>19920.689999999999</v>
      </c>
      <c r="G26" s="14"/>
      <c r="H26" s="13">
        <v>19995.689999999999</v>
      </c>
    </row>
    <row r="27" spans="1:8" ht="24.95" customHeight="1" x14ac:dyDescent="0.25">
      <c r="D27" s="13"/>
      <c r="E27" s="13"/>
      <c r="F27" s="13"/>
      <c r="G27" s="13"/>
      <c r="H27" s="13"/>
    </row>
    <row r="28" spans="1:8" ht="24.95" customHeight="1" x14ac:dyDescent="0.25">
      <c r="A28" s="8" t="s">
        <v>78</v>
      </c>
      <c r="C28" s="8" t="s">
        <v>17</v>
      </c>
      <c r="D28" s="13">
        <v>750</v>
      </c>
      <c r="E28" s="13">
        <v>0</v>
      </c>
      <c r="F28" s="13">
        <v>28701.13</v>
      </c>
      <c r="G28" s="13"/>
      <c r="H28" s="13">
        <v>28776.13</v>
      </c>
    </row>
    <row r="29" spans="1:8" ht="24.95" customHeight="1" x14ac:dyDescent="0.25">
      <c r="A29" s="8" t="s">
        <v>78</v>
      </c>
      <c r="C29" s="8" t="s">
        <v>54</v>
      </c>
      <c r="D29" s="13">
        <v>650</v>
      </c>
      <c r="E29" s="13">
        <v>0</v>
      </c>
      <c r="F29" s="13">
        <v>20780.13</v>
      </c>
      <c r="G29" s="14">
        <f>SUM(F28:F29)</f>
        <v>49481.26</v>
      </c>
      <c r="H29" s="13">
        <v>20855.13</v>
      </c>
    </row>
    <row r="30" spans="1:8" ht="24.95" customHeight="1" x14ac:dyDescent="0.25">
      <c r="D30" s="13"/>
      <c r="E30" s="13"/>
      <c r="F30" s="13"/>
      <c r="G30" s="13"/>
      <c r="H30" s="13"/>
    </row>
    <row r="31" spans="1:8" ht="24.95" customHeight="1" x14ac:dyDescent="0.25">
      <c r="A31" s="8" t="s">
        <v>26</v>
      </c>
      <c r="C31" s="8" t="s">
        <v>17</v>
      </c>
      <c r="D31" s="13">
        <v>650</v>
      </c>
      <c r="E31" s="13">
        <v>0</v>
      </c>
      <c r="F31" s="13">
        <v>21772.41</v>
      </c>
      <c r="G31" s="13"/>
      <c r="H31" s="13">
        <v>21847.41</v>
      </c>
    </row>
    <row r="32" spans="1:8" ht="24.95" customHeight="1" x14ac:dyDescent="0.25">
      <c r="A32" s="8" t="s">
        <v>26</v>
      </c>
      <c r="C32" s="8" t="s">
        <v>17</v>
      </c>
      <c r="D32" s="13">
        <v>850</v>
      </c>
      <c r="E32" s="13">
        <v>0</v>
      </c>
      <c r="F32" s="13">
        <v>29926</v>
      </c>
      <c r="G32" s="14">
        <f>SUM(F31:F32)</f>
        <v>51698.41</v>
      </c>
      <c r="H32" s="13">
        <v>30001</v>
      </c>
    </row>
    <row r="33" spans="1:8" ht="24.95" customHeight="1" x14ac:dyDescent="0.25">
      <c r="D33" s="13"/>
      <c r="E33" s="13"/>
      <c r="F33" s="13"/>
      <c r="G33" s="13"/>
      <c r="H33" s="13"/>
    </row>
    <row r="34" spans="1:8" ht="24.95" customHeight="1" x14ac:dyDescent="0.25">
      <c r="A34" s="8" t="s">
        <v>114</v>
      </c>
      <c r="C34" s="8" t="s">
        <v>42</v>
      </c>
      <c r="D34" s="13">
        <v>850</v>
      </c>
      <c r="E34" s="13">
        <v>0</v>
      </c>
      <c r="F34" s="14">
        <v>34478.06</v>
      </c>
      <c r="G34" s="13"/>
      <c r="H34" s="13">
        <v>34553.06</v>
      </c>
    </row>
    <row r="35" spans="1:8" ht="24.95" customHeight="1" x14ac:dyDescent="0.25">
      <c r="D35" s="13"/>
      <c r="E35" s="13"/>
      <c r="F35" s="13"/>
      <c r="G35" s="13"/>
      <c r="H35" s="13"/>
    </row>
    <row r="36" spans="1:8" ht="24.95" customHeight="1" x14ac:dyDescent="0.25">
      <c r="A36" s="8" t="s">
        <v>49</v>
      </c>
      <c r="C36" s="8" t="s">
        <v>17</v>
      </c>
      <c r="D36" s="13">
        <v>500</v>
      </c>
      <c r="E36" s="13">
        <v>0</v>
      </c>
      <c r="F36" s="13">
        <v>18956.439999999999</v>
      </c>
      <c r="G36" s="13"/>
      <c r="H36" s="13">
        <v>19031.439999999999</v>
      </c>
    </row>
    <row r="37" spans="1:8" ht="24.95" customHeight="1" x14ac:dyDescent="0.25">
      <c r="A37" s="8" t="s">
        <v>49</v>
      </c>
      <c r="C37" s="8" t="s">
        <v>42</v>
      </c>
      <c r="D37" s="13">
        <v>750</v>
      </c>
      <c r="E37" s="13">
        <v>0</v>
      </c>
      <c r="F37" s="13">
        <v>28200.99</v>
      </c>
      <c r="G37" s="13"/>
      <c r="H37" s="13">
        <v>28275.99</v>
      </c>
    </row>
    <row r="38" spans="1:8" ht="24.95" customHeight="1" x14ac:dyDescent="0.25">
      <c r="A38" s="8" t="s">
        <v>49</v>
      </c>
      <c r="C38" s="8" t="s">
        <v>42</v>
      </c>
      <c r="D38" s="13">
        <v>850</v>
      </c>
      <c r="E38" s="13">
        <v>0</v>
      </c>
      <c r="F38" s="13">
        <v>33065.93</v>
      </c>
      <c r="G38" s="14">
        <f>SUM(F36:F38)</f>
        <v>80223.360000000001</v>
      </c>
      <c r="H38" s="13">
        <v>33140.93</v>
      </c>
    </row>
    <row r="39" spans="1:8" ht="24.95" customHeight="1" x14ac:dyDescent="0.25">
      <c r="D39" s="13"/>
      <c r="E39" s="13"/>
      <c r="F39" s="13"/>
      <c r="G39" s="13"/>
      <c r="H39" s="13"/>
    </row>
    <row r="40" spans="1:8" ht="24.95" customHeight="1" x14ac:dyDescent="0.25">
      <c r="A40" s="8" t="s">
        <v>16</v>
      </c>
      <c r="C40" s="8" t="s">
        <v>17</v>
      </c>
      <c r="D40" s="13">
        <v>500</v>
      </c>
      <c r="E40" s="13">
        <v>0</v>
      </c>
      <c r="F40" s="14">
        <v>17804.75</v>
      </c>
      <c r="G40" s="13"/>
      <c r="H40" s="13">
        <v>17879.75</v>
      </c>
    </row>
    <row r="41" spans="1:8" ht="24.95" customHeight="1" x14ac:dyDescent="0.25">
      <c r="D41" s="13"/>
      <c r="E41" s="13"/>
      <c r="F41" s="14"/>
      <c r="G41" s="13"/>
      <c r="H41" s="13"/>
    </row>
    <row r="42" spans="1:8" ht="24.95" customHeight="1" x14ac:dyDescent="0.25">
      <c r="A42" s="8" t="s">
        <v>30</v>
      </c>
      <c r="C42" s="8" t="s">
        <v>17</v>
      </c>
      <c r="D42" s="13">
        <v>750</v>
      </c>
      <c r="E42" s="13">
        <v>0</v>
      </c>
      <c r="F42" s="14">
        <v>27524.38</v>
      </c>
      <c r="G42" s="13"/>
      <c r="H42" s="13">
        <v>27599.38</v>
      </c>
    </row>
    <row r="43" spans="1:8" ht="24.95" customHeight="1" x14ac:dyDescent="0.25">
      <c r="D43" s="13"/>
      <c r="E43" s="13"/>
      <c r="F43" s="13"/>
      <c r="G43" s="13"/>
      <c r="H43" s="13"/>
    </row>
    <row r="44" spans="1:8" ht="24.95" customHeight="1" x14ac:dyDescent="0.25">
      <c r="A44" s="8" t="s">
        <v>53</v>
      </c>
      <c r="C44" s="8" t="s">
        <v>42</v>
      </c>
      <c r="D44" s="13">
        <v>1050</v>
      </c>
      <c r="E44" s="13">
        <v>0</v>
      </c>
      <c r="F44" s="13">
        <v>42415.98</v>
      </c>
      <c r="G44" s="13"/>
      <c r="H44" s="13">
        <v>42490.98</v>
      </c>
    </row>
    <row r="45" spans="1:8" ht="24.95" customHeight="1" x14ac:dyDescent="0.25">
      <c r="A45" s="8" t="s">
        <v>53</v>
      </c>
      <c r="C45" s="8" t="s">
        <v>54</v>
      </c>
      <c r="D45" s="13">
        <v>650</v>
      </c>
      <c r="E45" s="13">
        <v>0</v>
      </c>
      <c r="F45" s="13">
        <v>22236.33</v>
      </c>
      <c r="G45" s="14">
        <f>SUM(F44:F45)</f>
        <v>64652.310000000005</v>
      </c>
      <c r="H45" s="13">
        <v>22311.33</v>
      </c>
    </row>
    <row r="46" spans="1:8" ht="24.95" customHeight="1" x14ac:dyDescent="0.25">
      <c r="D46" s="13"/>
      <c r="E46" s="13"/>
      <c r="F46" s="13"/>
      <c r="G46" s="13"/>
      <c r="H46" s="13"/>
    </row>
    <row r="47" spans="1:8" ht="24.95" customHeight="1" x14ac:dyDescent="0.25">
      <c r="A47" s="8" t="s">
        <v>90</v>
      </c>
      <c r="C47" s="8" t="s">
        <v>17</v>
      </c>
      <c r="D47" s="13">
        <v>850</v>
      </c>
      <c r="E47" s="13">
        <v>0</v>
      </c>
      <c r="F47" s="14">
        <v>32246.25</v>
      </c>
      <c r="G47" s="13"/>
      <c r="H47" s="13">
        <v>32321.25</v>
      </c>
    </row>
    <row r="48" spans="1:8" ht="24.95" customHeight="1" x14ac:dyDescent="0.25">
      <c r="D48" s="13"/>
      <c r="E48" s="13"/>
      <c r="F48" s="13"/>
      <c r="G48" s="13"/>
      <c r="H48" s="13"/>
    </row>
    <row r="49" spans="1:8" x14ac:dyDescent="0.25">
      <c r="A49" s="15"/>
      <c r="B49" s="15"/>
      <c r="C49" s="15"/>
      <c r="D49" s="16">
        <f>SUM(D4:D47)</f>
        <v>20050</v>
      </c>
      <c r="E49" s="16">
        <f>SUM(E4:E47)</f>
        <v>0</v>
      </c>
      <c r="F49" s="16">
        <f>SUM(F4:F47)</f>
        <v>809156.52999999991</v>
      </c>
      <c r="G49" s="16"/>
      <c r="H49" s="16">
        <f>SUM(H4:H47)</f>
        <v>811031.52999999991</v>
      </c>
    </row>
  </sheetData>
  <mergeCells count="2">
    <mergeCell ref="A2:D2"/>
    <mergeCell ref="E2:H2"/>
  </mergeCells>
  <pageMargins left="0.7" right="0.2" top="0.75" bottom="0.75" header="0.3" footer="0.3"/>
  <pageSetup scale="84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8B37-D3FD-429C-BBA4-2B65BCE3B49C}">
  <sheetPr>
    <pageSetUpPr fitToPage="1"/>
  </sheetPr>
  <dimension ref="A1:E18"/>
  <sheetViews>
    <sheetView workbookViewId="0">
      <selection activeCell="G17" sqref="G17"/>
    </sheetView>
  </sheetViews>
  <sheetFormatPr defaultRowHeight="15" x14ac:dyDescent="0.25"/>
  <cols>
    <col min="1" max="1" width="13.5703125" customWidth="1"/>
    <col min="2" max="2" width="10.42578125" customWidth="1"/>
    <col min="3" max="3" width="15" customWidth="1"/>
    <col min="4" max="4" width="8.42578125" customWidth="1"/>
    <col min="5" max="5" width="27.7109375" customWidth="1"/>
  </cols>
  <sheetData>
    <row r="1" spans="1:5" ht="24.95" customHeight="1" x14ac:dyDescent="0.25">
      <c r="A1" t="s">
        <v>128</v>
      </c>
      <c r="D1" s="2"/>
      <c r="E1" s="6">
        <v>45904</v>
      </c>
    </row>
    <row r="2" spans="1:5" ht="24.95" customHeight="1" x14ac:dyDescent="0.25">
      <c r="A2" s="3" t="s">
        <v>0</v>
      </c>
      <c r="B2" s="4"/>
      <c r="C2" s="4"/>
      <c r="D2" s="5" t="s">
        <v>126</v>
      </c>
      <c r="E2" s="4"/>
    </row>
    <row r="3" spans="1:5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38</v>
      </c>
      <c r="B4" t="s">
        <v>39</v>
      </c>
      <c r="C4" t="s">
        <v>40</v>
      </c>
      <c r="E4" t="s">
        <v>41</v>
      </c>
    </row>
    <row r="5" spans="1:5" ht="24.95" customHeight="1" x14ac:dyDescent="0.25">
      <c r="A5" s="1"/>
      <c r="B5" s="1"/>
      <c r="C5" s="1" t="s">
        <v>127</v>
      </c>
      <c r="D5" s="1"/>
      <c r="E5" s="1"/>
    </row>
    <row r="10" spans="1:5" x14ac:dyDescent="0.25">
      <c r="A10" t="s">
        <v>129</v>
      </c>
      <c r="B10" s="7"/>
      <c r="C10" s="7"/>
      <c r="D10" s="7"/>
    </row>
    <row r="14" spans="1:5" x14ac:dyDescent="0.25">
      <c r="A14" t="s">
        <v>130</v>
      </c>
      <c r="B14" s="7"/>
      <c r="C14" s="7"/>
      <c r="D14" s="7"/>
    </row>
    <row r="18" spans="1:3" x14ac:dyDescent="0.25">
      <c r="A18" t="s">
        <v>131</v>
      </c>
      <c r="B18" s="7"/>
      <c r="C18" s="7"/>
    </row>
  </sheetData>
  <mergeCells count="2">
    <mergeCell ref="A2:C2"/>
    <mergeCell ref="D2:E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2025-09-04T18:57:34Z</cp:lastPrinted>
  <dcterms:created xsi:type="dcterms:W3CDTF">2025-09-04T18:33:17Z</dcterms:created>
  <dcterms:modified xsi:type="dcterms:W3CDTF">2025-09-04T19:36:17Z</dcterms:modified>
</cp:coreProperties>
</file>