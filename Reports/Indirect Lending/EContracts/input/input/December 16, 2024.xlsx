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472FF3D4-1ED6-4FD2-BBB5-3D91D88ADA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H15" i="2"/>
  <c r="H25" i="1"/>
  <c r="H24" i="1"/>
  <c r="E24" i="1"/>
  <c r="D24" i="1"/>
  <c r="C24" i="1"/>
</calcChain>
</file>

<file path=xl/sharedStrings.xml><?xml version="1.0" encoding="utf-8"?>
<sst xmlns="http://schemas.openxmlformats.org/spreadsheetml/2006/main" count="162" uniqueCount="91">
  <si>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</si>
  <si>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</si>
  <si>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</si>
  <si>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</si>
  <si>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</si>
  <si>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</si>
  <si>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</si>
  <si>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</si>
  <si>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</si>
  <si>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</si>
  <si>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Bailey's Motor Sales Inc</t>
  </si>
  <si>
    <t>Neli Oliveira</t>
  </si>
  <si>
    <t>Bald Hill Kia</t>
  </si>
  <si>
    <t>Marlene Braganca</t>
  </si>
  <si>
    <t>BID Cars Boston</t>
  </si>
  <si>
    <t>Rachel Gorham</t>
  </si>
  <si>
    <t>Coastal Volkswagon</t>
  </si>
  <si>
    <t>Flood Mazda</t>
  </si>
  <si>
    <t>Grieco Toyota</t>
  </si>
  <si>
    <t>Mastria Kia</t>
  </si>
  <si>
    <t>New England Automax Inc (marlborough)</t>
  </si>
  <si>
    <t>Planet Automotive Sales LLC</t>
  </si>
  <si>
    <t>Viti Mercedes</t>
  </si>
  <si>
    <t>Column1</t>
  </si>
  <si>
    <t>Column2</t>
  </si>
  <si>
    <t>5099   5689</t>
  </si>
  <si>
    <t># 11</t>
  </si>
  <si>
    <t>BABBY</t>
  </si>
  <si>
    <t>kmarcus62km@gmail.com</t>
  </si>
  <si>
    <t>MARCUS, KAREN</t>
  </si>
  <si>
    <t>E Contract</t>
  </si>
  <si>
    <t>Route One</t>
  </si>
  <si>
    <t>HOSKINS</t>
  </si>
  <si>
    <t>FRANCINE.OBRIEN@COMCAST.NET</t>
  </si>
  <si>
    <t>DASILVA, FRANCINE</t>
  </si>
  <si>
    <t>DealerTrack</t>
  </si>
  <si>
    <t>FRANCIS</t>
  </si>
  <si>
    <t>CHILDS, OLIVER</t>
  </si>
  <si>
    <t>CARRIGG</t>
  </si>
  <si>
    <t>O'NEILL</t>
  </si>
  <si>
    <t>MIKEM473@VERIZON.NET</t>
  </si>
  <si>
    <t>MULCAHY, MARY</t>
  </si>
  <si>
    <t>MULCAHY, MICHAEL</t>
  </si>
  <si>
    <t>Paper</t>
  </si>
  <si>
    <t>151128496</t>
  </si>
  <si>
    <t>MCMAHON</t>
  </si>
  <si>
    <t>MAGGIESTILLMAN21@GMAIL.COM</t>
  </si>
  <si>
    <t>STILLMAN, MARGARET</t>
  </si>
  <si>
    <t>HULL</t>
  </si>
  <si>
    <t>GOMES, CAITLIN</t>
  </si>
  <si>
    <t>151128446</t>
  </si>
  <si>
    <t>GREY</t>
  </si>
  <si>
    <t>ANDERSON, ROMAINE</t>
  </si>
  <si>
    <t>LEWIS</t>
  </si>
  <si>
    <t>scorbett1103@gmail.com</t>
  </si>
  <si>
    <t>CORBETT, SUZANNE</t>
  </si>
  <si>
    <t>SOUZA</t>
  </si>
  <si>
    <t>MASON2OFFICIAL@ICLOUD.COM</t>
  </si>
  <si>
    <t>MAIATO, MASON</t>
  </si>
  <si>
    <t>Stanish</t>
  </si>
  <si>
    <t>AEKINDER122@GMAIL.COM</t>
  </si>
  <si>
    <t>KINDER, ABIGAIL</t>
  </si>
  <si>
    <t>BURNS</t>
  </si>
  <si>
    <t>STEVENBURNS22@GMAIL.COM</t>
  </si>
  <si>
    <t>BURNS, STEVEN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</si>
  <si>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</si>
  <si>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</si>
  <si>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</si>
  <si>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</si>
  <si>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</si>
  <si>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</si>
  <si>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</si>
  <si>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</si>
  <si>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</si>
  <si>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</si>
  <si>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</si>
  <si>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</si>
  <si>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151128371e</t>
  </si>
  <si>
    <t>151128389e</t>
  </si>
  <si>
    <t>151128397e</t>
  </si>
  <si>
    <t>151128412e</t>
  </si>
  <si>
    <t>151128420e</t>
  </si>
  <si>
    <t>151128488e</t>
  </si>
  <si>
    <t>151128503e</t>
  </si>
  <si>
    <t>151128537e</t>
  </si>
  <si>
    <t>151128553e</t>
  </si>
  <si>
    <t>Date Signed______________________________________________________________</t>
  </si>
  <si>
    <t>Received By________________________________________________________________</t>
  </si>
  <si>
    <t>Delivered By_________________________________________________________________</t>
  </si>
  <si>
    <t># 2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</si>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</sst>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3ACDE669-CE55-4031-8D97-7795E93A090E}"/>
  </cellStyles>
  <dxfs count="26">
    <dxf>
      <numFmt numFmtId="11" formatCode="&quot;$&quot;#,##0.00_);\(&quot;$&quot;#,##0.00\)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5" totalsRowCount="1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F743BABD-F685-458A-A4A4-4EE5481BE721}" name="Column1" dataDxfId="0"/>
    <tableColumn id="8" xr3:uid="{70F049A9-93F6-4A8E-A232-90D44EB383B7}" name="Column2" dataDxfId="25"/>
    <tableColumn id="6" xr3:uid="{00000000-0010-0000-0000-000006000000}" name="Contracted Amount Financed" totalsRowFunction="custom">
      <totalsRowFormula>COUNT(H4:H23)</totalsRow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69D81A-13FD-45B5-947D-C8FBD6EF0201}" name="Table_13" displayName="Table_13" ref="A3:M15" headerRowDxfId="11" dataDxfId="9" totalsRowDxfId="10">
  <tableColumns count="13">
    <tableColumn id="1" xr3:uid="{00000000-0010-0000-0000-000001000000}" name="Account Number" dataDxfId="24"/>
    <tableColumn id="2" xr3:uid="{00000000-0010-0000-0000-000002000000}" name="Portal" dataDxfId="23"/>
    <tableColumn id="3" xr3:uid="{00000000-0010-0000-0000-000003000000}" name="Contract Type" dataDxfId="22"/>
    <tableColumn id="4" xr3:uid="{00000000-0010-0000-0000-000004000000}" name="Applicant Name" dataDxfId="21"/>
    <tableColumn id="5" xr3:uid="{00000000-0010-0000-0000-000005000000}" name="Co-Applicant Name" dataDxfId="20"/>
    <tableColumn id="6" xr3:uid="{00000000-0010-0000-0000-000006000000}" name="Dealer Name" dataDxfId="19"/>
    <tableColumn id="7" xr3:uid="{00000000-0010-0000-0000-000007000000}" name="Funded by" dataDxfId="18"/>
    <tableColumn id="8" xr3:uid="{00000000-0010-0000-0000-000008000000}" name="Amount Financed" dataDxfId="17"/>
    <tableColumn id="9" xr3:uid="{00000000-0010-0000-0000-000009000000}" name="Applicant Email" dataDxfId="16"/>
    <tableColumn id="10" xr3:uid="{00000000-0010-0000-0000-00000A000000}" name="Co-Applicant Email" dataDxfId="15"/>
    <tableColumn id="11" xr3:uid="{00000000-0010-0000-0000-00000B000000}" name="App MMN" dataDxfId="14"/>
    <tableColumn id="12" xr3:uid="{00000000-0010-0000-0000-00000C000000}" name="Co-App MMN" dataDxfId="13"/>
    <tableColumn id="13" xr3:uid="{00000000-0010-0000-0000-00000D000000}" name="Business Name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F9AE14-A601-463D-BA2B-7A864B4715DF}" name="Table_14" displayName="Table_14" ref="A3:E6" headerRowDxfId="3" dataDxfId="1" totalsRowDxfId="2">
  <tableColumns count="5">
    <tableColumn id="1" xr3:uid="{00000000-0010-0000-0000-000001000000}" name="Account Number" dataDxfId="8"/>
    <tableColumn id="2" xr3:uid="{00000000-0010-0000-0000-000002000000}" name="Contract Type" dataDxfId="7"/>
    <tableColumn id="3" xr3:uid="{00000000-0010-0000-0000-000003000000}" name="Applicant Name" dataDxfId="6"/>
    <tableColumn id="4" xr3:uid="{00000000-0010-0000-0000-000004000000}" name="Co-Applicant Name" dataDxfId="5"/>
    <tableColumn id="5" xr3:uid="{00000000-0010-0000-0000-000005000000}" name="Dealer Name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tabSelected="1" workbookViewId="0">
      <pane ySplit="3" topLeftCell="A4" activePane="bottomLeft" state="frozen"/>
      <selection pane="bottomLeft" activeCell="G29" sqref="G29"/>
    </sheetView>
  </sheetViews>
  <sheetFormatPr defaultRowHeight="15" x14ac:dyDescent="0.25"/>
  <cols>
    <col min="1" max="1" width="39" bestFit="1" customWidth="1"/>
    <col min="2" max="2" width="17.7109375" bestFit="1" customWidth="1"/>
    <col min="3" max="3" width="11.140625" bestFit="1" customWidth="1"/>
    <col min="4" max="4" width="19.28515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45642</v>
      </c>
      <c r="E1" t="s">
        <v>2</v>
      </c>
      <c r="H1" s="4">
        <v>45642.999988425923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23</v>
      </c>
      <c r="G3" t="s">
        <v>24</v>
      </c>
      <c r="H3" t="s">
        <v>9</v>
      </c>
    </row>
    <row r="4" spans="1:8" x14ac:dyDescent="0.25">
      <c r="A4" t="s">
        <v>10</v>
      </c>
      <c r="B4" t="s">
        <v>11</v>
      </c>
      <c r="C4" s="2">
        <v>450</v>
      </c>
      <c r="D4" s="2">
        <v>0</v>
      </c>
      <c r="E4" s="2">
        <v>24057.65</v>
      </c>
      <c r="F4" s="2"/>
      <c r="G4" s="2"/>
      <c r="H4" s="2">
        <v>24132.65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350</v>
      </c>
      <c r="D6" s="2">
        <v>0</v>
      </c>
      <c r="E6" s="2">
        <v>17081.55</v>
      </c>
      <c r="F6" s="2"/>
      <c r="G6" s="2"/>
      <c r="H6" s="2">
        <v>17156.55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15</v>
      </c>
      <c r="C8" s="2">
        <v>600</v>
      </c>
      <c r="D8" s="2">
        <v>0</v>
      </c>
      <c r="E8" s="2">
        <v>30016.69</v>
      </c>
      <c r="F8" s="2"/>
      <c r="G8" s="2"/>
      <c r="H8" s="2">
        <v>30091.69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16</v>
      </c>
      <c r="B10" t="s">
        <v>11</v>
      </c>
      <c r="C10" s="2">
        <v>200</v>
      </c>
      <c r="D10" s="2">
        <v>0</v>
      </c>
      <c r="E10" s="2">
        <v>13364.25</v>
      </c>
      <c r="F10" s="2"/>
      <c r="G10" s="2"/>
      <c r="H10" s="2">
        <v>13439.25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17</v>
      </c>
      <c r="B12" t="s">
        <v>11</v>
      </c>
      <c r="C12" s="2">
        <v>500</v>
      </c>
      <c r="D12" s="2">
        <v>0</v>
      </c>
      <c r="E12" s="2">
        <v>27243.439999999999</v>
      </c>
      <c r="F12" s="2"/>
      <c r="G12" s="2"/>
      <c r="H12" s="2">
        <v>27318.44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18</v>
      </c>
      <c r="B14" t="s">
        <v>11</v>
      </c>
      <c r="C14" s="2">
        <v>600</v>
      </c>
      <c r="D14" s="2">
        <v>0</v>
      </c>
      <c r="E14" s="2">
        <v>33477.879999999997</v>
      </c>
      <c r="F14" s="2"/>
      <c r="G14" s="2"/>
      <c r="H14" s="2">
        <v>33552.879999999997</v>
      </c>
    </row>
    <row r="15" spans="1:8" x14ac:dyDescent="0.25">
      <c r="A15" t="s">
        <v>18</v>
      </c>
      <c r="B15" t="s">
        <v>11</v>
      </c>
      <c r="C15" s="2">
        <v>600</v>
      </c>
      <c r="D15" s="2">
        <v>0</v>
      </c>
      <c r="E15" s="2">
        <v>33414.75</v>
      </c>
      <c r="F15" s="2">
        <f>SUM(E14:E15)</f>
        <v>66892.63</v>
      </c>
      <c r="G15" s="2"/>
      <c r="H15" s="2">
        <v>33489.75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19</v>
      </c>
      <c r="B17" t="s">
        <v>15</v>
      </c>
      <c r="C17" s="2">
        <v>1000</v>
      </c>
      <c r="D17" s="2">
        <v>0</v>
      </c>
      <c r="E17" s="2">
        <v>54265.8</v>
      </c>
      <c r="F17" s="2"/>
      <c r="G17" s="2" t="s">
        <v>25</v>
      </c>
      <c r="H17" s="2">
        <v>54340.800000000003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20</v>
      </c>
      <c r="B19" t="s">
        <v>13</v>
      </c>
      <c r="C19" s="2">
        <v>500</v>
      </c>
      <c r="D19" s="2">
        <v>0</v>
      </c>
      <c r="E19" s="2">
        <v>26617.69</v>
      </c>
      <c r="F19" s="2"/>
      <c r="G19" s="2"/>
      <c r="H19" s="2">
        <v>26692.69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21</v>
      </c>
      <c r="B21" t="s">
        <v>15</v>
      </c>
      <c r="C21" s="2">
        <v>500</v>
      </c>
      <c r="D21" s="2">
        <v>0</v>
      </c>
      <c r="E21" s="2">
        <v>28040.560000000001</v>
      </c>
      <c r="F21" s="2"/>
      <c r="G21" s="2"/>
      <c r="H21" s="2">
        <v>28115.56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22</v>
      </c>
      <c r="B23" t="s">
        <v>15</v>
      </c>
      <c r="C23" s="2">
        <v>600</v>
      </c>
      <c r="D23" s="2">
        <v>0</v>
      </c>
      <c r="E23" s="2">
        <v>30396.44</v>
      </c>
      <c r="F23" s="2"/>
      <c r="G23" s="2"/>
      <c r="H23" s="2">
        <v>30471.439999999999</v>
      </c>
    </row>
    <row r="24" spans="1:8" x14ac:dyDescent="0.25">
      <c r="A24" s="1"/>
      <c r="B24" s="1"/>
      <c r="C24" s="3">
        <f>SUM(C4:C23)</f>
        <v>5900</v>
      </c>
      <c r="D24" s="3">
        <f>SUM(D4:D23)</f>
        <v>0</v>
      </c>
      <c r="E24" s="3">
        <f>SUM(E4:E23)</f>
        <v>317976.7</v>
      </c>
      <c r="F24" s="3"/>
      <c r="G24" s="3"/>
      <c r="H24" s="3">
        <f>SUM(H4:H23)</f>
        <v>318801.7</v>
      </c>
    </row>
    <row r="25" spans="1:8" x14ac:dyDescent="0.25">
      <c r="H25">
        <f>COUNT(H4:H23)</f>
        <v>11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A4C4-C047-4A0F-96FD-6E4F14BBEC07}">
  <sheetPr>
    <pageSetUpPr fitToPage="1"/>
  </sheetPr>
  <dimension ref="A1:M16"/>
  <sheetViews>
    <sheetView workbookViewId="0">
      <pane ySplit="3" topLeftCell="A4" activePane="bottomLeft" state="frozen"/>
      <selection pane="bottomLeft" activeCell="F8" sqref="F8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1.5703125" style="8" bestFit="1" customWidth="1"/>
    <col min="5" max="5" width="18.7109375" style="8" bestFit="1" customWidth="1"/>
    <col min="6" max="6" width="39" style="8" bestFit="1" customWidth="1"/>
    <col min="7" max="7" width="17.7109375" style="8" bestFit="1" customWidth="1"/>
    <col min="8" max="8" width="17.140625" style="8" bestFit="1" customWidth="1"/>
    <col min="9" max="9" width="33.140625" style="8" bestFit="1" customWidth="1"/>
    <col min="10" max="10" width="18.42578125" style="8" bestFit="1" customWidth="1"/>
    <col min="11" max="11" width="19.28515625" style="8" bestFit="1" customWidth="1"/>
    <col min="12" max="12" width="12.85546875" style="8" bestFit="1" customWidth="1"/>
    <col min="13" max="13" width="19.28515625" style="8" bestFit="1" customWidth="1"/>
    <col min="14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45642</v>
      </c>
      <c r="L1" s="9" t="s">
        <v>2</v>
      </c>
      <c r="M1" s="10">
        <v>45642.999988425923</v>
      </c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76</v>
      </c>
      <c r="H2" s="12"/>
      <c r="I2" s="12"/>
      <c r="J2" s="12"/>
      <c r="K2" s="12"/>
      <c r="L2" s="12"/>
      <c r="M2" s="12"/>
    </row>
    <row r="3" spans="1:13" ht="35.1" customHeight="1" x14ac:dyDescent="0.25">
      <c r="A3" s="9" t="s">
        <v>75</v>
      </c>
      <c r="B3" s="9" t="s">
        <v>74</v>
      </c>
      <c r="C3" s="9" t="s">
        <v>73</v>
      </c>
      <c r="D3" s="9" t="s">
        <v>72</v>
      </c>
      <c r="E3" s="9" t="s">
        <v>71</v>
      </c>
      <c r="F3" s="9" t="s">
        <v>4</v>
      </c>
      <c r="G3" s="9" t="s">
        <v>5</v>
      </c>
      <c r="H3" s="9" t="s">
        <v>70</v>
      </c>
      <c r="I3" s="9" t="s">
        <v>69</v>
      </c>
      <c r="J3" s="9" t="s">
        <v>68</v>
      </c>
      <c r="K3" s="9" t="s">
        <v>67</v>
      </c>
      <c r="L3" s="9" t="s">
        <v>66</v>
      </c>
      <c r="M3" s="9" t="s">
        <v>65</v>
      </c>
    </row>
    <row r="4" spans="1:13" ht="35.1" customHeight="1" x14ac:dyDescent="0.25">
      <c r="A4" s="9" t="s">
        <v>77</v>
      </c>
      <c r="B4" s="9" t="s">
        <v>35</v>
      </c>
      <c r="C4" s="9" t="s">
        <v>30</v>
      </c>
      <c r="D4" s="9" t="s">
        <v>64</v>
      </c>
      <c r="E4" s="9"/>
      <c r="F4" s="9" t="s">
        <v>19</v>
      </c>
      <c r="G4" s="9" t="s">
        <v>15</v>
      </c>
      <c r="H4" s="14">
        <v>54340.800000000003</v>
      </c>
      <c r="I4" s="9" t="s">
        <v>63</v>
      </c>
      <c r="J4" s="9"/>
      <c r="K4" s="9" t="s">
        <v>62</v>
      </c>
      <c r="L4" s="9"/>
      <c r="M4" s="9"/>
    </row>
    <row r="5" spans="1:13" ht="35.1" customHeight="1" x14ac:dyDescent="0.25">
      <c r="A5" s="9" t="s">
        <v>78</v>
      </c>
      <c r="B5" s="9" t="s">
        <v>35</v>
      </c>
      <c r="C5" s="9" t="s">
        <v>30</v>
      </c>
      <c r="D5" s="9" t="s">
        <v>61</v>
      </c>
      <c r="E5" s="9"/>
      <c r="F5" s="9" t="s">
        <v>12</v>
      </c>
      <c r="G5" s="9" t="s">
        <v>13</v>
      </c>
      <c r="H5" s="14">
        <v>17156.55</v>
      </c>
      <c r="I5" s="9" t="s">
        <v>60</v>
      </c>
      <c r="J5" s="9"/>
      <c r="K5" s="9" t="s">
        <v>59</v>
      </c>
      <c r="L5" s="9"/>
      <c r="M5" s="9"/>
    </row>
    <row r="6" spans="1:13" ht="35.1" customHeight="1" x14ac:dyDescent="0.25">
      <c r="A6" s="9" t="s">
        <v>79</v>
      </c>
      <c r="B6" s="9" t="s">
        <v>35</v>
      </c>
      <c r="C6" s="9" t="s">
        <v>30</v>
      </c>
      <c r="D6" s="9" t="s">
        <v>58</v>
      </c>
      <c r="E6" s="9"/>
      <c r="F6" s="9" t="s">
        <v>14</v>
      </c>
      <c r="G6" s="9" t="s">
        <v>15</v>
      </c>
      <c r="H6" s="14">
        <v>30091.69</v>
      </c>
      <c r="I6" s="9" t="s">
        <v>57</v>
      </c>
      <c r="J6" s="9"/>
      <c r="K6" s="9" t="s">
        <v>56</v>
      </c>
      <c r="L6" s="9"/>
      <c r="M6" s="9"/>
    </row>
    <row r="7" spans="1:13" ht="35.1" customHeight="1" x14ac:dyDescent="0.25">
      <c r="A7" s="9" t="s">
        <v>80</v>
      </c>
      <c r="B7" s="9" t="s">
        <v>31</v>
      </c>
      <c r="C7" s="9" t="s">
        <v>30</v>
      </c>
      <c r="D7" s="9" t="s">
        <v>55</v>
      </c>
      <c r="E7" s="9"/>
      <c r="F7" s="9" t="s">
        <v>18</v>
      </c>
      <c r="G7" s="9" t="s">
        <v>11</v>
      </c>
      <c r="H7" s="14">
        <v>33552.879999999997</v>
      </c>
      <c r="I7" s="9" t="s">
        <v>54</v>
      </c>
      <c r="J7" s="9"/>
      <c r="K7" s="9" t="s">
        <v>53</v>
      </c>
      <c r="L7" s="9"/>
      <c r="M7" s="9"/>
    </row>
    <row r="8" spans="1:13" ht="35.1" customHeight="1" x14ac:dyDescent="0.25">
      <c r="A8" s="9" t="s">
        <v>81</v>
      </c>
      <c r="B8" s="9" t="s">
        <v>31</v>
      </c>
      <c r="C8" s="9" t="s">
        <v>30</v>
      </c>
      <c r="D8" s="9" t="s">
        <v>52</v>
      </c>
      <c r="E8" s="9"/>
      <c r="F8" s="9" t="s">
        <v>18</v>
      </c>
      <c r="G8" s="9" t="s">
        <v>11</v>
      </c>
      <c r="H8" s="14">
        <v>33489.75</v>
      </c>
      <c r="I8" s="9"/>
      <c r="J8" s="9"/>
      <c r="K8" s="9" t="s">
        <v>51</v>
      </c>
      <c r="L8" s="9"/>
      <c r="M8" s="9"/>
    </row>
    <row r="9" spans="1:13" ht="35.1" customHeight="1" x14ac:dyDescent="0.25">
      <c r="A9" s="9" t="s">
        <v>50</v>
      </c>
      <c r="B9" s="9" t="s">
        <v>31</v>
      </c>
      <c r="C9" s="9" t="s">
        <v>43</v>
      </c>
      <c r="D9" s="9" t="s">
        <v>49</v>
      </c>
      <c r="E9" s="9"/>
      <c r="F9" s="9" t="s">
        <v>17</v>
      </c>
      <c r="G9" s="9" t="s">
        <v>11</v>
      </c>
      <c r="H9" s="14">
        <v>27318.44</v>
      </c>
      <c r="I9" s="9"/>
      <c r="J9" s="9"/>
      <c r="K9" s="9" t="s">
        <v>48</v>
      </c>
      <c r="L9" s="9"/>
      <c r="M9" s="9"/>
    </row>
    <row r="10" spans="1:13" ht="35.1" customHeight="1" x14ac:dyDescent="0.25">
      <c r="A10" s="9" t="s">
        <v>82</v>
      </c>
      <c r="B10" s="9" t="s">
        <v>35</v>
      </c>
      <c r="C10" s="9" t="s">
        <v>30</v>
      </c>
      <c r="D10" s="9" t="s">
        <v>47</v>
      </c>
      <c r="E10" s="9"/>
      <c r="F10" s="9" t="s">
        <v>16</v>
      </c>
      <c r="G10" s="9" t="s">
        <v>11</v>
      </c>
      <c r="H10" s="14">
        <v>13439.25</v>
      </c>
      <c r="I10" s="9" t="s">
        <v>46</v>
      </c>
      <c r="J10" s="9"/>
      <c r="K10" s="9" t="s">
        <v>45</v>
      </c>
      <c r="L10" s="9"/>
      <c r="M10" s="9"/>
    </row>
    <row r="11" spans="1:13" ht="35.1" customHeight="1" x14ac:dyDescent="0.25">
      <c r="A11" s="9" t="s">
        <v>44</v>
      </c>
      <c r="B11" s="9" t="s">
        <v>35</v>
      </c>
      <c r="C11" s="9" t="s">
        <v>43</v>
      </c>
      <c r="D11" s="9" t="s">
        <v>42</v>
      </c>
      <c r="E11" s="9" t="s">
        <v>41</v>
      </c>
      <c r="F11" s="9" t="s">
        <v>21</v>
      </c>
      <c r="G11" s="9" t="s">
        <v>15</v>
      </c>
      <c r="H11" s="14">
        <v>28115.56</v>
      </c>
      <c r="I11" s="9" t="s">
        <v>40</v>
      </c>
      <c r="J11" s="9"/>
      <c r="K11" s="9" t="s">
        <v>39</v>
      </c>
      <c r="L11" s="9" t="s">
        <v>38</v>
      </c>
      <c r="M11" s="9"/>
    </row>
    <row r="12" spans="1:13" ht="35.1" customHeight="1" x14ac:dyDescent="0.25">
      <c r="A12" s="9" t="s">
        <v>83</v>
      </c>
      <c r="B12" s="9" t="s">
        <v>35</v>
      </c>
      <c r="C12" s="9" t="s">
        <v>30</v>
      </c>
      <c r="D12" s="9" t="s">
        <v>37</v>
      </c>
      <c r="E12" s="9"/>
      <c r="F12" s="9" t="s">
        <v>20</v>
      </c>
      <c r="G12" s="9" t="s">
        <v>13</v>
      </c>
      <c r="H12" s="14">
        <v>26692.69</v>
      </c>
      <c r="I12" s="9"/>
      <c r="J12" s="9"/>
      <c r="K12" s="9" t="s">
        <v>36</v>
      </c>
      <c r="L12" s="9"/>
      <c r="M12" s="9"/>
    </row>
    <row r="13" spans="1:13" ht="35.1" customHeight="1" x14ac:dyDescent="0.25">
      <c r="A13" s="9" t="s">
        <v>84</v>
      </c>
      <c r="B13" s="9" t="s">
        <v>35</v>
      </c>
      <c r="C13" s="9" t="s">
        <v>30</v>
      </c>
      <c r="D13" s="9" t="s">
        <v>34</v>
      </c>
      <c r="E13" s="9"/>
      <c r="F13" s="9" t="s">
        <v>22</v>
      </c>
      <c r="G13" s="9" t="s">
        <v>15</v>
      </c>
      <c r="H13" s="14">
        <v>30471.439999999999</v>
      </c>
      <c r="I13" s="9" t="s">
        <v>33</v>
      </c>
      <c r="J13" s="9"/>
      <c r="K13" s="9" t="s">
        <v>32</v>
      </c>
      <c r="L13" s="9"/>
      <c r="M13" s="9"/>
    </row>
    <row r="14" spans="1:13" ht="35.1" customHeight="1" x14ac:dyDescent="0.25">
      <c r="A14" s="9" t="s">
        <v>85</v>
      </c>
      <c r="B14" s="9" t="s">
        <v>31</v>
      </c>
      <c r="C14" s="9" t="s">
        <v>30</v>
      </c>
      <c r="D14" s="9" t="s">
        <v>29</v>
      </c>
      <c r="E14" s="9"/>
      <c r="F14" s="9" t="s">
        <v>10</v>
      </c>
      <c r="G14" s="9" t="s">
        <v>11</v>
      </c>
      <c r="H14" s="14">
        <v>24132.65</v>
      </c>
      <c r="I14" s="9" t="s">
        <v>28</v>
      </c>
      <c r="J14" s="9"/>
      <c r="K14" s="9" t="s">
        <v>27</v>
      </c>
      <c r="L14" s="9"/>
      <c r="M14" s="9"/>
    </row>
    <row r="15" spans="1:13" ht="35.1" customHeight="1" x14ac:dyDescent="0.25">
      <c r="A15" s="15"/>
      <c r="B15" s="15"/>
      <c r="C15" s="15"/>
      <c r="D15" s="15" t="s">
        <v>26</v>
      </c>
      <c r="E15" s="15"/>
      <c r="F15" s="15"/>
      <c r="G15" s="15"/>
      <c r="H15" s="16">
        <f>SUM(H4:H14)</f>
        <v>318801.7</v>
      </c>
      <c r="I15" s="15"/>
      <c r="J15" s="15"/>
      <c r="K15" s="15"/>
      <c r="L15" s="15"/>
      <c r="M15" s="15"/>
    </row>
    <row r="16" spans="1:13" ht="35.1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</sheetData>
  <mergeCells count="2">
    <mergeCell ref="A2:F2"/>
    <mergeCell ref="G2:M2"/>
  </mergeCells>
  <pageMargins left="0.7" right="0.7" top="0.75" bottom="0.75" header="0.3" footer="0.3"/>
  <pageSetup paperSize="5" scale="61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347BC-6D7F-4D3B-BE11-31DFEB45378D}">
  <sheetPr>
    <pageSetUpPr fitToPage="1"/>
  </sheetPr>
  <dimension ref="A1:E22"/>
  <sheetViews>
    <sheetView workbookViewId="0">
      <pane ySplit="3" topLeftCell="A4" activePane="bottomLeft" state="frozen"/>
      <selection pane="bottomLeft" activeCell="E16" sqref="E1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1.5703125" style="8" bestFit="1" customWidth="1"/>
    <col min="4" max="4" width="19.28515625" style="8" bestFit="1" customWidth="1"/>
    <col min="5" max="5" width="39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45642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90</v>
      </c>
      <c r="E2" s="12"/>
    </row>
    <row r="3" spans="1:5" x14ac:dyDescent="0.25">
      <c r="A3" s="9" t="s">
        <v>75</v>
      </c>
      <c r="B3" s="9" t="s">
        <v>73</v>
      </c>
      <c r="C3" s="9" t="s">
        <v>72</v>
      </c>
      <c r="D3" s="9" t="s">
        <v>71</v>
      </c>
      <c r="E3" s="9" t="s">
        <v>4</v>
      </c>
    </row>
    <row r="4" spans="1:5" x14ac:dyDescent="0.25">
      <c r="A4" s="9" t="s">
        <v>50</v>
      </c>
      <c r="B4" s="9" t="s">
        <v>43</v>
      </c>
      <c r="C4" s="9" t="s">
        <v>49</v>
      </c>
      <c r="D4" s="9"/>
      <c r="E4" s="9" t="s">
        <v>17</v>
      </c>
    </row>
    <row r="5" spans="1:5" x14ac:dyDescent="0.25">
      <c r="A5" s="9" t="s">
        <v>44</v>
      </c>
      <c r="B5" s="9" t="s">
        <v>43</v>
      </c>
      <c r="C5" s="9" t="s">
        <v>42</v>
      </c>
      <c r="D5" s="9" t="s">
        <v>41</v>
      </c>
      <c r="E5" s="9" t="s">
        <v>21</v>
      </c>
    </row>
    <row r="6" spans="1:5" x14ac:dyDescent="0.25">
      <c r="A6" s="15"/>
      <c r="B6" s="15"/>
      <c r="C6" s="15" t="s">
        <v>89</v>
      </c>
      <c r="D6" s="15"/>
      <c r="E6" s="15"/>
    </row>
    <row r="7" spans="1:5" x14ac:dyDescent="0.25">
      <c r="A7" s="9"/>
      <c r="B7" s="9"/>
      <c r="C7" s="9"/>
      <c r="D7" s="9"/>
      <c r="E7" s="9"/>
    </row>
    <row r="8" spans="1:5" x14ac:dyDescent="0.25">
      <c r="A8" s="9"/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 t="s">
        <v>88</v>
      </c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 t="s">
        <v>87</v>
      </c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 t="s">
        <v>86</v>
      </c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</sheetData>
  <mergeCells count="2">
    <mergeCell ref="A2:C2"/>
    <mergeCell ref="D2:E2"/>
  </mergeCells>
  <pageMargins left="0.7" right="0.7" top="0.75" bottom="0.75" header="0.3" footer="0.3"/>
  <pageSetup scale="8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2024-12-16T19:09:20Z</cp:lastPrinted>
  <dcterms:created xsi:type="dcterms:W3CDTF">2024-12-16T19:02:22Z</dcterms:created>
  <dcterms:modified xsi:type="dcterms:W3CDTF">2024-12-16T19:28:08Z</dcterms:modified>
</cp:coreProperties>
</file>