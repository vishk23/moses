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BA3879B1-A336-473B-B4A0-F83EE15A5BEB}" xr6:coauthVersionLast="47" xr6:coauthVersionMax="47" xr10:uidLastSave="{00000000-0000-0000-0000-000000000000}"/>
  <bookViews>
    <workbookView xWindow="33705" yWindow="975" windowWidth="23700" windowHeight="1362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2" l="1"/>
  <c r="G31" i="2"/>
  <c r="G23" i="2"/>
  <c r="G18" i="2"/>
  <c r="G10" i="2"/>
  <c r="H36" i="2"/>
  <c r="F36" i="2"/>
  <c r="E36" i="2"/>
  <c r="D36" i="2"/>
  <c r="H23" i="1" l="1"/>
</calcChain>
</file>

<file path=xl/sharedStrings.xml><?xml version="1.0" encoding="utf-8"?>
<sst xmlns="http://schemas.openxmlformats.org/spreadsheetml/2006/main" count="256" uniqueCount="136">
  <si>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</si>
  <si>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</si>
  <si>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</si>
  <si>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</si>
  <si>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</si>
  <si>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</si>
  <si>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</si>
  <si>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</si>
  <si>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</si>
  <si>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</si>
  <si>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</si>
  <si>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</si>
  <si>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</si>
  <si>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</si>
  <si>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Route One</t>
  </si>
  <si>
    <t>E Contract</t>
  </si>
  <si>
    <t>DERITA, STEVEN</t>
  </si>
  <si>
    <t>DERITA, KAREN</t>
  </si>
  <si>
    <t>Paul Masse Chevrolet South Inc</t>
  </si>
  <si>
    <t>Rachel Gorham</t>
  </si>
  <si>
    <t>SDERITA28@GMAIL.COM</t>
  </si>
  <si>
    <t>KDERITA2@GMAIL.COM</t>
  </si>
  <si>
    <t>SCHMIDT</t>
  </si>
  <si>
    <t>Mc CALL</t>
  </si>
  <si>
    <t>151222298</t>
  </si>
  <si>
    <t>DealerTrack</t>
  </si>
  <si>
    <t>Paper</t>
  </si>
  <si>
    <t>DZIEDZIC, MELANIA</t>
  </si>
  <si>
    <t>Planet Subaru</t>
  </si>
  <si>
    <t>MELANIA.DZIEDZIC@FEDEX.COM</t>
  </si>
  <si>
    <t>PRUSIECKI</t>
  </si>
  <si>
    <t>BRETON, DANA</t>
  </si>
  <si>
    <t>Alden Mazda</t>
  </si>
  <si>
    <t>PBRETON73@COMCAST.NET</t>
  </si>
  <si>
    <t>DEMERS</t>
  </si>
  <si>
    <t>CENTAURO, PAIGE</t>
  </si>
  <si>
    <t>CENTAURO, PAUL</t>
  </si>
  <si>
    <t>Patriot Auto Group Inc d/b/a</t>
  </si>
  <si>
    <t>sellerspaige1@gmail.com</t>
  </si>
  <si>
    <t>CLOUGH</t>
  </si>
  <si>
    <t>HARLEY</t>
  </si>
  <si>
    <t>FALVEY, TIMOTHY</t>
  </si>
  <si>
    <t>FALVEY, WILMA</t>
  </si>
  <si>
    <t>T F Murphy Enterprises Inc</t>
  </si>
  <si>
    <t>BILLIEJFAL@AOL.COM</t>
  </si>
  <si>
    <t>LAMBERT</t>
  </si>
  <si>
    <t>MARTIN</t>
  </si>
  <si>
    <t>151222389</t>
  </si>
  <si>
    <t>MONTEIRO, JULIO</t>
  </si>
  <si>
    <t>Sandy Motors, Inc</t>
  </si>
  <si>
    <t>JULIOMONTEIROK1980@GMAIL.COM</t>
  </si>
  <si>
    <t>AUGUSTA</t>
  </si>
  <si>
    <t>LACROIX, NATHAN</t>
  </si>
  <si>
    <t>LACROIX, SAMANTHA</t>
  </si>
  <si>
    <t>Metro Honda</t>
  </si>
  <si>
    <t>Neli Oliveira</t>
  </si>
  <si>
    <t>DESVQIES</t>
  </si>
  <si>
    <t>TANCRELL</t>
  </si>
  <si>
    <t>VERCELLONE, ELLA</t>
  </si>
  <si>
    <t>Adao Automotive Group Inc d/b/a</t>
  </si>
  <si>
    <t>everce71@gmail.com</t>
  </si>
  <si>
    <t>GIFFORD</t>
  </si>
  <si>
    <t>GALLERANI, PAUL</t>
  </si>
  <si>
    <t>jpgall1@msn.com</t>
  </si>
  <si>
    <t>MCCANN</t>
  </si>
  <si>
    <t>NADEAU, MICHAEL</t>
  </si>
  <si>
    <t>NADEAU, SUZANNAH</t>
  </si>
  <si>
    <t>Mastria Buick Pontiac</t>
  </si>
  <si>
    <t>MNADEAU@FIRSTHOME.COM</t>
  </si>
  <si>
    <t>NADEAU</t>
  </si>
  <si>
    <t>grattan</t>
  </si>
  <si>
    <t>VASSALLO, ROBERT</t>
  </si>
  <si>
    <t>Salvadore Chrysler</t>
  </si>
  <si>
    <t>PENTO</t>
  </si>
  <si>
    <t>SANTURRI, LIA</t>
  </si>
  <si>
    <t>Tasca Ford</t>
  </si>
  <si>
    <t>CRANSTON1675@ICLOUD.COM</t>
  </si>
  <si>
    <t>SANTURRI</t>
  </si>
  <si>
    <t>THOMPSON, CASSANDRA</t>
  </si>
  <si>
    <t>THOMPSON, NATALIE</t>
  </si>
  <si>
    <t>CASSIETHOMPSON698@GMAIL.COM</t>
  </si>
  <si>
    <t>ENGLAND</t>
  </si>
  <si>
    <t>CATON</t>
  </si>
  <si>
    <t>ASHMAN, JEREMY</t>
  </si>
  <si>
    <t>CALISE</t>
  </si>
  <si>
    <t>DISTEFANO, LOUIS</t>
  </si>
  <si>
    <t>DISTEFANOLOU@GMAIL.COM</t>
  </si>
  <si>
    <t>MATERA</t>
  </si>
  <si>
    <t>SMITH, MATTHEW</t>
  </si>
  <si>
    <t>Gesner Auto Inc</t>
  </si>
  <si>
    <t>ALHATCHYCSK@GMAIL.COM</t>
  </si>
  <si>
    <t>DIGIAMMO</t>
  </si>
  <si>
    <t>BURBACH, HEATHER</t>
  </si>
  <si>
    <t>NEUSCHWANDER</t>
  </si>
  <si>
    <t>151222545</t>
  </si>
  <si>
    <t>EDGAR, JAMESON</t>
  </si>
  <si>
    <t>EDGAR, SHARON</t>
  </si>
  <si>
    <t>EDGARJAMIE980@GMAIL.COM</t>
  </si>
  <si>
    <t>DESMOND</t>
  </si>
  <si>
    <t>GRIFFIN</t>
  </si>
  <si>
    <t>151222579</t>
  </si>
  <si>
    <t>THOMAS, JOHN</t>
  </si>
  <si>
    <t>ENVIROKING.JACK.THOMAS@GMAIL.COM</t>
  </si>
  <si>
    <t>BALWIERCZAK</t>
  </si>
  <si>
    <t># 19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</si>
  <si>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</si>
  <si>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</si>
  <si>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</si>
  <si>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</si>
  <si>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</si>
  <si>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</si>
  <si>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hon-Patriot Auto Group Inc d/b/a</t>
  </si>
  <si>
    <t>kia-Adao Automotive Group Inc d/b/a</t>
  </si>
  <si>
    <t>Column2</t>
  </si>
  <si>
    <t>Funding Worksheet - Signoff Version</t>
  </si>
  <si>
    <t>151222256 E</t>
  </si>
  <si>
    <t>151222321 E</t>
  </si>
  <si>
    <t>151222355 E</t>
  </si>
  <si>
    <t>151222371 E</t>
  </si>
  <si>
    <t>151222397 E</t>
  </si>
  <si>
    <t>151222412 E</t>
  </si>
  <si>
    <t>151222420 E</t>
  </si>
  <si>
    <t>151222511 E</t>
  </si>
  <si>
    <t>151222503 E</t>
  </si>
  <si>
    <t>151222496 E</t>
  </si>
  <si>
    <t>151222488 E</t>
  </si>
  <si>
    <t>151222470 E</t>
  </si>
  <si>
    <t>151222462 E</t>
  </si>
  <si>
    <t>151222454 E</t>
  </si>
  <si>
    <t>151222438 E</t>
  </si>
  <si>
    <t>4453-2150</t>
  </si>
  <si>
    <t># 4</t>
  </si>
  <si>
    <t>Original Notes Delivered</t>
  </si>
  <si>
    <t>Delivered by:</t>
  </si>
  <si>
    <t>Received by:</t>
  </si>
  <si>
    <t>Date Signed: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</si>
</sst>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6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0" fontId="3" fillId="0" borderId="0" xfId="0" applyFont="1"/>
    <xf numFmtId="7" fontId="3" fillId="0" borderId="0" xfId="0" applyNumberFormat="1" applyFont="1"/>
    <xf numFmtId="7" fontId="4" fillId="0" borderId="0" xfId="0" applyNumberFormat="1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/>
    <xf numFmtId="0" fontId="4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5" fillId="0" borderId="0" xfId="0" applyFont="1"/>
    <xf numFmtId="164" fontId="5" fillId="0" borderId="0" xfId="0" applyNumberFormat="1" applyFont="1" applyAlignment="1">
      <alignment horizontal="right"/>
    </xf>
    <xf numFmtId="14" fontId="5" fillId="0" borderId="0" xfId="0" applyNumberFormat="1" applyFont="1"/>
    <xf numFmtId="0" fontId="0" fillId="0" borderId="1" xfId="0" applyBorder="1"/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23" headerRowDxfId="2" dataDxfId="0" totalsRowDxfId="1"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CA0199-84EF-44A0-9B4D-ABF7CE52A195}" name="Table_14" displayName="Table_14" ref="A3:H36" headerRowDxfId="17" dataDxfId="15" totalsRowDxfId="16">
  <sortState xmlns:xlrd2="http://schemas.microsoft.com/office/spreadsheetml/2017/richdata2" ref="A4:H36">
    <sortCondition ref="A5:A36"/>
  </sortState>
  <tableColumns count="8">
    <tableColumn id="1" xr3:uid="{E3470F46-C0B1-42D1-8BCB-C2175643E5C1}" name="Dealer Name" dataDxfId="25"/>
    <tableColumn id="8" xr3:uid="{6457E0C0-B822-4D9A-B536-BDCEC079FDA4}" name="Column2" dataDxfId="24"/>
    <tableColumn id="2" xr3:uid="{EA38A98A-ECCF-4B14-92C9-9E1E38EF3A70}" name="Funded by" dataDxfId="23"/>
    <tableColumn id="3" xr3:uid="{BD61FCA8-0DE1-4613-B1DD-B3647287CD7E}" name="Dealer Flat" dataDxfId="22"/>
    <tableColumn id="4" xr3:uid="{EE72BEF6-F3FB-429A-843A-8C2AA02A27D5}" name="Dealer Split" dataDxfId="21"/>
    <tableColumn id="5" xr3:uid="{9A6DEDF5-84AA-4413-ABFB-61D59F09E113}" name="Net to Dealer" dataDxfId="20"/>
    <tableColumn id="7" xr3:uid="{24589F5F-89D7-4DB0-83C0-E70C48F4AEBA}" name="Column1" dataDxfId="19"/>
    <tableColumn id="6" xr3:uid="{224803B2-A165-48E6-A9EE-A9DD142E040C}" name="Contracted Amount Financed" dataDxfId="1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7BEAEB-9F6D-4309-944E-3D0B4BDCDF0E}" name="Table_16" displayName="Table_16" ref="A4:E9">
  <tableColumns count="5">
    <tableColumn id="1" xr3:uid="{7F6E5856-4493-4755-9F3F-35FE302D8270}" name="Account Number"/>
    <tableColumn id="2" xr3:uid="{EC20BEF6-E3F6-435C-A3A0-92E81952EE1C}" name="Contract Type"/>
    <tableColumn id="3" xr3:uid="{6D6A6674-3325-46A3-B0EE-7C686BE3DA0E}" name="Applicant Name"/>
    <tableColumn id="4" xr3:uid="{3C0FA4F5-7FCF-49D9-9A7C-149ED45E30A2}" name="Co-Applicant Name"/>
    <tableColumn id="5" xr3:uid="{66F690EF-25EA-41D3-86DA-E48659D6CFF8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3"/>
  <sheetViews>
    <sheetView tabSelected="1" workbookViewId="0">
      <pane ySplit="3" topLeftCell="A4" activePane="bottomLeft" state="frozen"/>
      <selection pane="bottomLeft" activeCell="D6" sqref="D6"/>
    </sheetView>
  </sheetViews>
  <sheetFormatPr defaultRowHeight="15.75" x14ac:dyDescent="0.25"/>
  <cols>
    <col min="1" max="1" width="16.42578125" style="7" bestFit="1" customWidth="1"/>
    <col min="2" max="2" width="12.140625" style="7" bestFit="1" customWidth="1"/>
    <col min="3" max="3" width="14" style="7" bestFit="1" customWidth="1"/>
    <col min="4" max="4" width="24.28515625" style="7" bestFit="1" customWidth="1"/>
    <col min="5" max="5" width="20.7109375" style="7" bestFit="1" customWidth="1"/>
    <col min="6" max="6" width="31.7109375" style="7" bestFit="1" customWidth="1"/>
    <col min="7" max="7" width="15.140625" style="7" bestFit="1" customWidth="1"/>
    <col min="8" max="8" width="17.140625" style="7" bestFit="1" customWidth="1"/>
    <col min="9" max="9" width="38.5703125" style="7" bestFit="1" customWidth="1"/>
    <col min="10" max="10" width="19.85546875" style="7" customWidth="1"/>
    <col min="11" max="11" width="15.140625" style="7" customWidth="1"/>
    <col min="12" max="12" width="12.85546875" style="7" bestFit="1" customWidth="1"/>
    <col min="13" max="16384" width="9.140625" style="7"/>
  </cols>
  <sheetData>
    <row r="1" spans="1:12" x14ac:dyDescent="0.25">
      <c r="K1" s="16">
        <v>45909</v>
      </c>
      <c r="L1" s="17"/>
    </row>
    <row r="2" spans="1:12" x14ac:dyDescent="0.25">
      <c r="A2" s="9" t="s">
        <v>0</v>
      </c>
      <c r="B2" s="10"/>
      <c r="C2" s="10"/>
      <c r="D2" s="10"/>
      <c r="E2" s="10"/>
      <c r="F2" s="10"/>
      <c r="G2" s="11" t="s">
        <v>1</v>
      </c>
      <c r="H2" s="10"/>
      <c r="I2" s="10"/>
      <c r="J2" s="10"/>
      <c r="K2" s="10"/>
      <c r="L2" s="10"/>
    </row>
    <row r="3" spans="1:12" x14ac:dyDescent="0.2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</row>
    <row r="4" spans="1:12" ht="33" customHeight="1" x14ac:dyDescent="0.25">
      <c r="A4" s="7" t="s">
        <v>115</v>
      </c>
      <c r="B4" s="7" t="s">
        <v>14</v>
      </c>
      <c r="C4" s="7" t="s">
        <v>15</v>
      </c>
      <c r="D4" s="7" t="s">
        <v>16</v>
      </c>
      <c r="E4" s="7" t="s">
        <v>17</v>
      </c>
      <c r="F4" s="7" t="s">
        <v>18</v>
      </c>
      <c r="G4" s="7" t="s">
        <v>19</v>
      </c>
      <c r="H4" s="12">
        <v>18437.689999999999</v>
      </c>
      <c r="I4" s="7" t="s">
        <v>20</v>
      </c>
      <c r="J4" s="7" t="s">
        <v>21</v>
      </c>
      <c r="K4" s="7" t="s">
        <v>22</v>
      </c>
      <c r="L4" s="7" t="s">
        <v>23</v>
      </c>
    </row>
    <row r="5" spans="1:12" ht="33" customHeight="1" x14ac:dyDescent="0.25">
      <c r="A5" s="7" t="s">
        <v>24</v>
      </c>
      <c r="B5" s="7" t="s">
        <v>25</v>
      </c>
      <c r="C5" s="7" t="s">
        <v>26</v>
      </c>
      <c r="D5" s="7" t="s">
        <v>27</v>
      </c>
      <c r="F5" s="7" t="s">
        <v>28</v>
      </c>
      <c r="G5" s="7" t="s">
        <v>19</v>
      </c>
      <c r="H5" s="12">
        <v>17136.38</v>
      </c>
      <c r="I5" s="7" t="s">
        <v>29</v>
      </c>
      <c r="K5" s="7" t="s">
        <v>30</v>
      </c>
    </row>
    <row r="6" spans="1:12" ht="33" customHeight="1" x14ac:dyDescent="0.25">
      <c r="A6" s="7" t="s">
        <v>116</v>
      </c>
      <c r="B6" s="7" t="s">
        <v>14</v>
      </c>
      <c r="C6" s="7" t="s">
        <v>15</v>
      </c>
      <c r="D6" s="7" t="s">
        <v>31</v>
      </c>
      <c r="F6" s="7" t="s">
        <v>32</v>
      </c>
      <c r="G6" s="7" t="s">
        <v>19</v>
      </c>
      <c r="H6" s="12">
        <v>23235.19</v>
      </c>
      <c r="I6" s="7" t="s">
        <v>33</v>
      </c>
      <c r="K6" s="7" t="s">
        <v>34</v>
      </c>
    </row>
    <row r="7" spans="1:12" ht="33" customHeight="1" x14ac:dyDescent="0.25">
      <c r="A7" s="7" t="s">
        <v>117</v>
      </c>
      <c r="B7" s="7" t="s">
        <v>14</v>
      </c>
      <c r="C7" s="7" t="s">
        <v>15</v>
      </c>
      <c r="D7" s="7" t="s">
        <v>35</v>
      </c>
      <c r="E7" s="7" t="s">
        <v>36</v>
      </c>
      <c r="F7" s="7" t="s">
        <v>37</v>
      </c>
      <c r="G7" s="7" t="s">
        <v>19</v>
      </c>
      <c r="H7" s="12">
        <v>30905.06</v>
      </c>
      <c r="I7" s="7" t="s">
        <v>38</v>
      </c>
      <c r="K7" s="7" t="s">
        <v>39</v>
      </c>
      <c r="L7" s="7" t="s">
        <v>40</v>
      </c>
    </row>
    <row r="8" spans="1:12" ht="33" customHeight="1" x14ac:dyDescent="0.25">
      <c r="A8" s="7" t="s">
        <v>118</v>
      </c>
      <c r="B8" s="7" t="s">
        <v>14</v>
      </c>
      <c r="C8" s="7" t="s">
        <v>15</v>
      </c>
      <c r="D8" s="7" t="s">
        <v>41</v>
      </c>
      <c r="E8" s="7" t="s">
        <v>42</v>
      </c>
      <c r="F8" s="7" t="s">
        <v>43</v>
      </c>
      <c r="G8" s="7" t="s">
        <v>19</v>
      </c>
      <c r="H8" s="12">
        <v>37511.629999999997</v>
      </c>
      <c r="J8" s="7" t="s">
        <v>44</v>
      </c>
      <c r="K8" s="7" t="s">
        <v>45</v>
      </c>
      <c r="L8" s="7" t="s">
        <v>46</v>
      </c>
    </row>
    <row r="9" spans="1:12" ht="33" customHeight="1" x14ac:dyDescent="0.25">
      <c r="A9" s="7" t="s">
        <v>47</v>
      </c>
      <c r="B9" s="7" t="s">
        <v>25</v>
      </c>
      <c r="C9" s="7" t="s">
        <v>26</v>
      </c>
      <c r="D9" s="7" t="s">
        <v>48</v>
      </c>
      <c r="F9" s="7" t="s">
        <v>49</v>
      </c>
      <c r="G9" s="7" t="s">
        <v>19</v>
      </c>
      <c r="H9" s="12">
        <v>23491.69</v>
      </c>
      <c r="I9" s="7" t="s">
        <v>50</v>
      </c>
      <c r="K9" s="7" t="s">
        <v>51</v>
      </c>
    </row>
    <row r="10" spans="1:12" ht="33" customHeight="1" x14ac:dyDescent="0.25">
      <c r="A10" s="7" t="s">
        <v>119</v>
      </c>
      <c r="B10" s="7" t="s">
        <v>25</v>
      </c>
      <c r="C10" s="7" t="s">
        <v>15</v>
      </c>
      <c r="D10" s="7" t="s">
        <v>52</v>
      </c>
      <c r="E10" s="7" t="s">
        <v>53</v>
      </c>
      <c r="F10" s="7" t="s">
        <v>54</v>
      </c>
      <c r="G10" s="7" t="s">
        <v>55</v>
      </c>
      <c r="H10" s="12">
        <v>28949.33</v>
      </c>
      <c r="K10" s="7" t="s">
        <v>56</v>
      </c>
      <c r="L10" s="7" t="s">
        <v>57</v>
      </c>
    </row>
    <row r="11" spans="1:12" ht="33" customHeight="1" x14ac:dyDescent="0.25">
      <c r="A11" s="7" t="s">
        <v>120</v>
      </c>
      <c r="B11" s="7" t="s">
        <v>25</v>
      </c>
      <c r="C11" s="7" t="s">
        <v>15</v>
      </c>
      <c r="D11" s="7" t="s">
        <v>58</v>
      </c>
      <c r="F11" s="7" t="s">
        <v>59</v>
      </c>
      <c r="G11" s="7" t="s">
        <v>55</v>
      </c>
      <c r="H11" s="12">
        <v>27369.81</v>
      </c>
      <c r="I11" s="7" t="s">
        <v>60</v>
      </c>
      <c r="K11" s="7" t="s">
        <v>61</v>
      </c>
    </row>
    <row r="12" spans="1:12" ht="33" customHeight="1" x14ac:dyDescent="0.25">
      <c r="A12" s="7" t="s">
        <v>121</v>
      </c>
      <c r="B12" s="7" t="s">
        <v>14</v>
      </c>
      <c r="C12" s="7" t="s">
        <v>15</v>
      </c>
      <c r="D12" s="7" t="s">
        <v>62</v>
      </c>
      <c r="F12" s="7" t="s">
        <v>37</v>
      </c>
      <c r="G12" s="7" t="s">
        <v>55</v>
      </c>
      <c r="H12" s="12">
        <v>18585</v>
      </c>
      <c r="I12" s="7" t="s">
        <v>63</v>
      </c>
      <c r="K12" s="7" t="s">
        <v>64</v>
      </c>
    </row>
    <row r="13" spans="1:12" ht="33" customHeight="1" x14ac:dyDescent="0.25">
      <c r="A13" s="7" t="s">
        <v>129</v>
      </c>
      <c r="B13" s="7" t="s">
        <v>14</v>
      </c>
      <c r="C13" s="7" t="s">
        <v>15</v>
      </c>
      <c r="D13" s="7" t="s">
        <v>65</v>
      </c>
      <c r="E13" s="7" t="s">
        <v>66</v>
      </c>
      <c r="F13" s="7" t="s">
        <v>67</v>
      </c>
      <c r="G13" s="7" t="s">
        <v>55</v>
      </c>
      <c r="H13" s="12">
        <v>31813.8</v>
      </c>
      <c r="I13" s="7" t="s">
        <v>68</v>
      </c>
      <c r="K13" s="7" t="s">
        <v>69</v>
      </c>
      <c r="L13" s="7" t="s">
        <v>70</v>
      </c>
    </row>
    <row r="14" spans="1:12" ht="33" customHeight="1" x14ac:dyDescent="0.25">
      <c r="A14" s="7" t="s">
        <v>128</v>
      </c>
      <c r="B14" s="7" t="s">
        <v>14</v>
      </c>
      <c r="C14" s="7" t="s">
        <v>15</v>
      </c>
      <c r="D14" s="7" t="s">
        <v>71</v>
      </c>
      <c r="F14" s="7" t="s">
        <v>72</v>
      </c>
      <c r="G14" s="7" t="s">
        <v>55</v>
      </c>
      <c r="H14" s="12">
        <v>30585.5</v>
      </c>
      <c r="K14" s="7" t="s">
        <v>73</v>
      </c>
    </row>
    <row r="15" spans="1:12" ht="33" customHeight="1" x14ac:dyDescent="0.25">
      <c r="A15" s="7" t="s">
        <v>127</v>
      </c>
      <c r="B15" s="7" t="s">
        <v>14</v>
      </c>
      <c r="C15" s="7" t="s">
        <v>15</v>
      </c>
      <c r="D15" s="7" t="s">
        <v>74</v>
      </c>
      <c r="F15" s="7" t="s">
        <v>75</v>
      </c>
      <c r="G15" s="7" t="s">
        <v>55</v>
      </c>
      <c r="H15" s="12">
        <v>20878.330000000002</v>
      </c>
      <c r="I15" s="7" t="s">
        <v>76</v>
      </c>
      <c r="K15" s="7" t="s">
        <v>77</v>
      </c>
    </row>
    <row r="16" spans="1:12" ht="33" customHeight="1" x14ac:dyDescent="0.25">
      <c r="A16" s="7" t="s">
        <v>126</v>
      </c>
      <c r="B16" s="7" t="s">
        <v>25</v>
      </c>
      <c r="C16" s="7" t="s">
        <v>15</v>
      </c>
      <c r="D16" s="7" t="s">
        <v>78</v>
      </c>
      <c r="E16" s="7" t="s">
        <v>79</v>
      </c>
      <c r="F16" s="7" t="s">
        <v>28</v>
      </c>
      <c r="G16" s="7" t="s">
        <v>55</v>
      </c>
      <c r="H16" s="12">
        <v>27167</v>
      </c>
      <c r="I16" s="7" t="s">
        <v>80</v>
      </c>
      <c r="K16" s="7" t="s">
        <v>81</v>
      </c>
      <c r="L16" s="7" t="s">
        <v>82</v>
      </c>
    </row>
    <row r="17" spans="1:12" ht="33" customHeight="1" x14ac:dyDescent="0.25">
      <c r="A17" s="7" t="s">
        <v>125</v>
      </c>
      <c r="B17" s="7" t="s">
        <v>25</v>
      </c>
      <c r="C17" s="7" t="s">
        <v>15</v>
      </c>
      <c r="D17" s="7" t="s">
        <v>83</v>
      </c>
      <c r="F17" s="7" t="s">
        <v>54</v>
      </c>
      <c r="G17" s="7" t="s">
        <v>55</v>
      </c>
      <c r="H17" s="12">
        <v>28678.83</v>
      </c>
      <c r="K17" s="7" t="s">
        <v>84</v>
      </c>
    </row>
    <row r="18" spans="1:12" ht="33" customHeight="1" x14ac:dyDescent="0.25">
      <c r="A18" s="7" t="s">
        <v>124</v>
      </c>
      <c r="B18" s="7" t="s">
        <v>25</v>
      </c>
      <c r="C18" s="7" t="s">
        <v>15</v>
      </c>
      <c r="D18" s="7" t="s">
        <v>85</v>
      </c>
      <c r="F18" s="7" t="s">
        <v>54</v>
      </c>
      <c r="G18" s="7" t="s">
        <v>55</v>
      </c>
      <c r="H18" s="12">
        <v>23871.94</v>
      </c>
      <c r="I18" s="7" t="s">
        <v>86</v>
      </c>
      <c r="K18" s="7" t="s">
        <v>87</v>
      </c>
    </row>
    <row r="19" spans="1:12" ht="33" customHeight="1" x14ac:dyDescent="0.25">
      <c r="A19" s="7" t="s">
        <v>123</v>
      </c>
      <c r="B19" s="7" t="s">
        <v>25</v>
      </c>
      <c r="C19" s="7" t="s">
        <v>15</v>
      </c>
      <c r="D19" s="7" t="s">
        <v>88</v>
      </c>
      <c r="F19" s="7" t="s">
        <v>89</v>
      </c>
      <c r="G19" s="7" t="s">
        <v>55</v>
      </c>
      <c r="H19" s="12">
        <v>21260</v>
      </c>
      <c r="I19" s="7" t="s">
        <v>90</v>
      </c>
      <c r="K19" s="7" t="s">
        <v>91</v>
      </c>
    </row>
    <row r="20" spans="1:12" ht="33" customHeight="1" x14ac:dyDescent="0.25">
      <c r="A20" s="7" t="s">
        <v>122</v>
      </c>
      <c r="B20" s="7" t="s">
        <v>14</v>
      </c>
      <c r="C20" s="7" t="s">
        <v>15</v>
      </c>
      <c r="D20" s="7" t="s">
        <v>92</v>
      </c>
      <c r="F20" s="7" t="s">
        <v>75</v>
      </c>
      <c r="G20" s="7" t="s">
        <v>55</v>
      </c>
      <c r="H20" s="12">
        <v>23604.880000000001</v>
      </c>
      <c r="K20" s="7" t="s">
        <v>93</v>
      </c>
    </row>
    <row r="21" spans="1:12" ht="33" customHeight="1" x14ac:dyDescent="0.25">
      <c r="A21" s="7" t="s">
        <v>94</v>
      </c>
      <c r="B21" s="7" t="s">
        <v>14</v>
      </c>
      <c r="C21" s="7" t="s">
        <v>26</v>
      </c>
      <c r="D21" s="7" t="s">
        <v>95</v>
      </c>
      <c r="E21" s="7" t="s">
        <v>96</v>
      </c>
      <c r="F21" s="7" t="s">
        <v>43</v>
      </c>
      <c r="G21" s="7" t="s">
        <v>55</v>
      </c>
      <c r="H21" s="12">
        <v>29801.13</v>
      </c>
      <c r="I21" s="7" t="s">
        <v>97</v>
      </c>
      <c r="K21" s="7" t="s">
        <v>98</v>
      </c>
      <c r="L21" s="7" t="s">
        <v>99</v>
      </c>
    </row>
    <row r="22" spans="1:12" ht="33" customHeight="1" x14ac:dyDescent="0.25">
      <c r="A22" s="7" t="s">
        <v>100</v>
      </c>
      <c r="B22" s="7" t="s">
        <v>14</v>
      </c>
      <c r="C22" s="7" t="s">
        <v>26</v>
      </c>
      <c r="D22" s="7" t="s">
        <v>101</v>
      </c>
      <c r="F22" s="7" t="s">
        <v>43</v>
      </c>
      <c r="G22" s="7" t="s">
        <v>19</v>
      </c>
      <c r="H22" s="12">
        <v>29667.77</v>
      </c>
      <c r="I22" s="7" t="s">
        <v>102</v>
      </c>
      <c r="K22" s="7" t="s">
        <v>103</v>
      </c>
    </row>
    <row r="23" spans="1:12" x14ac:dyDescent="0.25">
      <c r="A23" s="13"/>
      <c r="B23" s="13"/>
      <c r="C23" s="13"/>
      <c r="D23" s="13" t="s">
        <v>104</v>
      </c>
      <c r="E23" s="13"/>
      <c r="F23" s="13"/>
      <c r="G23" s="13"/>
      <c r="H23" s="14">
        <f>SUM(H4:H22)</f>
        <v>492950.96</v>
      </c>
      <c r="I23" s="13"/>
      <c r="J23" s="13"/>
      <c r="K23" s="13"/>
      <c r="L23" s="13"/>
    </row>
  </sheetData>
  <mergeCells count="3">
    <mergeCell ref="A2:F2"/>
    <mergeCell ref="G2:L2"/>
    <mergeCell ref="K1:L1"/>
  </mergeCells>
  <pageMargins left="0.7" right="0.2" top="0.75" bottom="0.75" header="0.3" footer="0.3"/>
  <pageSetup paperSize="5" scale="6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ACF4C-097C-445F-A03A-822B10A786C1}">
  <sheetPr>
    <pageSetUpPr fitToPage="1"/>
  </sheetPr>
  <dimension ref="A1:J36"/>
  <sheetViews>
    <sheetView topLeftCell="A17" workbookViewId="0">
      <selection activeCell="J8" sqref="J8"/>
    </sheetView>
  </sheetViews>
  <sheetFormatPr defaultRowHeight="15.75" x14ac:dyDescent="0.25"/>
  <cols>
    <col min="1" max="1" width="26.28515625" style="7" customWidth="1"/>
    <col min="2" max="2" width="15.42578125" style="7" customWidth="1"/>
    <col min="3" max="3" width="16.7109375" style="7" customWidth="1"/>
    <col min="4" max="4" width="18.85546875" style="7" customWidth="1"/>
    <col min="5" max="5" width="21.7109375" style="7" customWidth="1"/>
    <col min="6" max="6" width="19.85546875" style="7" customWidth="1"/>
    <col min="7" max="7" width="12.7109375" style="7" customWidth="1"/>
    <col min="8" max="8" width="20.140625" style="7" customWidth="1"/>
    <col min="9" max="9" width="9.140625" style="7"/>
    <col min="10" max="10" width="14" style="7" customWidth="1"/>
    <col min="11" max="16384" width="9.140625" style="7"/>
  </cols>
  <sheetData>
    <row r="1" spans="1:10" x14ac:dyDescent="0.25">
      <c r="E1" s="8"/>
      <c r="H1" s="8">
        <v>45909.999988425923</v>
      </c>
    </row>
    <row r="2" spans="1:10" x14ac:dyDescent="0.25">
      <c r="A2" s="9" t="s">
        <v>0</v>
      </c>
      <c r="B2" s="9"/>
      <c r="C2" s="10"/>
      <c r="D2" s="10"/>
      <c r="E2" s="11" t="s">
        <v>105</v>
      </c>
      <c r="F2" s="10"/>
      <c r="G2" s="10"/>
      <c r="H2" s="10"/>
    </row>
    <row r="3" spans="1:10" x14ac:dyDescent="0.25">
      <c r="A3" s="7" t="s">
        <v>7</v>
      </c>
      <c r="B3" s="7" t="s">
        <v>113</v>
      </c>
      <c r="C3" s="7" t="s">
        <v>8</v>
      </c>
      <c r="D3" s="7" t="s">
        <v>106</v>
      </c>
      <c r="E3" s="7" t="s">
        <v>107</v>
      </c>
      <c r="F3" s="7" t="s">
        <v>108</v>
      </c>
      <c r="G3" s="7" t="s">
        <v>110</v>
      </c>
      <c r="H3" s="7" t="s">
        <v>109</v>
      </c>
    </row>
    <row r="4" spans="1:10" x14ac:dyDescent="0.25">
      <c r="G4" s="12"/>
    </row>
    <row r="5" spans="1:10" ht="24.95" customHeight="1" x14ac:dyDescent="0.25">
      <c r="A5" s="7" t="s">
        <v>32</v>
      </c>
      <c r="C5" s="7" t="s">
        <v>19</v>
      </c>
      <c r="D5" s="12">
        <v>650</v>
      </c>
      <c r="E5" s="12">
        <v>0</v>
      </c>
      <c r="F5" s="15">
        <v>23160.19</v>
      </c>
      <c r="G5" s="12"/>
      <c r="H5" s="12">
        <v>23235.19</v>
      </c>
    </row>
    <row r="6" spans="1:10" ht="24.95" customHeight="1" x14ac:dyDescent="0.25">
      <c r="D6" s="12"/>
      <c r="E6" s="12"/>
      <c r="F6" s="15"/>
      <c r="G6" s="12"/>
      <c r="H6" s="12"/>
    </row>
    <row r="7" spans="1:10" ht="24.95" customHeight="1" x14ac:dyDescent="0.25">
      <c r="A7" s="7" t="s">
        <v>89</v>
      </c>
      <c r="C7" s="7" t="s">
        <v>55</v>
      </c>
      <c r="D7" s="12">
        <v>650</v>
      </c>
      <c r="E7" s="12">
        <v>0</v>
      </c>
      <c r="F7" s="15">
        <v>21185</v>
      </c>
      <c r="G7" s="12"/>
      <c r="H7" s="12">
        <v>21260</v>
      </c>
    </row>
    <row r="8" spans="1:10" ht="24.95" customHeight="1" x14ac:dyDescent="0.25">
      <c r="D8" s="12"/>
      <c r="E8" s="12"/>
      <c r="F8" s="12"/>
      <c r="G8" s="12"/>
      <c r="H8" s="12"/>
      <c r="J8" s="19"/>
    </row>
    <row r="9" spans="1:10" ht="24.95" customHeight="1" x14ac:dyDescent="0.25">
      <c r="A9" s="7" t="s">
        <v>111</v>
      </c>
      <c r="C9" s="7" t="s">
        <v>19</v>
      </c>
      <c r="D9" s="12">
        <v>850</v>
      </c>
      <c r="E9" s="12">
        <v>0</v>
      </c>
      <c r="F9" s="12">
        <v>30830.06</v>
      </c>
      <c r="G9" s="12"/>
      <c r="H9" s="12">
        <v>30905.06</v>
      </c>
    </row>
    <row r="10" spans="1:10" ht="24.95" customHeight="1" x14ac:dyDescent="0.25">
      <c r="A10" s="7" t="s">
        <v>111</v>
      </c>
      <c r="C10" s="7" t="s">
        <v>55</v>
      </c>
      <c r="D10" s="12">
        <v>500</v>
      </c>
      <c r="E10" s="12">
        <v>0</v>
      </c>
      <c r="F10" s="12">
        <v>18510</v>
      </c>
      <c r="G10" s="15">
        <f>SUM(F9:F10)</f>
        <v>49340.06</v>
      </c>
      <c r="H10" s="12">
        <v>18585</v>
      </c>
    </row>
    <row r="11" spans="1:10" ht="24.95" customHeight="1" x14ac:dyDescent="0.25">
      <c r="D11" s="12"/>
      <c r="E11" s="12"/>
      <c r="F11" s="12"/>
      <c r="G11" s="12"/>
      <c r="H11" s="12"/>
    </row>
    <row r="12" spans="1:10" ht="24.95" customHeight="1" x14ac:dyDescent="0.25">
      <c r="A12" s="7" t="s">
        <v>112</v>
      </c>
      <c r="C12" s="7" t="s">
        <v>55</v>
      </c>
      <c r="D12" s="12">
        <v>750</v>
      </c>
      <c r="E12" s="12">
        <v>0</v>
      </c>
      <c r="F12" s="15">
        <v>27294.81</v>
      </c>
      <c r="G12" s="12"/>
      <c r="H12" s="12">
        <v>27369.81</v>
      </c>
    </row>
    <row r="13" spans="1:10" ht="24.95" customHeight="1" x14ac:dyDescent="0.25">
      <c r="D13" s="12"/>
      <c r="E13" s="12"/>
      <c r="F13" s="15"/>
      <c r="G13" s="12"/>
      <c r="H13" s="12"/>
    </row>
    <row r="14" spans="1:10" ht="24.95" customHeight="1" x14ac:dyDescent="0.25">
      <c r="A14" s="7" t="s">
        <v>67</v>
      </c>
      <c r="B14" s="18" t="s">
        <v>130</v>
      </c>
      <c r="C14" s="7" t="s">
        <v>55</v>
      </c>
      <c r="D14" s="12">
        <v>850</v>
      </c>
      <c r="E14" s="12">
        <v>0</v>
      </c>
      <c r="F14" s="15">
        <v>31738.799999999999</v>
      </c>
      <c r="G14" s="12"/>
      <c r="H14" s="12">
        <v>31813.8</v>
      </c>
    </row>
    <row r="15" spans="1:10" ht="24.95" customHeight="1" x14ac:dyDescent="0.25">
      <c r="D15" s="12"/>
      <c r="E15" s="12"/>
      <c r="F15" s="12"/>
      <c r="G15" s="12"/>
      <c r="H15" s="12"/>
    </row>
    <row r="16" spans="1:10" ht="24.95" customHeight="1" x14ac:dyDescent="0.25">
      <c r="A16" s="7" t="s">
        <v>54</v>
      </c>
      <c r="C16" s="7" t="s">
        <v>55</v>
      </c>
      <c r="D16" s="12">
        <v>750</v>
      </c>
      <c r="E16" s="12">
        <v>0</v>
      </c>
      <c r="F16" s="12">
        <v>28603.83</v>
      </c>
      <c r="G16" s="12"/>
      <c r="H16" s="12">
        <v>28678.83</v>
      </c>
    </row>
    <row r="17" spans="1:8" ht="24.95" customHeight="1" x14ac:dyDescent="0.25">
      <c r="A17" s="7" t="s">
        <v>54</v>
      </c>
      <c r="C17" s="7" t="s">
        <v>55</v>
      </c>
      <c r="D17" s="12">
        <v>750</v>
      </c>
      <c r="E17" s="12">
        <v>0</v>
      </c>
      <c r="F17" s="12">
        <v>28874.33</v>
      </c>
      <c r="G17" s="12"/>
      <c r="H17" s="12">
        <v>28949.33</v>
      </c>
    </row>
    <row r="18" spans="1:8" ht="24.95" customHeight="1" x14ac:dyDescent="0.25">
      <c r="A18" s="7" t="s">
        <v>54</v>
      </c>
      <c r="C18" s="7" t="s">
        <v>55</v>
      </c>
      <c r="D18" s="12">
        <v>650</v>
      </c>
      <c r="E18" s="12">
        <v>0</v>
      </c>
      <c r="F18" s="12">
        <v>23796.94</v>
      </c>
      <c r="G18" s="15">
        <f>SUM(F16:F18)</f>
        <v>81275.100000000006</v>
      </c>
      <c r="H18" s="12">
        <v>23871.94</v>
      </c>
    </row>
    <row r="19" spans="1:8" ht="24.95" customHeight="1" x14ac:dyDescent="0.25">
      <c r="D19" s="12"/>
      <c r="E19" s="12"/>
      <c r="F19" s="12"/>
      <c r="G19" s="12"/>
      <c r="H19" s="12"/>
    </row>
    <row r="20" spans="1:8" ht="24.95" customHeight="1" x14ac:dyDescent="0.25">
      <c r="A20" s="7" t="s">
        <v>18</v>
      </c>
      <c r="C20" s="7" t="s">
        <v>19</v>
      </c>
      <c r="D20" s="12">
        <v>500</v>
      </c>
      <c r="E20" s="12">
        <v>0</v>
      </c>
      <c r="F20" s="15">
        <v>18362.689999999999</v>
      </c>
      <c r="G20" s="12"/>
      <c r="H20" s="12">
        <v>18437.689999999999</v>
      </c>
    </row>
    <row r="21" spans="1:8" ht="24.95" customHeight="1" x14ac:dyDescent="0.25">
      <c r="D21" s="12"/>
      <c r="E21" s="12"/>
      <c r="F21" s="12"/>
      <c r="G21" s="12"/>
      <c r="H21" s="12"/>
    </row>
    <row r="22" spans="1:8" ht="24.95" customHeight="1" x14ac:dyDescent="0.25">
      <c r="A22" s="7" t="s">
        <v>28</v>
      </c>
      <c r="C22" s="7" t="s">
        <v>19</v>
      </c>
      <c r="D22" s="12">
        <v>500</v>
      </c>
      <c r="E22" s="12">
        <v>0</v>
      </c>
      <c r="F22" s="12">
        <v>17061.38</v>
      </c>
      <c r="G22" s="12"/>
      <c r="H22" s="12">
        <v>17136.38</v>
      </c>
    </row>
    <row r="23" spans="1:8" ht="24.95" customHeight="1" x14ac:dyDescent="0.25">
      <c r="A23" s="7" t="s">
        <v>28</v>
      </c>
      <c r="C23" s="7" t="s">
        <v>55</v>
      </c>
      <c r="D23" s="12">
        <v>750</v>
      </c>
      <c r="E23" s="12">
        <v>0</v>
      </c>
      <c r="F23" s="12">
        <v>27092</v>
      </c>
      <c r="G23" s="15">
        <f>SUM(F22:F23)</f>
        <v>44153.380000000005</v>
      </c>
      <c r="H23" s="12">
        <v>27167</v>
      </c>
    </row>
    <row r="24" spans="1:8" ht="24.95" customHeight="1" x14ac:dyDescent="0.25">
      <c r="D24" s="12"/>
      <c r="E24" s="12"/>
      <c r="F24" s="12"/>
      <c r="G24" s="12"/>
      <c r="H24" s="12"/>
    </row>
    <row r="25" spans="1:8" ht="24.95" customHeight="1" x14ac:dyDescent="0.25">
      <c r="A25" s="7" t="s">
        <v>72</v>
      </c>
      <c r="C25" s="7" t="s">
        <v>55</v>
      </c>
      <c r="D25" s="12">
        <v>850</v>
      </c>
      <c r="E25" s="12">
        <v>0</v>
      </c>
      <c r="F25" s="15">
        <v>30510.5</v>
      </c>
      <c r="G25" s="12"/>
      <c r="H25" s="12">
        <v>30585.5</v>
      </c>
    </row>
    <row r="26" spans="1:8" ht="24.95" customHeight="1" x14ac:dyDescent="0.25">
      <c r="D26" s="12"/>
      <c r="E26" s="12"/>
      <c r="F26" s="15"/>
      <c r="G26" s="12"/>
      <c r="H26" s="12"/>
    </row>
    <row r="27" spans="1:8" ht="24.95" customHeight="1" x14ac:dyDescent="0.25">
      <c r="A27" s="7" t="s">
        <v>49</v>
      </c>
      <c r="C27" s="7" t="s">
        <v>19</v>
      </c>
      <c r="D27" s="12">
        <v>650</v>
      </c>
      <c r="E27" s="12">
        <v>0</v>
      </c>
      <c r="F27" s="15">
        <v>23416.69</v>
      </c>
      <c r="G27" s="12"/>
      <c r="H27" s="12">
        <v>23491.69</v>
      </c>
    </row>
    <row r="28" spans="1:8" ht="24.95" customHeight="1" x14ac:dyDescent="0.25">
      <c r="D28" s="12"/>
      <c r="E28" s="12"/>
      <c r="F28" s="12"/>
      <c r="G28" s="12"/>
      <c r="H28" s="12"/>
    </row>
    <row r="29" spans="1:8" ht="24.95" customHeight="1" x14ac:dyDescent="0.25">
      <c r="A29" s="7" t="s">
        <v>43</v>
      </c>
      <c r="C29" s="7" t="s">
        <v>19</v>
      </c>
      <c r="D29" s="12">
        <v>950</v>
      </c>
      <c r="E29" s="12">
        <v>0</v>
      </c>
      <c r="F29" s="12">
        <v>37436.629999999997</v>
      </c>
      <c r="G29" s="12"/>
      <c r="H29" s="12">
        <v>37511.629999999997</v>
      </c>
    </row>
    <row r="30" spans="1:8" ht="24.95" customHeight="1" x14ac:dyDescent="0.25">
      <c r="A30" s="7" t="s">
        <v>43</v>
      </c>
      <c r="C30" s="7" t="s">
        <v>19</v>
      </c>
      <c r="D30" s="12">
        <v>750</v>
      </c>
      <c r="E30" s="12">
        <v>0</v>
      </c>
      <c r="F30" s="12">
        <v>29592.77</v>
      </c>
      <c r="G30" s="12"/>
      <c r="H30" s="12">
        <v>29667.77</v>
      </c>
    </row>
    <row r="31" spans="1:8" ht="24.95" customHeight="1" x14ac:dyDescent="0.25">
      <c r="A31" s="7" t="s">
        <v>43</v>
      </c>
      <c r="C31" s="7" t="s">
        <v>55</v>
      </c>
      <c r="D31" s="12">
        <v>750</v>
      </c>
      <c r="E31" s="12">
        <v>0</v>
      </c>
      <c r="F31" s="12">
        <v>29726.13</v>
      </c>
      <c r="G31" s="15">
        <f>SUM(F29:F31)</f>
        <v>96755.53</v>
      </c>
      <c r="H31" s="12">
        <v>29801.13</v>
      </c>
    </row>
    <row r="32" spans="1:8" ht="24.95" customHeight="1" x14ac:dyDescent="0.25">
      <c r="D32" s="12"/>
      <c r="E32" s="12"/>
      <c r="F32" s="12"/>
      <c r="G32" s="12"/>
      <c r="H32" s="12"/>
    </row>
    <row r="33" spans="1:8" ht="24.95" customHeight="1" x14ac:dyDescent="0.25">
      <c r="A33" s="7" t="s">
        <v>75</v>
      </c>
      <c r="C33" s="7" t="s">
        <v>55</v>
      </c>
      <c r="D33" s="12">
        <v>650</v>
      </c>
      <c r="E33" s="12">
        <v>0</v>
      </c>
      <c r="F33" s="12">
        <v>23529.88</v>
      </c>
      <c r="G33" s="12"/>
      <c r="H33" s="12">
        <v>23604.880000000001</v>
      </c>
    </row>
    <row r="34" spans="1:8" ht="24.95" customHeight="1" x14ac:dyDescent="0.25">
      <c r="A34" s="7" t="s">
        <v>75</v>
      </c>
      <c r="C34" s="7" t="s">
        <v>55</v>
      </c>
      <c r="D34" s="12">
        <v>650</v>
      </c>
      <c r="E34" s="12">
        <v>0</v>
      </c>
      <c r="F34" s="12">
        <v>20803.330000000002</v>
      </c>
      <c r="G34" s="15">
        <f>SUM(F33:F34)</f>
        <v>44333.210000000006</v>
      </c>
      <c r="H34" s="12">
        <v>20878.330000000002</v>
      </c>
    </row>
    <row r="35" spans="1:8" x14ac:dyDescent="0.25">
      <c r="D35" s="12"/>
      <c r="E35" s="12"/>
      <c r="F35" s="12"/>
      <c r="G35" s="12"/>
      <c r="H35" s="12"/>
    </row>
    <row r="36" spans="1:8" x14ac:dyDescent="0.25">
      <c r="A36" s="13"/>
      <c r="B36" s="13"/>
      <c r="C36" s="13"/>
      <c r="D36" s="14">
        <f>SUM(D5:D34)</f>
        <v>13400</v>
      </c>
      <c r="E36" s="14">
        <f>SUM(E5:E34)</f>
        <v>0</v>
      </c>
      <c r="F36" s="14">
        <f>SUM(F5:F34)</f>
        <v>491525.96000000008</v>
      </c>
      <c r="G36" s="14"/>
      <c r="H36" s="14">
        <f>SUM(H5:H34)</f>
        <v>492950.96000000008</v>
      </c>
    </row>
  </sheetData>
  <mergeCells count="2">
    <mergeCell ref="A2:D2"/>
    <mergeCell ref="E2:H2"/>
  </mergeCells>
  <pageMargins left="0.7" right="0.2" top="0.75" bottom="0.5" header="0.3" footer="0.3"/>
  <pageSetup scale="73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DA89-B790-4714-BA1F-FC0D2112F2D6}">
  <sheetPr>
    <pageSetUpPr fitToPage="1"/>
  </sheetPr>
  <dimension ref="A1:E22"/>
  <sheetViews>
    <sheetView workbookViewId="0">
      <selection activeCell="J17" sqref="J17"/>
    </sheetView>
  </sheetViews>
  <sheetFormatPr defaultRowHeight="15" x14ac:dyDescent="0.25"/>
  <cols>
    <col min="1" max="1" width="11.85546875" customWidth="1"/>
    <col min="2" max="2" width="8" customWidth="1"/>
    <col min="3" max="3" width="18.5703125" customWidth="1"/>
    <col min="4" max="4" width="18.85546875" customWidth="1"/>
    <col min="5" max="5" width="26.42578125" customWidth="1"/>
  </cols>
  <sheetData>
    <row r="1" spans="1:5" s="20" customFormat="1" x14ac:dyDescent="0.25">
      <c r="A1" s="20" t="s">
        <v>132</v>
      </c>
      <c r="D1" s="21"/>
      <c r="E1" s="22">
        <v>45909</v>
      </c>
    </row>
    <row r="2" spans="1:5" x14ac:dyDescent="0.25">
      <c r="A2" s="4" t="s">
        <v>0</v>
      </c>
      <c r="B2" s="5"/>
      <c r="C2" s="5"/>
      <c r="D2" s="6" t="s">
        <v>114</v>
      </c>
      <c r="E2" s="5"/>
    </row>
    <row r="3" spans="1:5" x14ac:dyDescent="0.25">
      <c r="A3" s="2"/>
      <c r="D3" s="3"/>
    </row>
    <row r="4" spans="1:5" x14ac:dyDescent="0.25">
      <c r="A4" t="s">
        <v>2</v>
      </c>
      <c r="B4" t="s">
        <v>4</v>
      </c>
      <c r="C4" t="s">
        <v>5</v>
      </c>
      <c r="D4" t="s">
        <v>6</v>
      </c>
      <c r="E4" t="s">
        <v>7</v>
      </c>
    </row>
    <row r="5" spans="1:5" s="7" customFormat="1" ht="24.95" customHeight="1" x14ac:dyDescent="0.25">
      <c r="A5" s="7" t="s">
        <v>24</v>
      </c>
      <c r="B5" s="7" t="s">
        <v>26</v>
      </c>
      <c r="C5" s="7" t="s">
        <v>27</v>
      </c>
      <c r="E5" s="7" t="s">
        <v>28</v>
      </c>
    </row>
    <row r="6" spans="1:5" s="7" customFormat="1" ht="24.95" customHeight="1" x14ac:dyDescent="0.25">
      <c r="A6" s="7" t="s">
        <v>47</v>
      </c>
      <c r="B6" s="7" t="s">
        <v>26</v>
      </c>
      <c r="C6" s="7" t="s">
        <v>48</v>
      </c>
      <c r="E6" s="7" t="s">
        <v>49</v>
      </c>
    </row>
    <row r="7" spans="1:5" s="7" customFormat="1" ht="24.95" customHeight="1" x14ac:dyDescent="0.25">
      <c r="A7" s="7" t="s">
        <v>94</v>
      </c>
      <c r="B7" s="7" t="s">
        <v>26</v>
      </c>
      <c r="C7" s="7" t="s">
        <v>95</v>
      </c>
      <c r="D7" s="7" t="s">
        <v>96</v>
      </c>
      <c r="E7" s="7" t="s">
        <v>43</v>
      </c>
    </row>
    <row r="8" spans="1:5" s="7" customFormat="1" ht="24.95" customHeight="1" x14ac:dyDescent="0.25">
      <c r="A8" s="7" t="s">
        <v>100</v>
      </c>
      <c r="B8" s="7" t="s">
        <v>26</v>
      </c>
      <c r="C8" s="7" t="s">
        <v>101</v>
      </c>
      <c r="E8" s="7" t="s">
        <v>43</v>
      </c>
    </row>
    <row r="9" spans="1:5" x14ac:dyDescent="0.25">
      <c r="A9" s="1"/>
      <c r="B9" s="1"/>
      <c r="C9" s="1" t="s">
        <v>131</v>
      </c>
      <c r="D9" s="1"/>
      <c r="E9" s="1"/>
    </row>
    <row r="14" spans="1:5" x14ac:dyDescent="0.25">
      <c r="A14" t="s">
        <v>133</v>
      </c>
      <c r="B14" s="23"/>
      <c r="C14" s="23"/>
      <c r="D14" s="23"/>
    </row>
    <row r="18" spans="1:4" x14ac:dyDescent="0.25">
      <c r="A18" t="s">
        <v>134</v>
      </c>
      <c r="B18" s="23"/>
      <c r="C18" s="23"/>
      <c r="D18" s="23"/>
    </row>
    <row r="22" spans="1:4" x14ac:dyDescent="0.25">
      <c r="A22" t="s">
        <v>135</v>
      </c>
      <c r="B22" s="23"/>
      <c r="C22" s="23"/>
    </row>
  </sheetData>
  <mergeCells count="2">
    <mergeCell ref="A2:C2"/>
    <mergeCell ref="D2:E2"/>
  </mergeCells>
  <pageMargins left="0.7" right="0.7" top="0.75" bottom="0.75" header="0.3" footer="0.3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2025-09-09T18:58:17Z</cp:lastPrinted>
  <dcterms:created xsi:type="dcterms:W3CDTF">2025-09-09T18:09:05Z</dcterms:created>
  <dcterms:modified xsi:type="dcterms:W3CDTF">2025-09-09T19:03:51Z</dcterms:modified>
</cp:coreProperties>
</file>