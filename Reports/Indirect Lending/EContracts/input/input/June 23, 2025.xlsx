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A8AA5FD2-12A1-48B2-AF20-932FA17AE070}" xr6:coauthVersionLast="47" xr6:coauthVersionMax="47" xr10:uidLastSave="{00000000-0000-0000-0000-000000000000}"/>
  <bookViews>
    <workbookView xWindow="735" yWindow="0" windowWidth="29040" windowHeight="1560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F9" i="1"/>
  <c r="F25" i="1"/>
  <c r="F32" i="1"/>
  <c r="H33" i="1"/>
  <c r="E33" i="1"/>
  <c r="D33" i="1"/>
  <c r="C33" i="1"/>
</calcChain>
</file>

<file path=xl/sharedStrings.xml><?xml version="1.0" encoding="utf-8"?>
<sst xmlns="http://schemas.openxmlformats.org/spreadsheetml/2006/main" count="218" uniqueCount="119">
  <si>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</si>
  <si>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</si>
  <si>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</si>
  <si>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</si>
  <si>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</si>
  <si>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</si>
  <si>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</si>
  <si>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</si>
  <si>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</si>
  <si>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</si>
  <si>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</si>
  <si>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</si>
  <si>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Bald Hill Dodge Chrysler</t>
  </si>
  <si>
    <t>Rachel Gorham</t>
  </si>
  <si>
    <t>Colonial South Chevrolet</t>
  </si>
  <si>
    <t>Neli Oliveira</t>
  </si>
  <si>
    <t>Grieco Enterprises, LLC d/b/a</t>
  </si>
  <si>
    <t>Grieco Toyota</t>
  </si>
  <si>
    <t>Herb Chambers Lincoln</t>
  </si>
  <si>
    <t>Hiller Co Inc</t>
  </si>
  <si>
    <t>Mathieu Ford Sales, Inc</t>
  </si>
  <si>
    <t>Paul Masse Buick GMC South, Inc</t>
  </si>
  <si>
    <t>Planet Subaru</t>
  </si>
  <si>
    <t>Salvadore Chevrolet</t>
  </si>
  <si>
    <t>Sandy Motors, Inc</t>
  </si>
  <si>
    <t>Tasca Ford</t>
  </si>
  <si>
    <t>Column1</t>
  </si>
  <si>
    <t>Column2</t>
  </si>
  <si>
    <t># 17</t>
  </si>
  <si>
    <t>AMARAL</t>
  </si>
  <si>
    <t>CLERMONTS@COMCAST.NET</t>
  </si>
  <si>
    <t>CLERMONT, SANDRA</t>
  </si>
  <si>
    <t>E Contract</t>
  </si>
  <si>
    <t>Route One</t>
  </si>
  <si>
    <t>SOUZA</t>
  </si>
  <si>
    <t>MXLOPES2788@GMAIL.COM</t>
  </si>
  <si>
    <t>FORSYTHE, MELANIE</t>
  </si>
  <si>
    <t>ALVES</t>
  </si>
  <si>
    <t>BURGO, KEVIN</t>
  </si>
  <si>
    <t>Sorsfield</t>
  </si>
  <si>
    <t>jimcorley85@gmail.com</t>
  </si>
  <si>
    <t>Corley, James</t>
  </si>
  <si>
    <t>CASEY</t>
  </si>
  <si>
    <t>jamaral62@yahoo.com</t>
  </si>
  <si>
    <t>AMARAL, JAMES</t>
  </si>
  <si>
    <t>DUNTON</t>
  </si>
  <si>
    <t>NEILCURT2@GMAIL.COM</t>
  </si>
  <si>
    <t>CURTIS, NEIL</t>
  </si>
  <si>
    <t>Thornton</t>
  </si>
  <si>
    <t>BTHO1112@GMAIL.COM</t>
  </si>
  <si>
    <t>THORNTON, BREEANNA</t>
  </si>
  <si>
    <t>DealerTrack</t>
  </si>
  <si>
    <t>SPOONER</t>
  </si>
  <si>
    <t>CONLONKATIE@GMAIL.COM</t>
  </si>
  <si>
    <t>CONLAN, KATHERINE</t>
  </si>
  <si>
    <t>Paper</t>
  </si>
  <si>
    <t>151195437</t>
  </si>
  <si>
    <t>Aresta</t>
  </si>
  <si>
    <t>James</t>
  </si>
  <si>
    <t>JMALLOY@RHWHITE.COM</t>
  </si>
  <si>
    <t>GOPATS380@COMCAST.NET</t>
  </si>
  <si>
    <t>MALLOY, ANNMARGARET</t>
  </si>
  <si>
    <t>MALLOY, JOSEPH</t>
  </si>
  <si>
    <t>McILMAIL</t>
  </si>
  <si>
    <t>mshay134@gmail.com</t>
  </si>
  <si>
    <t>SHAY, MARGARET</t>
  </si>
  <si>
    <t>GRETZULA</t>
  </si>
  <si>
    <t>MBZ300TD@GMAIL.COM</t>
  </si>
  <si>
    <t>VAETH, SAMUEL</t>
  </si>
  <si>
    <t>NAWROCKI</t>
  </si>
  <si>
    <t>MICROGILLY@GMAIL.COM</t>
  </si>
  <si>
    <t>WEICK, DANIEL</t>
  </si>
  <si>
    <t>Alarcon</t>
  </si>
  <si>
    <t>kaesy.soto@upr.edu</t>
  </si>
  <si>
    <t>Soto Ramirez, Kaesy</t>
  </si>
  <si>
    <t>Cordeiro</t>
  </si>
  <si>
    <t>Yokojoe182@msn.com</t>
  </si>
  <si>
    <t>Aguiar, Joseph</t>
  </si>
  <si>
    <t>Zheleva</t>
  </si>
  <si>
    <t>MILENAIV@GMAIL.COM</t>
  </si>
  <si>
    <t>MACCOLL, MILENA</t>
  </si>
  <si>
    <t>Agger</t>
  </si>
  <si>
    <t>SMSOREO2@AOL.COM</t>
  </si>
  <si>
    <t>SCHERTZER, STEVEN</t>
  </si>
  <si>
    <t>Kotzen</t>
  </si>
  <si>
    <t>HKWINER18@GMAIL.COM</t>
  </si>
  <si>
    <t>WINER, HARRIET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</si>
  <si>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</si>
  <si>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</si>
  <si>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</si>
  <si>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</si>
  <si>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</si>
  <si>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</si>
  <si>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</si>
  <si>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</si>
  <si>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</si>
  <si>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</si>
  <si>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</si>
  <si>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</t>
  </si>
  <si>
    <t>Received By_______________________________________________________________________</t>
  </si>
  <si>
    <t>Delivered By_______________________________________________________________________</t>
  </si>
  <si>
    <t># 1</t>
  </si>
  <si>
    <t>Funding Worksheet - Signoff Version</t>
  </si>
  <si>
    <t>151195164e</t>
  </si>
  <si>
    <t>151195172e</t>
  </si>
  <si>
    <t>151195180e</t>
  </si>
  <si>
    <t>151195247e</t>
  </si>
  <si>
    <t>151195312e</t>
  </si>
  <si>
    <t>151195320e</t>
  </si>
  <si>
    <t>151195338e</t>
  </si>
  <si>
    <t>151195411e</t>
  </si>
  <si>
    <t>151195445e</t>
  </si>
  <si>
    <t>151195429e</t>
  </si>
  <si>
    <t>151195453e</t>
  </si>
  <si>
    <t>151195461e</t>
  </si>
  <si>
    <t>151195487e</t>
  </si>
  <si>
    <t>151195495e</t>
  </si>
  <si>
    <t>151195510e</t>
  </si>
  <si>
    <t>151195586e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</si>
</sst>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05E8466C-4A0D-4805-B3CD-2C3E343A671B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3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4CF440B5-8ABD-4211-80EE-27C4BFAAC619}" name="Column1" dataDxfId="23"/>
    <tableColumn id="8" xr3:uid="{38E65B14-7B99-4A0C-B450-4A7E80D583E2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D8AACC-0499-44EC-AB6F-78EF01D44F5E}" name="Table_13" displayName="Table_13" ref="A3:L2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B78E1-6980-497A-931C-B8D0BAA8760D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workbookViewId="0">
      <pane ySplit="3" topLeftCell="A4" activePane="bottomLeft" state="frozen"/>
      <selection pane="bottomLeft" activeCell="F10" sqref="F10"/>
    </sheetView>
  </sheetViews>
  <sheetFormatPr defaultRowHeight="15" x14ac:dyDescent="0.25"/>
  <cols>
    <col min="1" max="1" width="31.5703125" bestFit="1" customWidth="1"/>
    <col min="2" max="2" width="17.7109375" bestFit="1" customWidth="1"/>
    <col min="3" max="3" width="11.140625" bestFit="1" customWidth="1"/>
    <col min="4" max="4" width="13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45831</v>
      </c>
      <c r="E1" t="s">
        <v>2</v>
      </c>
      <c r="H1" s="4">
        <v>45831.999988425923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26</v>
      </c>
      <c r="G3" t="s">
        <v>27</v>
      </c>
      <c r="H3" t="s">
        <v>9</v>
      </c>
    </row>
    <row r="4" spans="1:8" x14ac:dyDescent="0.25">
      <c r="A4" t="s">
        <v>10</v>
      </c>
      <c r="B4" t="s">
        <v>11</v>
      </c>
      <c r="C4" s="2">
        <v>1500</v>
      </c>
      <c r="D4" s="2">
        <v>0</v>
      </c>
      <c r="E4" s="2">
        <v>70000.009999999995</v>
      </c>
      <c r="F4" s="2"/>
      <c r="G4" s="2"/>
      <c r="H4" s="2">
        <v>70075.009999999995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1500</v>
      </c>
      <c r="D6" s="2">
        <v>0</v>
      </c>
      <c r="E6" s="2">
        <v>71920.45</v>
      </c>
      <c r="F6" s="2"/>
      <c r="G6" s="2"/>
      <c r="H6" s="2">
        <v>71995.45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13</v>
      </c>
      <c r="C8" s="2">
        <v>500</v>
      </c>
      <c r="D8" s="2">
        <v>0</v>
      </c>
      <c r="E8" s="2">
        <v>15019.95</v>
      </c>
      <c r="F8" s="2"/>
      <c r="G8" s="2"/>
      <c r="H8" s="2">
        <v>15094.95</v>
      </c>
    </row>
    <row r="9" spans="1:8" x14ac:dyDescent="0.25">
      <c r="A9" t="s">
        <v>14</v>
      </c>
      <c r="B9" t="s">
        <v>15</v>
      </c>
      <c r="C9" s="2">
        <v>850</v>
      </c>
      <c r="D9" s="2">
        <v>0</v>
      </c>
      <c r="E9" s="2">
        <v>30254.86</v>
      </c>
      <c r="F9" s="2">
        <f>SUM(E8:E9)</f>
        <v>45274.81</v>
      </c>
      <c r="G9" s="2"/>
      <c r="H9" s="2">
        <v>30329.86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16</v>
      </c>
      <c r="B11" t="s">
        <v>11</v>
      </c>
      <c r="C11" s="2">
        <v>850</v>
      </c>
      <c r="D11" s="2">
        <v>0</v>
      </c>
      <c r="E11" s="2">
        <v>32305.68</v>
      </c>
      <c r="F11" s="2"/>
      <c r="G11" s="2"/>
      <c r="H11" s="2">
        <v>32380.68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17</v>
      </c>
      <c r="B13" t="s">
        <v>13</v>
      </c>
      <c r="C13" s="2">
        <v>750</v>
      </c>
      <c r="D13" s="2">
        <v>0</v>
      </c>
      <c r="E13" s="2">
        <v>25134.81</v>
      </c>
      <c r="F13" s="2"/>
      <c r="G13" s="2"/>
      <c r="H13" s="2">
        <v>25209.81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18</v>
      </c>
      <c r="B15" t="s">
        <v>11</v>
      </c>
      <c r="C15" s="2">
        <v>300</v>
      </c>
      <c r="D15" s="2">
        <v>0</v>
      </c>
      <c r="E15" s="2">
        <v>14350.51</v>
      </c>
      <c r="F15" s="2"/>
      <c r="G15" s="2"/>
      <c r="H15" s="2">
        <v>14425.51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19</v>
      </c>
      <c r="B17" t="s">
        <v>15</v>
      </c>
      <c r="C17" s="2">
        <v>500</v>
      </c>
      <c r="D17" s="2">
        <v>0</v>
      </c>
      <c r="E17" s="2">
        <v>18975</v>
      </c>
      <c r="F17" s="2"/>
      <c r="G17" s="2"/>
      <c r="H17" s="2">
        <v>19050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20</v>
      </c>
      <c r="B19" t="s">
        <v>15</v>
      </c>
      <c r="C19" s="2">
        <v>950</v>
      </c>
      <c r="D19" s="2">
        <v>0</v>
      </c>
      <c r="E19" s="2">
        <v>39094.5</v>
      </c>
      <c r="F19" s="2"/>
      <c r="G19" s="2"/>
      <c r="H19" s="2">
        <v>39169.5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21</v>
      </c>
      <c r="B21" t="s">
        <v>13</v>
      </c>
      <c r="C21" s="2">
        <v>1500</v>
      </c>
      <c r="D21" s="2">
        <v>0</v>
      </c>
      <c r="E21" s="2">
        <v>79475.06</v>
      </c>
      <c r="F21" s="2"/>
      <c r="G21" s="2"/>
      <c r="H21" s="2">
        <v>79550.06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22</v>
      </c>
      <c r="B23" t="s">
        <v>11</v>
      </c>
      <c r="C23" s="2">
        <v>500</v>
      </c>
      <c r="D23" s="2">
        <v>0</v>
      </c>
      <c r="E23" s="2">
        <v>19702</v>
      </c>
      <c r="F23" s="2"/>
      <c r="G23" s="2"/>
      <c r="H23" s="2">
        <v>19777</v>
      </c>
    </row>
    <row r="24" spans="1:8" x14ac:dyDescent="0.25">
      <c r="A24" t="s">
        <v>22</v>
      </c>
      <c r="B24" t="s">
        <v>11</v>
      </c>
      <c r="C24" s="2">
        <v>850</v>
      </c>
      <c r="D24" s="2">
        <v>0</v>
      </c>
      <c r="E24" s="2">
        <v>32384.69</v>
      </c>
      <c r="F24" s="2"/>
      <c r="G24" s="2"/>
      <c r="H24" s="2">
        <v>32459.69</v>
      </c>
    </row>
    <row r="25" spans="1:8" x14ac:dyDescent="0.25">
      <c r="A25" t="s">
        <v>22</v>
      </c>
      <c r="B25" t="s">
        <v>15</v>
      </c>
      <c r="C25" s="2">
        <v>500</v>
      </c>
      <c r="D25" s="2">
        <v>0</v>
      </c>
      <c r="E25" s="2">
        <v>15648.27</v>
      </c>
      <c r="F25" s="2">
        <f>SUM(E23:E25)</f>
        <v>67734.960000000006</v>
      </c>
      <c r="G25" s="2"/>
      <c r="H25" s="2">
        <v>15723.27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23</v>
      </c>
      <c r="B27" t="s">
        <v>11</v>
      </c>
      <c r="C27" s="2">
        <v>1350</v>
      </c>
      <c r="D27" s="2">
        <v>0</v>
      </c>
      <c r="E27" s="2">
        <v>66570.5</v>
      </c>
      <c r="F27" s="2"/>
      <c r="G27" s="2"/>
      <c r="H27" s="2">
        <v>66645.5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24</v>
      </c>
      <c r="B29" t="s">
        <v>13</v>
      </c>
      <c r="C29" s="2">
        <v>750</v>
      </c>
      <c r="D29" s="2">
        <v>0</v>
      </c>
      <c r="E29" s="2">
        <v>26149.93</v>
      </c>
      <c r="F29" s="2"/>
      <c r="G29" s="2"/>
      <c r="H29" s="2">
        <v>26224.93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25</v>
      </c>
      <c r="B31" t="s">
        <v>11</v>
      </c>
      <c r="C31" s="2">
        <v>1150</v>
      </c>
      <c r="D31" s="2">
        <v>0</v>
      </c>
      <c r="E31" s="2">
        <v>47383.85</v>
      </c>
      <c r="F31" s="2"/>
      <c r="G31" s="2"/>
      <c r="H31" s="2">
        <v>47458.85</v>
      </c>
    </row>
    <row r="32" spans="1:8" x14ac:dyDescent="0.25">
      <c r="A32" t="s">
        <v>25</v>
      </c>
      <c r="B32" t="s">
        <v>13</v>
      </c>
      <c r="C32" s="2">
        <v>1350</v>
      </c>
      <c r="D32" s="2">
        <v>0</v>
      </c>
      <c r="E32" s="2">
        <v>49934.1</v>
      </c>
      <c r="F32" s="2">
        <f>SUM(E31:E32)</f>
        <v>97317.95</v>
      </c>
      <c r="G32" s="2"/>
      <c r="H32" s="2">
        <v>50009.1</v>
      </c>
    </row>
    <row r="33" spans="1:8" x14ac:dyDescent="0.25">
      <c r="A33" s="1"/>
      <c r="B33" s="1"/>
      <c r="C33" s="3">
        <f>SUM(C4:C32)</f>
        <v>15650</v>
      </c>
      <c r="D33" s="3">
        <f>SUM(D4:D32)</f>
        <v>0</v>
      </c>
      <c r="E33" s="3">
        <f>SUM(E4:E32)</f>
        <v>654304.17000000004</v>
      </c>
      <c r="F33" s="3"/>
      <c r="G33" s="3"/>
      <c r="H33" s="3">
        <f>SUM(H4:H32)</f>
        <v>655579.17000000004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3830-AF9F-40C8-A144-F02009D91BE2}">
  <sheetPr>
    <pageSetUpPr fitToPage="1"/>
  </sheetPr>
  <dimension ref="A1:M26"/>
  <sheetViews>
    <sheetView tabSelected="1" workbookViewId="0">
      <pane ySplit="3" topLeftCell="A11" activePane="bottomLeft" state="frozen"/>
      <selection pane="bottomLeft" activeCell="C15" sqref="C15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2.85546875" style="8" bestFit="1" customWidth="1"/>
    <col min="5" max="5" width="24" style="8" bestFit="1" customWidth="1"/>
    <col min="6" max="6" width="31.5703125" style="8" bestFit="1" customWidth="1"/>
    <col min="7" max="7" width="17.7109375" style="8" bestFit="1" customWidth="1"/>
    <col min="8" max="8" width="17.140625" style="8" bestFit="1" customWidth="1"/>
    <col min="9" max="9" width="27.7109375" style="8" bestFit="1" customWidth="1"/>
    <col min="10" max="10" width="24.42578125" style="8" bestFit="1" customWidth="1"/>
    <col min="11" max="11" width="13.710937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45831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97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96</v>
      </c>
      <c r="B3" s="9" t="s">
        <v>95</v>
      </c>
      <c r="C3" s="9" t="s">
        <v>94</v>
      </c>
      <c r="D3" s="9" t="s">
        <v>93</v>
      </c>
      <c r="E3" s="9" t="s">
        <v>92</v>
      </c>
      <c r="F3" s="9" t="s">
        <v>4</v>
      </c>
      <c r="G3" s="9" t="s">
        <v>5</v>
      </c>
      <c r="H3" s="9" t="s">
        <v>91</v>
      </c>
      <c r="I3" s="9" t="s">
        <v>90</v>
      </c>
      <c r="J3" s="9" t="s">
        <v>89</v>
      </c>
      <c r="K3" s="9" t="s">
        <v>88</v>
      </c>
      <c r="L3" s="9" t="s">
        <v>87</v>
      </c>
      <c r="M3" s="9"/>
    </row>
    <row r="4" spans="1:13" ht="35.1" customHeight="1" x14ac:dyDescent="0.25">
      <c r="A4" s="9" t="s">
        <v>103</v>
      </c>
      <c r="B4" s="9" t="s">
        <v>51</v>
      </c>
      <c r="C4" s="9" t="s">
        <v>32</v>
      </c>
      <c r="D4" s="9" t="s">
        <v>86</v>
      </c>
      <c r="E4" s="9"/>
      <c r="F4" s="9" t="s">
        <v>22</v>
      </c>
      <c r="G4" s="9" t="s">
        <v>11</v>
      </c>
      <c r="H4" s="14">
        <v>32459.69</v>
      </c>
      <c r="I4" s="9" t="s">
        <v>85</v>
      </c>
      <c r="J4" s="9"/>
      <c r="K4" s="9" t="s">
        <v>84</v>
      </c>
      <c r="L4" s="9"/>
      <c r="M4" s="9"/>
    </row>
    <row r="5" spans="1:13" ht="35.1" customHeight="1" x14ac:dyDescent="0.25">
      <c r="A5" s="9" t="s">
        <v>104</v>
      </c>
      <c r="B5" s="9" t="s">
        <v>33</v>
      </c>
      <c r="C5" s="9" t="s">
        <v>32</v>
      </c>
      <c r="D5" s="9" t="s">
        <v>83</v>
      </c>
      <c r="E5" s="9"/>
      <c r="F5" s="9" t="s">
        <v>18</v>
      </c>
      <c r="G5" s="9" t="s">
        <v>11</v>
      </c>
      <c r="H5" s="14">
        <v>14425.51</v>
      </c>
      <c r="I5" s="9" t="s">
        <v>82</v>
      </c>
      <c r="J5" s="9"/>
      <c r="K5" s="9" t="s">
        <v>81</v>
      </c>
      <c r="L5" s="9"/>
      <c r="M5" s="9"/>
    </row>
    <row r="6" spans="1:13" ht="35.1" customHeight="1" x14ac:dyDescent="0.25">
      <c r="A6" s="9" t="s">
        <v>105</v>
      </c>
      <c r="B6" s="9" t="s">
        <v>33</v>
      </c>
      <c r="C6" s="9" t="s">
        <v>32</v>
      </c>
      <c r="D6" s="9" t="s">
        <v>80</v>
      </c>
      <c r="E6" s="9"/>
      <c r="F6" s="9" t="s">
        <v>25</v>
      </c>
      <c r="G6" s="9" t="s">
        <v>11</v>
      </c>
      <c r="H6" s="14">
        <v>47458.85</v>
      </c>
      <c r="I6" s="9" t="s">
        <v>79</v>
      </c>
      <c r="J6" s="9"/>
      <c r="K6" s="9" t="s">
        <v>78</v>
      </c>
      <c r="L6" s="9"/>
      <c r="M6" s="9"/>
    </row>
    <row r="7" spans="1:13" ht="35.1" customHeight="1" x14ac:dyDescent="0.25">
      <c r="A7" s="9" t="s">
        <v>106</v>
      </c>
      <c r="B7" s="9" t="s">
        <v>33</v>
      </c>
      <c r="C7" s="9" t="s">
        <v>32</v>
      </c>
      <c r="D7" s="9" t="s">
        <v>77</v>
      </c>
      <c r="E7" s="9"/>
      <c r="F7" s="9" t="s">
        <v>10</v>
      </c>
      <c r="G7" s="9" t="s">
        <v>11</v>
      </c>
      <c r="H7" s="14">
        <v>70075.009999999995</v>
      </c>
      <c r="I7" s="9" t="s">
        <v>76</v>
      </c>
      <c r="J7" s="9"/>
      <c r="K7" s="9" t="s">
        <v>75</v>
      </c>
      <c r="L7" s="9"/>
      <c r="M7" s="9"/>
    </row>
    <row r="8" spans="1:13" ht="35.1" customHeight="1" x14ac:dyDescent="0.25">
      <c r="A8" s="9" t="s">
        <v>107</v>
      </c>
      <c r="B8" s="9" t="s">
        <v>33</v>
      </c>
      <c r="C8" s="9" t="s">
        <v>32</v>
      </c>
      <c r="D8" s="9" t="s">
        <v>74</v>
      </c>
      <c r="E8" s="9"/>
      <c r="F8" s="9" t="s">
        <v>23</v>
      </c>
      <c r="G8" s="9" t="s">
        <v>11</v>
      </c>
      <c r="H8" s="14">
        <v>66645.5</v>
      </c>
      <c r="I8" s="9" t="s">
        <v>73</v>
      </c>
      <c r="J8" s="9"/>
      <c r="K8" s="9" t="s">
        <v>72</v>
      </c>
      <c r="L8" s="9"/>
      <c r="M8" s="9"/>
    </row>
    <row r="9" spans="1:13" ht="35.1" customHeight="1" x14ac:dyDescent="0.25">
      <c r="A9" s="9" t="s">
        <v>108</v>
      </c>
      <c r="B9" s="9" t="s">
        <v>33</v>
      </c>
      <c r="C9" s="9" t="s">
        <v>32</v>
      </c>
      <c r="D9" s="9" t="s">
        <v>71</v>
      </c>
      <c r="E9" s="9"/>
      <c r="F9" s="9" t="s">
        <v>20</v>
      </c>
      <c r="G9" s="9" t="s">
        <v>15</v>
      </c>
      <c r="H9" s="14">
        <v>39169.5</v>
      </c>
      <c r="I9" s="9" t="s">
        <v>70</v>
      </c>
      <c r="J9" s="9"/>
      <c r="K9" s="9" t="s">
        <v>69</v>
      </c>
      <c r="L9" s="9"/>
      <c r="M9" s="9"/>
    </row>
    <row r="10" spans="1:13" ht="35.1" customHeight="1" x14ac:dyDescent="0.25">
      <c r="A10" s="9" t="s">
        <v>109</v>
      </c>
      <c r="B10" s="9" t="s">
        <v>51</v>
      </c>
      <c r="C10" s="9" t="s">
        <v>32</v>
      </c>
      <c r="D10" s="9" t="s">
        <v>68</v>
      </c>
      <c r="E10" s="9"/>
      <c r="F10" s="9" t="s">
        <v>22</v>
      </c>
      <c r="G10" s="9" t="s">
        <v>15</v>
      </c>
      <c r="H10" s="14">
        <v>15723.27</v>
      </c>
      <c r="I10" s="9" t="s">
        <v>67</v>
      </c>
      <c r="J10" s="9"/>
      <c r="K10" s="9" t="s">
        <v>66</v>
      </c>
      <c r="L10" s="9"/>
      <c r="M10" s="9"/>
    </row>
    <row r="11" spans="1:13" ht="35.1" customHeight="1" x14ac:dyDescent="0.25">
      <c r="A11" s="9" t="s">
        <v>110</v>
      </c>
      <c r="B11" s="9" t="s">
        <v>33</v>
      </c>
      <c r="C11" s="9" t="s">
        <v>32</v>
      </c>
      <c r="D11" s="9" t="s">
        <v>65</v>
      </c>
      <c r="E11" s="9"/>
      <c r="F11" s="9" t="s">
        <v>12</v>
      </c>
      <c r="G11" s="9" t="s">
        <v>13</v>
      </c>
      <c r="H11" s="14">
        <v>71995.45</v>
      </c>
      <c r="I11" s="9" t="s">
        <v>64</v>
      </c>
      <c r="J11" s="9"/>
      <c r="K11" s="9" t="s">
        <v>63</v>
      </c>
      <c r="L11" s="9"/>
      <c r="M11" s="9"/>
    </row>
    <row r="12" spans="1:13" ht="35.1" customHeight="1" x14ac:dyDescent="0.25">
      <c r="A12" s="9" t="s">
        <v>112</v>
      </c>
      <c r="B12" s="9" t="s">
        <v>51</v>
      </c>
      <c r="C12" s="9" t="s">
        <v>32</v>
      </c>
      <c r="D12" s="9" t="s">
        <v>62</v>
      </c>
      <c r="E12" s="9" t="s">
        <v>61</v>
      </c>
      <c r="F12" s="9" t="s">
        <v>22</v>
      </c>
      <c r="G12" s="9" t="s">
        <v>11</v>
      </c>
      <c r="H12" s="14">
        <v>19777</v>
      </c>
      <c r="I12" s="9" t="s">
        <v>60</v>
      </c>
      <c r="J12" s="9" t="s">
        <v>59</v>
      </c>
      <c r="K12" s="9" t="s">
        <v>58</v>
      </c>
      <c r="L12" s="9" t="s">
        <v>57</v>
      </c>
      <c r="M12" s="9"/>
    </row>
    <row r="13" spans="1:13" ht="35.1" customHeight="1" x14ac:dyDescent="0.25">
      <c r="A13" s="9" t="s">
        <v>56</v>
      </c>
      <c r="B13" s="9" t="s">
        <v>51</v>
      </c>
      <c r="C13" s="9" t="s">
        <v>55</v>
      </c>
      <c r="D13" s="9" t="s">
        <v>54</v>
      </c>
      <c r="E13" s="9"/>
      <c r="F13" s="9" t="s">
        <v>24</v>
      </c>
      <c r="G13" s="9" t="s">
        <v>13</v>
      </c>
      <c r="H13" s="14">
        <v>26224.93</v>
      </c>
      <c r="I13" s="9" t="s">
        <v>53</v>
      </c>
      <c r="J13" s="9"/>
      <c r="K13" s="9" t="s">
        <v>52</v>
      </c>
      <c r="L13" s="9"/>
      <c r="M13" s="9"/>
    </row>
    <row r="14" spans="1:13" ht="35.1" customHeight="1" x14ac:dyDescent="0.25">
      <c r="A14" s="9" t="s">
        <v>111</v>
      </c>
      <c r="B14" s="9" t="s">
        <v>51</v>
      </c>
      <c r="C14" s="9" t="s">
        <v>32</v>
      </c>
      <c r="D14" s="9" t="s">
        <v>50</v>
      </c>
      <c r="E14" s="9"/>
      <c r="F14" s="9" t="s">
        <v>16</v>
      </c>
      <c r="G14" s="9" t="s">
        <v>11</v>
      </c>
      <c r="H14" s="14">
        <v>32380.68</v>
      </c>
      <c r="I14" s="9" t="s">
        <v>49</v>
      </c>
      <c r="J14" s="9"/>
      <c r="K14" s="9" t="s">
        <v>48</v>
      </c>
      <c r="L14" s="9"/>
      <c r="M14" s="9"/>
    </row>
    <row r="15" spans="1:13" ht="35.1" customHeight="1" x14ac:dyDescent="0.25">
      <c r="A15" s="9" t="s">
        <v>113</v>
      </c>
      <c r="B15" s="9" t="s">
        <v>33</v>
      </c>
      <c r="C15" s="9" t="s">
        <v>32</v>
      </c>
      <c r="D15" s="9" t="s">
        <v>47</v>
      </c>
      <c r="E15" s="9"/>
      <c r="F15" s="9" t="s">
        <v>17</v>
      </c>
      <c r="G15" s="9" t="s">
        <v>13</v>
      </c>
      <c r="H15" s="14">
        <v>25209.81</v>
      </c>
      <c r="I15" s="9" t="s">
        <v>46</v>
      </c>
      <c r="J15" s="9"/>
      <c r="K15" s="9" t="s">
        <v>45</v>
      </c>
      <c r="L15" s="9"/>
      <c r="M15" s="9"/>
    </row>
    <row r="16" spans="1:13" ht="35.1" customHeight="1" x14ac:dyDescent="0.25">
      <c r="A16" s="9" t="s">
        <v>114</v>
      </c>
      <c r="B16" s="9" t="s">
        <v>33</v>
      </c>
      <c r="C16" s="9" t="s">
        <v>32</v>
      </c>
      <c r="D16" s="9" t="s">
        <v>44</v>
      </c>
      <c r="E16" s="9"/>
      <c r="F16" s="9" t="s">
        <v>14</v>
      </c>
      <c r="G16" s="9" t="s">
        <v>13</v>
      </c>
      <c r="H16" s="14">
        <v>15094.95</v>
      </c>
      <c r="I16" s="9" t="s">
        <v>43</v>
      </c>
      <c r="J16" s="9"/>
      <c r="K16" s="9" t="s">
        <v>42</v>
      </c>
      <c r="L16" s="9"/>
      <c r="M16" s="9"/>
    </row>
    <row r="17" spans="1:13" ht="35.1" customHeight="1" x14ac:dyDescent="0.25">
      <c r="A17" s="9" t="s">
        <v>115</v>
      </c>
      <c r="B17" s="9" t="s">
        <v>33</v>
      </c>
      <c r="C17" s="9" t="s">
        <v>32</v>
      </c>
      <c r="D17" s="9" t="s">
        <v>41</v>
      </c>
      <c r="E17" s="9"/>
      <c r="F17" s="9" t="s">
        <v>14</v>
      </c>
      <c r="G17" s="9" t="s">
        <v>15</v>
      </c>
      <c r="H17" s="14">
        <v>30329.86</v>
      </c>
      <c r="I17" s="9" t="s">
        <v>40</v>
      </c>
      <c r="J17" s="9"/>
      <c r="K17" s="9" t="s">
        <v>39</v>
      </c>
      <c r="L17" s="9"/>
      <c r="M17" s="9"/>
    </row>
    <row r="18" spans="1:13" ht="35.1" customHeight="1" x14ac:dyDescent="0.25">
      <c r="A18" s="9" t="s">
        <v>116</v>
      </c>
      <c r="B18" s="9" t="s">
        <v>33</v>
      </c>
      <c r="C18" s="9" t="s">
        <v>32</v>
      </c>
      <c r="D18" s="9" t="s">
        <v>38</v>
      </c>
      <c r="E18" s="9"/>
      <c r="F18" s="9" t="s">
        <v>21</v>
      </c>
      <c r="G18" s="9" t="s">
        <v>13</v>
      </c>
      <c r="H18" s="14">
        <v>79550.06</v>
      </c>
      <c r="I18" s="9"/>
      <c r="J18" s="9"/>
      <c r="K18" s="9" t="s">
        <v>37</v>
      </c>
      <c r="L18" s="9"/>
      <c r="M18" s="9"/>
    </row>
    <row r="19" spans="1:13" ht="35.1" customHeight="1" x14ac:dyDescent="0.25">
      <c r="A19" s="9" t="s">
        <v>117</v>
      </c>
      <c r="B19" s="9" t="s">
        <v>33</v>
      </c>
      <c r="C19" s="9" t="s">
        <v>32</v>
      </c>
      <c r="D19" s="9" t="s">
        <v>36</v>
      </c>
      <c r="E19" s="9"/>
      <c r="F19" s="9" t="s">
        <v>25</v>
      </c>
      <c r="G19" s="9" t="s">
        <v>13</v>
      </c>
      <c r="H19" s="14">
        <v>50009.1</v>
      </c>
      <c r="I19" s="9" t="s">
        <v>35</v>
      </c>
      <c r="J19" s="9"/>
      <c r="K19" s="9" t="s">
        <v>34</v>
      </c>
      <c r="L19" s="9"/>
      <c r="M19" s="9"/>
    </row>
    <row r="20" spans="1:13" ht="35.1" customHeight="1" x14ac:dyDescent="0.25">
      <c r="A20" s="9" t="s">
        <v>118</v>
      </c>
      <c r="B20" s="9" t="s">
        <v>33</v>
      </c>
      <c r="C20" s="9" t="s">
        <v>32</v>
      </c>
      <c r="D20" s="9" t="s">
        <v>31</v>
      </c>
      <c r="E20" s="9"/>
      <c r="F20" s="9" t="s">
        <v>19</v>
      </c>
      <c r="G20" s="9" t="s">
        <v>15</v>
      </c>
      <c r="H20" s="14">
        <v>19050</v>
      </c>
      <c r="I20" s="9" t="s">
        <v>30</v>
      </c>
      <c r="J20" s="9"/>
      <c r="K20" s="9" t="s">
        <v>29</v>
      </c>
      <c r="L20" s="9"/>
      <c r="M20" s="9"/>
    </row>
    <row r="21" spans="1:13" ht="35.1" customHeight="1" x14ac:dyDescent="0.25">
      <c r="A21" s="15"/>
      <c r="B21" s="15"/>
      <c r="C21" s="15"/>
      <c r="D21" s="15" t="s">
        <v>28</v>
      </c>
      <c r="E21" s="15"/>
      <c r="F21" s="15"/>
      <c r="G21" s="15"/>
      <c r="H21" s="16">
        <f>SUM(H4:H20)</f>
        <v>655579.17000000004</v>
      </c>
      <c r="I21" s="15"/>
      <c r="J21" s="15"/>
      <c r="K21" s="15"/>
      <c r="L21" s="15"/>
      <c r="M21" s="9"/>
    </row>
    <row r="22" spans="1:13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ht="35.1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35.1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ht="35.1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ht="35.1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</sheetData>
  <mergeCells count="2">
    <mergeCell ref="A2:F2"/>
    <mergeCell ref="G2:L2"/>
  </mergeCells>
  <pageMargins left="0.7" right="0.7" top="0.75" bottom="0.75" header="0.3" footer="0.3"/>
  <pageSetup paperSize="5" scale="6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420B-0CA3-4D48-A2FB-438E5377530D}">
  <sheetPr>
    <pageSetUpPr fitToPage="1"/>
  </sheetPr>
  <dimension ref="A1:E30"/>
  <sheetViews>
    <sheetView workbookViewId="0">
      <pane ySplit="3" topLeftCell="A4" activePane="bottomLeft" state="frozen"/>
      <selection pane="bottomLeft" activeCell="E16" sqref="E1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2.85546875" style="8" bestFit="1" customWidth="1"/>
    <col min="4" max="4" width="24" style="8" bestFit="1" customWidth="1"/>
    <col min="5" max="5" width="31.57031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45831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102</v>
      </c>
      <c r="E2" s="12"/>
    </row>
    <row r="3" spans="1:5" x14ac:dyDescent="0.25">
      <c r="A3" s="9" t="s">
        <v>96</v>
      </c>
      <c r="B3" s="9" t="s">
        <v>94</v>
      </c>
      <c r="C3" s="9" t="s">
        <v>93</v>
      </c>
      <c r="D3" s="9" t="s">
        <v>92</v>
      </c>
      <c r="E3" s="9" t="s">
        <v>4</v>
      </c>
    </row>
    <row r="4" spans="1:5" x14ac:dyDescent="0.25">
      <c r="A4" s="9" t="s">
        <v>56</v>
      </c>
      <c r="B4" s="9" t="s">
        <v>55</v>
      </c>
      <c r="C4" s="9" t="s">
        <v>54</v>
      </c>
      <c r="D4" s="9"/>
      <c r="E4" s="9" t="s">
        <v>24</v>
      </c>
    </row>
    <row r="5" spans="1:5" x14ac:dyDescent="0.25">
      <c r="A5" s="15"/>
      <c r="B5" s="15"/>
      <c r="C5" s="15" t="s">
        <v>101</v>
      </c>
      <c r="D5" s="15"/>
      <c r="E5" s="15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 t="s">
        <v>100</v>
      </c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 t="s">
        <v>99</v>
      </c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98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  <row r="30" spans="1:5" x14ac:dyDescent="0.25">
      <c r="A30" s="9"/>
      <c r="B30" s="9"/>
      <c r="C30" s="9"/>
      <c r="D30" s="9"/>
      <c r="E30" s="9"/>
    </row>
  </sheetData>
  <mergeCells count="2">
    <mergeCell ref="A2:C2"/>
    <mergeCell ref="D2:E2"/>
  </mergeCells>
  <pageMargins left="0.7" right="0.7" top="0.75" bottom="0.75" header="0.3" footer="0.3"/>
  <pageSetup scale="8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2025-06-23T18:55:22Z</cp:lastPrinted>
  <dcterms:created xsi:type="dcterms:W3CDTF">2025-06-23T18:48:16Z</dcterms:created>
  <dcterms:modified xsi:type="dcterms:W3CDTF">2025-06-23T18:58:49Z</dcterms:modified>
</cp:coreProperties>
</file>