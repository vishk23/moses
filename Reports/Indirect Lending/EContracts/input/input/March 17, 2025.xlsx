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875B6588-6510-475B-B10B-B69E861D5FB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F9" i="1"/>
  <c r="F14" i="1"/>
  <c r="F19" i="1"/>
  <c r="F22" i="1"/>
  <c r="F28" i="1"/>
  <c r="F34" i="1"/>
  <c r="H43" i="1"/>
  <c r="E43" i="1"/>
  <c r="D43" i="1"/>
  <c r="C43" i="1"/>
</calcChain>
</file>

<file path=xl/sharedStrings.xml><?xml version="1.0" encoding="utf-8"?>
<sst xmlns="http://schemas.openxmlformats.org/spreadsheetml/2006/main" count="289" uniqueCount="146">
  <si>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</si>
  <si>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</si>
  <si>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</si>
  <si>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</si>
  <si>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</si>
  <si>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</si>
  <si>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</si>
  <si>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</si>
  <si>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</si>
  <si>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</si>
  <si>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</si>
  <si>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Neli Oliveira</t>
  </si>
  <si>
    <t>AutoMax Preowned(Framingham)</t>
  </si>
  <si>
    <t>Battles Nissan, LLC</t>
  </si>
  <si>
    <t>Marlene Braganca</t>
  </si>
  <si>
    <t>Bourne Enterprises Inc</t>
  </si>
  <si>
    <t>Grieco Toyota</t>
  </si>
  <si>
    <t>Herb Chambers Cadillac Inc</t>
  </si>
  <si>
    <t>Herb Chambers Lincoln</t>
  </si>
  <si>
    <t>Rachel Gorham</t>
  </si>
  <si>
    <t>Lucchettis Service Center Inc</t>
  </si>
  <si>
    <t>Mastria Mazda</t>
  </si>
  <si>
    <t>Mathieu Ford Sales, Inc</t>
  </si>
  <si>
    <t>Metro Honda</t>
  </si>
  <si>
    <t>Patriot Auto Group Inc d/b/a</t>
  </si>
  <si>
    <t>Planet Subaru</t>
  </si>
  <si>
    <t>RAH FALL RIVER VW, LLC</t>
  </si>
  <si>
    <t>T F Murphy Enterprises Inc</t>
  </si>
  <si>
    <t>Volvo of Tiverton</t>
  </si>
  <si>
    <t>Column1</t>
  </si>
  <si>
    <t>Column2</t>
  </si>
  <si>
    <t># 24</t>
  </si>
  <si>
    <t>GABOR</t>
  </si>
  <si>
    <t>spkcesa@gmail.com</t>
  </si>
  <si>
    <t>CESA, KENNETH</t>
  </si>
  <si>
    <t>E Contract</t>
  </si>
  <si>
    <t>Route One</t>
  </si>
  <si>
    <t>151157825e</t>
  </si>
  <si>
    <t>Buckley</t>
  </si>
  <si>
    <t>julitchfield@yahoo.com</t>
  </si>
  <si>
    <t>LITCHFIELD, JUSTIN</t>
  </si>
  <si>
    <t>151157809e</t>
  </si>
  <si>
    <t>VIDES</t>
  </si>
  <si>
    <t>vides_9984@hotmail.com</t>
  </si>
  <si>
    <t>VIDES CHAVEZ, MANUEL</t>
  </si>
  <si>
    <t>151157776e</t>
  </si>
  <si>
    <t>Martins</t>
  </si>
  <si>
    <t>Heelon</t>
  </si>
  <si>
    <t>LMPAIVAII@GMAIL.COM</t>
  </si>
  <si>
    <t>PAIVA, ASHLEY</t>
  </si>
  <si>
    <t>PAIVA, LOUIS</t>
  </si>
  <si>
    <t>151157750e</t>
  </si>
  <si>
    <t>LATTANZI</t>
  </si>
  <si>
    <t>LATTANZI, ROBERT</t>
  </si>
  <si>
    <t>151157734e</t>
  </si>
  <si>
    <t>DILAZZARO</t>
  </si>
  <si>
    <t>julie.ferrell21@gmail.com</t>
  </si>
  <si>
    <t>MILLARD, JULIE</t>
  </si>
  <si>
    <t>Paper</t>
  </si>
  <si>
    <t>151157726</t>
  </si>
  <si>
    <t>NOGUEIRA</t>
  </si>
  <si>
    <t>BET6312@GMAIL.COM</t>
  </si>
  <si>
    <t>TURNIER, TALITA</t>
  </si>
  <si>
    <t>DealerTrack</t>
  </si>
  <si>
    <t>151157718e</t>
  </si>
  <si>
    <t>SYLVESTER</t>
  </si>
  <si>
    <t>SCHWARZ, HAROLD</t>
  </si>
  <si>
    <t>151157700e</t>
  </si>
  <si>
    <t>ONEILL</t>
  </si>
  <si>
    <t>raymondwolff@gmail.com</t>
  </si>
  <si>
    <t>Wolff, Raymond</t>
  </si>
  <si>
    <t>151157693e</t>
  </si>
  <si>
    <t>PELLERIN</t>
  </si>
  <si>
    <t>Boudreau, Gregory</t>
  </si>
  <si>
    <t>151157669e</t>
  </si>
  <si>
    <t>MORRISON</t>
  </si>
  <si>
    <t>elizabethsorgi@gmail.com</t>
  </si>
  <si>
    <t>SORGI, ELIZABETH</t>
  </si>
  <si>
    <t>151157651e</t>
  </si>
  <si>
    <t>BRONSDON</t>
  </si>
  <si>
    <t>MRSNIKES@COMCAST.NET</t>
  </si>
  <si>
    <t>NILES, DIANE</t>
  </si>
  <si>
    <t>151157643e</t>
  </si>
  <si>
    <t>LEO</t>
  </si>
  <si>
    <t>raypavone@yahoo.com</t>
  </si>
  <si>
    <t>Pavone, Raymond</t>
  </si>
  <si>
    <t>151157635e</t>
  </si>
  <si>
    <t>Silva</t>
  </si>
  <si>
    <t>AZ_FIRE2@YAHOO.COM</t>
  </si>
  <si>
    <t>AZULAY, ANTHONY</t>
  </si>
  <si>
    <t>151157627e</t>
  </si>
  <si>
    <t>DANIELS</t>
  </si>
  <si>
    <t>MASSVIKING@COMCAST.NET</t>
  </si>
  <si>
    <t>KING, MICHAEL</t>
  </si>
  <si>
    <t>151157601e</t>
  </si>
  <si>
    <t>HERRIN</t>
  </si>
  <si>
    <t>Sjswanson92@gmail.com</t>
  </si>
  <si>
    <t>Swanson, Samantha</t>
  </si>
  <si>
    <t>151157594e</t>
  </si>
  <si>
    <t>Andrade</t>
  </si>
  <si>
    <t>Powers</t>
  </si>
  <si>
    <t>MEDEIROS, JUSTIN</t>
  </si>
  <si>
    <t>MEDEIROS, ERIN</t>
  </si>
  <si>
    <t>151157586e</t>
  </si>
  <si>
    <t>Collins</t>
  </si>
  <si>
    <t>wcdewitt@cox.net</t>
  </si>
  <si>
    <t>DEWITT, WILLIAM</t>
  </si>
  <si>
    <t>151157560e</t>
  </si>
  <si>
    <t>Lidia</t>
  </si>
  <si>
    <t>TEIXEIRA, EUGENIA</t>
  </si>
  <si>
    <t>151157528e</t>
  </si>
  <si>
    <t>TENORE</t>
  </si>
  <si>
    <t>MCGAUGHEY, TONY</t>
  </si>
  <si>
    <t>151157510e</t>
  </si>
  <si>
    <t>HILL</t>
  </si>
  <si>
    <t>MCNEIL.RJ@VERIZON.NET</t>
  </si>
  <si>
    <t>MCNEIL, RICHARD</t>
  </si>
  <si>
    <t>151157502</t>
  </si>
  <si>
    <t>JTARTAGLIONE@GMAIL.COM</t>
  </si>
  <si>
    <t>TARTAGLIONE, JONATHAN</t>
  </si>
  <si>
    <t>151157487e</t>
  </si>
  <si>
    <t>SOPHY NON</t>
  </si>
  <si>
    <t>AJAMESON95@AOL.COM</t>
  </si>
  <si>
    <t>SOLIS, ADRIAN</t>
  </si>
  <si>
    <t>151157453e</t>
  </si>
  <si>
    <t>Selig</t>
  </si>
  <si>
    <t>JAMIE@ARBORMGMT.COM</t>
  </si>
  <si>
    <t>ROBERTS, JAMES</t>
  </si>
  <si>
    <t>151157445e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</si>
  <si>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</si>
  <si>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</si>
  <si>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</si>
  <si>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</si>
  <si>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</si>
  <si>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</si>
  <si>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</si>
  <si>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</si>
  <si>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</si>
  <si>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</si>
  <si>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</si>
  <si>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</t>
  </si>
  <si>
    <t>Received By______________________________________________________________________</t>
  </si>
  <si>
    <t>Delivered By______________________________________________________________________</t>
  </si>
  <si>
    <t># 2</t>
  </si>
  <si>
    <t>Funding Worksheet - Signoff Version</t>
  </si>
  <si>
    <t>5900     6390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</si>
</sst>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CFA919E6-DC16-4AB5-94D9-CDC1ECE55D02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4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AC3DB98F-9076-42A0-AEC3-C0912EA43983}" name="Column1" dataDxfId="23"/>
    <tableColumn id="8" xr3:uid="{19AF5158-19CD-425E-898F-D53FF2BB4126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240C5E-B086-4BBB-AA19-1D7AFA67A9A8}" name="Table_13" displayName="Table_13" ref="A3:L28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D26B24-F88E-4F44-8CA5-365332196BCF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pane ySplit="3" topLeftCell="A4" activePane="bottomLeft" state="frozen"/>
      <selection pane="bottomLeft" activeCell="A17" sqref="A17"/>
    </sheetView>
  </sheetViews>
  <sheetFormatPr defaultRowHeight="15" x14ac:dyDescent="0.25"/>
  <cols>
    <col min="1" max="1" width="31.85546875" bestFit="1" customWidth="1"/>
    <col min="2" max="2" width="17.7109375" bestFit="1" customWidth="1"/>
    <col min="3" max="3" width="11.140625" bestFit="1" customWidth="1"/>
    <col min="4" max="4" width="15.42578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45733</v>
      </c>
      <c r="E1" t="s">
        <v>2</v>
      </c>
      <c r="H1" s="4">
        <v>45733.999988425923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29</v>
      </c>
      <c r="G3" t="s">
        <v>30</v>
      </c>
      <c r="H3" t="s">
        <v>9</v>
      </c>
    </row>
    <row r="4" spans="1:8" x14ac:dyDescent="0.25">
      <c r="A4" t="s">
        <v>10</v>
      </c>
      <c r="B4" t="s">
        <v>11</v>
      </c>
      <c r="C4" s="2">
        <v>300</v>
      </c>
      <c r="D4" s="2">
        <v>0</v>
      </c>
      <c r="E4" s="2">
        <v>13931.43</v>
      </c>
      <c r="F4" s="2"/>
      <c r="G4" s="2"/>
      <c r="H4" s="2">
        <v>14006.43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300</v>
      </c>
      <c r="D6" s="2">
        <v>0</v>
      </c>
      <c r="E6" s="2">
        <v>12584.31</v>
      </c>
      <c r="F6" s="2"/>
      <c r="G6" s="2"/>
      <c r="H6" s="2">
        <v>12659.31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750</v>
      </c>
      <c r="D8" s="2">
        <v>0</v>
      </c>
      <c r="E8" s="2">
        <v>29683.38</v>
      </c>
      <c r="F8" s="2"/>
      <c r="G8" s="2"/>
      <c r="H8" s="2">
        <v>29758.38</v>
      </c>
    </row>
    <row r="9" spans="1:8" x14ac:dyDescent="0.25">
      <c r="A9" t="s">
        <v>13</v>
      </c>
      <c r="B9" t="s">
        <v>11</v>
      </c>
      <c r="C9" s="2">
        <v>1050</v>
      </c>
      <c r="D9" s="2">
        <v>0</v>
      </c>
      <c r="E9" s="2">
        <v>43272.480000000003</v>
      </c>
      <c r="F9" s="2">
        <f>SUM(E8:E9)</f>
        <v>72955.86</v>
      </c>
      <c r="G9" s="2"/>
      <c r="H9" s="2">
        <v>43347.48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14</v>
      </c>
      <c r="C11" s="2">
        <v>650</v>
      </c>
      <c r="D11" s="2">
        <v>0</v>
      </c>
      <c r="E11" s="2">
        <v>22457.38</v>
      </c>
      <c r="F11" s="2"/>
      <c r="G11" s="2"/>
      <c r="H11" s="2">
        <v>22532.38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14</v>
      </c>
      <c r="C13" s="2">
        <v>950</v>
      </c>
      <c r="D13" s="2">
        <v>0</v>
      </c>
      <c r="E13" s="2">
        <v>35637.660000000003</v>
      </c>
      <c r="F13" s="2"/>
      <c r="G13" s="2"/>
      <c r="H13" s="2">
        <v>35712.660000000003</v>
      </c>
    </row>
    <row r="14" spans="1:8" x14ac:dyDescent="0.25">
      <c r="A14" t="s">
        <v>16</v>
      </c>
      <c r="B14" t="s">
        <v>11</v>
      </c>
      <c r="C14" s="2">
        <v>1350</v>
      </c>
      <c r="D14" s="2">
        <v>0</v>
      </c>
      <c r="E14" s="2">
        <v>60148.44</v>
      </c>
      <c r="F14" s="2">
        <f>SUM(E13:E14)</f>
        <v>95786.1</v>
      </c>
      <c r="G14" s="2"/>
      <c r="H14" s="2">
        <v>60223.44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14</v>
      </c>
      <c r="C16" s="2">
        <v>1500</v>
      </c>
      <c r="D16" s="2">
        <v>0</v>
      </c>
      <c r="E16" s="2">
        <v>92084.73</v>
      </c>
      <c r="F16" s="2"/>
      <c r="G16" s="2"/>
      <c r="H16" s="2">
        <v>92159.73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19</v>
      </c>
      <c r="C18" s="2">
        <v>750</v>
      </c>
      <c r="D18" s="2">
        <v>0</v>
      </c>
      <c r="E18" s="2">
        <v>27863.88</v>
      </c>
      <c r="F18" s="2"/>
      <c r="G18" s="2"/>
      <c r="H18" s="2">
        <v>27938.880000000001</v>
      </c>
    </row>
    <row r="19" spans="1:8" x14ac:dyDescent="0.25">
      <c r="A19" t="s">
        <v>18</v>
      </c>
      <c r="B19" t="s">
        <v>19</v>
      </c>
      <c r="C19" s="2">
        <v>750</v>
      </c>
      <c r="D19" s="2">
        <v>0</v>
      </c>
      <c r="E19" s="2">
        <v>26150.880000000001</v>
      </c>
      <c r="F19" s="2">
        <f>SUM(E18:E19)</f>
        <v>54014.76</v>
      </c>
      <c r="G19" s="2"/>
      <c r="H19" s="2">
        <v>26225.88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14</v>
      </c>
      <c r="C21" s="2">
        <v>750</v>
      </c>
      <c r="D21" s="2">
        <v>0</v>
      </c>
      <c r="E21" s="2">
        <v>25514.94</v>
      </c>
      <c r="F21" s="2"/>
      <c r="G21" s="2"/>
      <c r="H21" s="2">
        <v>25589.94</v>
      </c>
    </row>
    <row r="22" spans="1:8" x14ac:dyDescent="0.25">
      <c r="A22" t="s">
        <v>20</v>
      </c>
      <c r="B22" t="s">
        <v>14</v>
      </c>
      <c r="C22" s="2">
        <v>1050</v>
      </c>
      <c r="D22" s="2">
        <v>0</v>
      </c>
      <c r="E22" s="2">
        <v>41548.81</v>
      </c>
      <c r="F22" s="2">
        <f>SUM(E21:E22)</f>
        <v>67063.75</v>
      </c>
      <c r="G22" s="2"/>
      <c r="H22" s="2">
        <v>41623.81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11</v>
      </c>
      <c r="C24" s="2">
        <v>650</v>
      </c>
      <c r="D24" s="2">
        <v>0</v>
      </c>
      <c r="E24" s="2">
        <v>19966.98</v>
      </c>
      <c r="F24" s="2"/>
      <c r="G24" s="2" t="s">
        <v>145</v>
      </c>
      <c r="H24" s="2">
        <v>20041.98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22</v>
      </c>
      <c r="B26" t="s">
        <v>11</v>
      </c>
      <c r="C26" s="2">
        <v>650</v>
      </c>
      <c r="D26" s="2">
        <v>0</v>
      </c>
      <c r="E26" s="2">
        <v>24167.06</v>
      </c>
      <c r="F26" s="2"/>
      <c r="G26" s="2"/>
      <c r="H26" s="2">
        <v>24242.06</v>
      </c>
    </row>
    <row r="27" spans="1:8" x14ac:dyDescent="0.25">
      <c r="A27" t="s">
        <v>22</v>
      </c>
      <c r="B27" t="s">
        <v>11</v>
      </c>
      <c r="C27" s="2">
        <v>750</v>
      </c>
      <c r="D27" s="2">
        <v>0</v>
      </c>
      <c r="E27" s="2">
        <v>29067.55</v>
      </c>
      <c r="F27" s="2"/>
      <c r="G27" s="2"/>
      <c r="H27" s="2">
        <v>29142.55</v>
      </c>
    </row>
    <row r="28" spans="1:8" x14ac:dyDescent="0.25">
      <c r="A28" t="s">
        <v>22</v>
      </c>
      <c r="B28" t="s">
        <v>11</v>
      </c>
      <c r="C28" s="2">
        <v>650</v>
      </c>
      <c r="D28" s="2">
        <v>0</v>
      </c>
      <c r="E28" s="2">
        <v>21580.19</v>
      </c>
      <c r="F28" s="2">
        <f>SUM(E26:E28)</f>
        <v>74814.8</v>
      </c>
      <c r="G28" s="2"/>
      <c r="H28" s="2">
        <v>21655.19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23</v>
      </c>
      <c r="B30" t="s">
        <v>14</v>
      </c>
      <c r="C30" s="2">
        <v>1350</v>
      </c>
      <c r="D30" s="2">
        <v>0</v>
      </c>
      <c r="E30" s="2">
        <v>64265.83</v>
      </c>
      <c r="F30" s="2"/>
      <c r="G30" s="2"/>
      <c r="H30" s="2">
        <v>64340.83</v>
      </c>
    </row>
    <row r="31" spans="1:8" x14ac:dyDescent="0.25">
      <c r="C31" s="2"/>
      <c r="D31" s="2"/>
      <c r="E31" s="2"/>
      <c r="F31" s="2"/>
      <c r="G31" s="2"/>
      <c r="H31" s="2"/>
    </row>
    <row r="32" spans="1:8" x14ac:dyDescent="0.25">
      <c r="A32" t="s">
        <v>24</v>
      </c>
      <c r="B32" t="s">
        <v>14</v>
      </c>
      <c r="C32" s="2">
        <v>850</v>
      </c>
      <c r="D32" s="2">
        <v>0</v>
      </c>
      <c r="E32" s="2">
        <v>34878.93</v>
      </c>
      <c r="F32" s="2"/>
      <c r="G32" s="2"/>
      <c r="H32" s="2">
        <v>34953.93</v>
      </c>
    </row>
    <row r="33" spans="1:8" x14ac:dyDescent="0.25">
      <c r="A33" t="s">
        <v>24</v>
      </c>
      <c r="B33" t="s">
        <v>19</v>
      </c>
      <c r="C33" s="2">
        <v>650</v>
      </c>
      <c r="D33" s="2">
        <v>0</v>
      </c>
      <c r="E33" s="2">
        <v>19965</v>
      </c>
      <c r="F33" s="2"/>
      <c r="G33" s="2"/>
      <c r="H33" s="2">
        <v>20040</v>
      </c>
    </row>
    <row r="34" spans="1:8" x14ac:dyDescent="0.25">
      <c r="A34" t="s">
        <v>24</v>
      </c>
      <c r="B34" t="s">
        <v>11</v>
      </c>
      <c r="C34" s="2">
        <v>500</v>
      </c>
      <c r="D34" s="2">
        <v>0</v>
      </c>
      <c r="E34" s="2">
        <v>19454.03</v>
      </c>
      <c r="F34" s="2">
        <f>SUM(E32:E34)</f>
        <v>74297.959999999992</v>
      </c>
      <c r="G34" s="2"/>
      <c r="H34" s="2">
        <v>19529.03</v>
      </c>
    </row>
    <row r="35" spans="1:8" x14ac:dyDescent="0.25">
      <c r="C35" s="2"/>
      <c r="D35" s="2"/>
      <c r="E35" s="2"/>
      <c r="F35" s="2"/>
      <c r="G35" s="2"/>
      <c r="H35" s="2"/>
    </row>
    <row r="36" spans="1:8" x14ac:dyDescent="0.25">
      <c r="A36" t="s">
        <v>25</v>
      </c>
      <c r="B36" t="s">
        <v>19</v>
      </c>
      <c r="C36" s="2">
        <v>950</v>
      </c>
      <c r="D36" s="2">
        <v>0</v>
      </c>
      <c r="E36" s="2">
        <v>37389.5</v>
      </c>
      <c r="F36" s="2"/>
      <c r="G36" s="2"/>
      <c r="H36" s="2">
        <v>37464.5</v>
      </c>
    </row>
    <row r="37" spans="1:8" x14ac:dyDescent="0.25">
      <c r="C37" s="2"/>
      <c r="D37" s="2"/>
      <c r="E37" s="2"/>
      <c r="F37" s="2"/>
      <c r="G37" s="2"/>
      <c r="H37" s="2"/>
    </row>
    <row r="38" spans="1:8" x14ac:dyDescent="0.25">
      <c r="A38" t="s">
        <v>26</v>
      </c>
      <c r="B38" t="s">
        <v>14</v>
      </c>
      <c r="C38" s="2">
        <v>750</v>
      </c>
      <c r="D38" s="2">
        <v>0</v>
      </c>
      <c r="E38" s="2">
        <v>26496.43</v>
      </c>
      <c r="F38" s="2"/>
      <c r="G38" s="2"/>
      <c r="H38" s="2">
        <v>26571.43</v>
      </c>
    </row>
    <row r="39" spans="1:8" x14ac:dyDescent="0.25">
      <c r="C39" s="2"/>
      <c r="D39" s="2"/>
      <c r="E39" s="2"/>
      <c r="F39" s="2"/>
      <c r="G39" s="2"/>
      <c r="H39" s="2"/>
    </row>
    <row r="40" spans="1:8" x14ac:dyDescent="0.25">
      <c r="A40" t="s">
        <v>27</v>
      </c>
      <c r="B40" t="s">
        <v>11</v>
      </c>
      <c r="C40" s="2">
        <v>1050</v>
      </c>
      <c r="D40" s="2">
        <v>0</v>
      </c>
      <c r="E40" s="2">
        <v>42183.03</v>
      </c>
      <c r="F40" s="2"/>
      <c r="G40" s="2"/>
      <c r="H40" s="2">
        <v>42258.03</v>
      </c>
    </row>
    <row r="41" spans="1:8" x14ac:dyDescent="0.25">
      <c r="C41" s="2"/>
      <c r="D41" s="2"/>
      <c r="E41" s="2"/>
      <c r="F41" s="2"/>
      <c r="G41" s="2"/>
      <c r="H41" s="2"/>
    </row>
    <row r="42" spans="1:8" x14ac:dyDescent="0.25">
      <c r="A42" t="s">
        <v>28</v>
      </c>
      <c r="B42" t="s">
        <v>11</v>
      </c>
      <c r="C42" s="2">
        <v>850</v>
      </c>
      <c r="D42" s="2">
        <v>0</v>
      </c>
      <c r="E42" s="2">
        <v>34439.69</v>
      </c>
      <c r="F42" s="2"/>
      <c r="G42" s="2"/>
      <c r="H42" s="2">
        <v>34514.69</v>
      </c>
    </row>
    <row r="43" spans="1:8" x14ac:dyDescent="0.25">
      <c r="A43" s="1"/>
      <c r="B43" s="1"/>
      <c r="C43" s="3">
        <f>SUM(C4:C42)</f>
        <v>19800</v>
      </c>
      <c r="D43" s="3">
        <f>SUM(D4:D42)</f>
        <v>0</v>
      </c>
      <c r="E43" s="3">
        <f>SUM(E4:E42)</f>
        <v>804732.54</v>
      </c>
      <c r="F43" s="3"/>
      <c r="G43" s="3"/>
      <c r="H43" s="3">
        <f>SUM(H4:H42)</f>
        <v>806532.54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1B9B-395A-4EE4-9048-15F094D5B1EE}">
  <dimension ref="A1:M30"/>
  <sheetViews>
    <sheetView tabSelected="1" workbookViewId="0">
      <pane ySplit="3" topLeftCell="A18" activePane="bottomLeft" state="frozen"/>
      <selection pane="bottomLeft" activeCell="M1" sqref="M1:M1048576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4.85546875" style="8" bestFit="1" customWidth="1"/>
    <col min="5" max="5" width="18.7109375" style="8" bestFit="1" customWidth="1"/>
    <col min="6" max="6" width="31.85546875" style="8" bestFit="1" customWidth="1"/>
    <col min="7" max="7" width="17.7109375" style="8" bestFit="1" customWidth="1"/>
    <col min="8" max="8" width="17.140625" style="8" bestFit="1" customWidth="1"/>
    <col min="9" max="9" width="27.7109375" style="8" bestFit="1" customWidth="1"/>
    <col min="10" max="10" width="18.42578125" style="8" bestFit="1" customWidth="1"/>
    <col min="11" max="11" width="15.425781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45733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139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138</v>
      </c>
      <c r="B3" s="9" t="s">
        <v>137</v>
      </c>
      <c r="C3" s="9" t="s">
        <v>136</v>
      </c>
      <c r="D3" s="9" t="s">
        <v>135</v>
      </c>
      <c r="E3" s="9" t="s">
        <v>134</v>
      </c>
      <c r="F3" s="9" t="s">
        <v>4</v>
      </c>
      <c r="G3" s="9" t="s">
        <v>5</v>
      </c>
      <c r="H3" s="9" t="s">
        <v>133</v>
      </c>
      <c r="I3" s="9" t="s">
        <v>132</v>
      </c>
      <c r="J3" s="9" t="s">
        <v>131</v>
      </c>
      <c r="K3" s="9" t="s">
        <v>130</v>
      </c>
      <c r="L3" s="9" t="s">
        <v>129</v>
      </c>
      <c r="M3" s="9"/>
    </row>
    <row r="4" spans="1:13" ht="35.1" customHeight="1" x14ac:dyDescent="0.25">
      <c r="A4" s="9" t="s">
        <v>128</v>
      </c>
      <c r="B4" s="9" t="s">
        <v>36</v>
      </c>
      <c r="C4" s="9" t="s">
        <v>35</v>
      </c>
      <c r="D4" s="9" t="s">
        <v>127</v>
      </c>
      <c r="E4" s="9"/>
      <c r="F4" s="9" t="s">
        <v>20</v>
      </c>
      <c r="G4" s="9" t="s">
        <v>14</v>
      </c>
      <c r="H4" s="14">
        <v>25589.94</v>
      </c>
      <c r="I4" s="9" t="s">
        <v>126</v>
      </c>
      <c r="J4" s="9"/>
      <c r="K4" s="9" t="s">
        <v>125</v>
      </c>
      <c r="L4" s="9"/>
      <c r="M4" s="9"/>
    </row>
    <row r="5" spans="1:13" ht="35.1" customHeight="1" x14ac:dyDescent="0.25">
      <c r="A5" s="9" t="s">
        <v>124</v>
      </c>
      <c r="B5" s="9" t="s">
        <v>63</v>
      </c>
      <c r="C5" s="9" t="s">
        <v>35</v>
      </c>
      <c r="D5" s="9" t="s">
        <v>123</v>
      </c>
      <c r="E5" s="9"/>
      <c r="F5" s="9" t="s">
        <v>23</v>
      </c>
      <c r="G5" s="9" t="s">
        <v>14</v>
      </c>
      <c r="H5" s="14">
        <v>64340.83</v>
      </c>
      <c r="I5" s="9" t="s">
        <v>122</v>
      </c>
      <c r="J5" s="9"/>
      <c r="K5" s="9" t="s">
        <v>121</v>
      </c>
      <c r="L5" s="9"/>
      <c r="M5" s="9"/>
    </row>
    <row r="6" spans="1:13" ht="35.1" customHeight="1" x14ac:dyDescent="0.25">
      <c r="A6" s="9" t="s">
        <v>120</v>
      </c>
      <c r="B6" s="9" t="s">
        <v>63</v>
      </c>
      <c r="C6" s="9" t="s">
        <v>35</v>
      </c>
      <c r="D6" s="9" t="s">
        <v>119</v>
      </c>
      <c r="E6" s="9"/>
      <c r="F6" s="9" t="s">
        <v>26</v>
      </c>
      <c r="G6" s="9" t="s">
        <v>14</v>
      </c>
      <c r="H6" s="14">
        <v>26571.43</v>
      </c>
      <c r="I6" s="9" t="s">
        <v>118</v>
      </c>
      <c r="J6" s="9"/>
      <c r="K6" s="9" t="s">
        <v>87</v>
      </c>
      <c r="L6" s="9"/>
      <c r="M6" s="9"/>
    </row>
    <row r="7" spans="1:13" ht="35.1" customHeight="1" x14ac:dyDescent="0.25">
      <c r="A7" s="9" t="s">
        <v>117</v>
      </c>
      <c r="B7" s="9" t="s">
        <v>63</v>
      </c>
      <c r="C7" s="9" t="s">
        <v>58</v>
      </c>
      <c r="D7" s="9" t="s">
        <v>116</v>
      </c>
      <c r="E7" s="9"/>
      <c r="F7" s="9" t="s">
        <v>28</v>
      </c>
      <c r="G7" s="9" t="s">
        <v>11</v>
      </c>
      <c r="H7" s="14">
        <v>34514.69</v>
      </c>
      <c r="I7" s="9" t="s">
        <v>115</v>
      </c>
      <c r="J7" s="9"/>
      <c r="K7" s="9" t="s">
        <v>114</v>
      </c>
      <c r="L7" s="9"/>
      <c r="M7" s="9"/>
    </row>
    <row r="8" spans="1:13" ht="35.1" customHeight="1" x14ac:dyDescent="0.25">
      <c r="A8" s="9" t="s">
        <v>113</v>
      </c>
      <c r="B8" s="9" t="s">
        <v>63</v>
      </c>
      <c r="C8" s="9" t="s">
        <v>35</v>
      </c>
      <c r="D8" s="9" t="s">
        <v>112</v>
      </c>
      <c r="E8" s="9"/>
      <c r="F8" s="9" t="s">
        <v>12</v>
      </c>
      <c r="G8" s="9" t="s">
        <v>11</v>
      </c>
      <c r="H8" s="14">
        <v>12659.31</v>
      </c>
      <c r="I8" s="9"/>
      <c r="J8" s="9"/>
      <c r="K8" s="9" t="s">
        <v>111</v>
      </c>
      <c r="L8" s="9"/>
      <c r="M8" s="9"/>
    </row>
    <row r="9" spans="1:13" ht="35.1" customHeight="1" x14ac:dyDescent="0.25">
      <c r="A9" s="9" t="s">
        <v>110</v>
      </c>
      <c r="B9" s="9" t="s">
        <v>36</v>
      </c>
      <c r="C9" s="9" t="s">
        <v>35</v>
      </c>
      <c r="D9" s="9" t="s">
        <v>109</v>
      </c>
      <c r="E9" s="9"/>
      <c r="F9" s="9" t="s">
        <v>16</v>
      </c>
      <c r="G9" s="9" t="s">
        <v>14</v>
      </c>
      <c r="H9" s="14">
        <v>35712.660000000003</v>
      </c>
      <c r="I9" s="9"/>
      <c r="J9" s="9"/>
      <c r="K9" s="9" t="s">
        <v>108</v>
      </c>
      <c r="L9" s="9"/>
      <c r="M9" s="9"/>
    </row>
    <row r="10" spans="1:13" ht="35.1" customHeight="1" x14ac:dyDescent="0.25">
      <c r="A10" s="9" t="s">
        <v>107</v>
      </c>
      <c r="B10" s="9" t="s">
        <v>36</v>
      </c>
      <c r="C10" s="9" t="s">
        <v>35</v>
      </c>
      <c r="D10" s="9" t="s">
        <v>106</v>
      </c>
      <c r="E10" s="9"/>
      <c r="F10" s="9" t="s">
        <v>24</v>
      </c>
      <c r="G10" s="9" t="s">
        <v>14</v>
      </c>
      <c r="H10" s="14">
        <v>34953.93</v>
      </c>
      <c r="I10" s="9" t="s">
        <v>105</v>
      </c>
      <c r="J10" s="9"/>
      <c r="K10" s="9" t="s">
        <v>104</v>
      </c>
      <c r="L10" s="9"/>
      <c r="M10" s="9"/>
    </row>
    <row r="11" spans="1:13" ht="35.1" customHeight="1" x14ac:dyDescent="0.25">
      <c r="A11" s="9" t="s">
        <v>103</v>
      </c>
      <c r="B11" s="9" t="s">
        <v>63</v>
      </c>
      <c r="C11" s="9" t="s">
        <v>35</v>
      </c>
      <c r="D11" s="9" t="s">
        <v>102</v>
      </c>
      <c r="E11" s="9" t="s">
        <v>101</v>
      </c>
      <c r="F11" s="9" t="s">
        <v>15</v>
      </c>
      <c r="G11" s="9" t="s">
        <v>14</v>
      </c>
      <c r="H11" s="14">
        <v>22532.38</v>
      </c>
      <c r="I11" s="9"/>
      <c r="J11" s="9"/>
      <c r="K11" s="9" t="s">
        <v>100</v>
      </c>
      <c r="L11" s="9" t="s">
        <v>99</v>
      </c>
      <c r="M11" s="9"/>
    </row>
    <row r="12" spans="1:13" ht="35.1" customHeight="1" x14ac:dyDescent="0.25">
      <c r="A12" s="9" t="s">
        <v>98</v>
      </c>
      <c r="B12" s="9" t="s">
        <v>36</v>
      </c>
      <c r="C12" s="9" t="s">
        <v>35</v>
      </c>
      <c r="D12" s="9" t="s">
        <v>97</v>
      </c>
      <c r="E12" s="9"/>
      <c r="F12" s="9" t="s">
        <v>22</v>
      </c>
      <c r="G12" s="9" t="s">
        <v>11</v>
      </c>
      <c r="H12" s="14">
        <v>21655.19</v>
      </c>
      <c r="I12" s="9" t="s">
        <v>96</v>
      </c>
      <c r="J12" s="9"/>
      <c r="K12" s="9" t="s">
        <v>95</v>
      </c>
      <c r="L12" s="9"/>
      <c r="M12" s="9"/>
    </row>
    <row r="13" spans="1:13" ht="35.1" customHeight="1" x14ac:dyDescent="0.25">
      <c r="A13" s="9" t="s">
        <v>94</v>
      </c>
      <c r="B13" s="9" t="s">
        <v>63</v>
      </c>
      <c r="C13" s="9" t="s">
        <v>35</v>
      </c>
      <c r="D13" s="9" t="s">
        <v>93</v>
      </c>
      <c r="E13" s="9"/>
      <c r="F13" s="9" t="s">
        <v>13</v>
      </c>
      <c r="G13" s="9" t="s">
        <v>11</v>
      </c>
      <c r="H13" s="14">
        <v>43347.48</v>
      </c>
      <c r="I13" s="9" t="s">
        <v>92</v>
      </c>
      <c r="J13" s="9"/>
      <c r="K13" s="9" t="s">
        <v>91</v>
      </c>
      <c r="L13" s="9"/>
      <c r="M13" s="9"/>
    </row>
    <row r="14" spans="1:13" ht="35.1" customHeight="1" x14ac:dyDescent="0.25">
      <c r="A14" s="9" t="s">
        <v>90</v>
      </c>
      <c r="B14" s="9" t="s">
        <v>63</v>
      </c>
      <c r="C14" s="9" t="s">
        <v>35</v>
      </c>
      <c r="D14" s="9" t="s">
        <v>89</v>
      </c>
      <c r="E14" s="9"/>
      <c r="F14" s="9" t="s">
        <v>13</v>
      </c>
      <c r="G14" s="9" t="s">
        <v>14</v>
      </c>
      <c r="H14" s="14">
        <v>29758.38</v>
      </c>
      <c r="I14" s="9" t="s">
        <v>88</v>
      </c>
      <c r="J14" s="9"/>
      <c r="K14" s="9" t="s">
        <v>87</v>
      </c>
      <c r="L14" s="9"/>
      <c r="M14" s="9"/>
    </row>
    <row r="15" spans="1:13" ht="35.1" customHeight="1" x14ac:dyDescent="0.25">
      <c r="A15" s="9" t="s">
        <v>86</v>
      </c>
      <c r="B15" s="9" t="s">
        <v>36</v>
      </c>
      <c r="C15" s="9" t="s">
        <v>35</v>
      </c>
      <c r="D15" s="9" t="s">
        <v>85</v>
      </c>
      <c r="E15" s="9"/>
      <c r="F15" s="9" t="s">
        <v>22</v>
      </c>
      <c r="G15" s="9" t="s">
        <v>11</v>
      </c>
      <c r="H15" s="14">
        <v>24242.06</v>
      </c>
      <c r="I15" s="9" t="s">
        <v>84</v>
      </c>
      <c r="J15" s="9"/>
      <c r="K15" s="9" t="s">
        <v>83</v>
      </c>
      <c r="L15" s="9"/>
      <c r="M15" s="9"/>
    </row>
    <row r="16" spans="1:13" ht="35.1" customHeight="1" x14ac:dyDescent="0.25">
      <c r="A16" s="9" t="s">
        <v>82</v>
      </c>
      <c r="B16" s="9" t="s">
        <v>36</v>
      </c>
      <c r="C16" s="9" t="s">
        <v>35</v>
      </c>
      <c r="D16" s="9" t="s">
        <v>81</v>
      </c>
      <c r="E16" s="9"/>
      <c r="F16" s="9" t="s">
        <v>18</v>
      </c>
      <c r="G16" s="9" t="s">
        <v>19</v>
      </c>
      <c r="H16" s="14">
        <v>27938.880000000001</v>
      </c>
      <c r="I16" s="9" t="s">
        <v>80</v>
      </c>
      <c r="J16" s="9"/>
      <c r="K16" s="9" t="s">
        <v>79</v>
      </c>
      <c r="L16" s="9"/>
      <c r="M16" s="9"/>
    </row>
    <row r="17" spans="1:13" ht="35.1" customHeight="1" x14ac:dyDescent="0.25">
      <c r="A17" s="9" t="s">
        <v>78</v>
      </c>
      <c r="B17" s="9" t="s">
        <v>36</v>
      </c>
      <c r="C17" s="9" t="s">
        <v>35</v>
      </c>
      <c r="D17" s="9" t="s">
        <v>77</v>
      </c>
      <c r="E17" s="9"/>
      <c r="F17" s="9" t="s">
        <v>18</v>
      </c>
      <c r="G17" s="9" t="s">
        <v>19</v>
      </c>
      <c r="H17" s="14">
        <v>26225.88</v>
      </c>
      <c r="I17" s="9" t="s">
        <v>76</v>
      </c>
      <c r="J17" s="9"/>
      <c r="K17" s="9" t="s">
        <v>75</v>
      </c>
      <c r="L17" s="9"/>
      <c r="M17" s="9"/>
    </row>
    <row r="18" spans="1:13" ht="35.1" customHeight="1" x14ac:dyDescent="0.25">
      <c r="A18" s="9" t="s">
        <v>74</v>
      </c>
      <c r="B18" s="9" t="s">
        <v>36</v>
      </c>
      <c r="C18" s="9" t="s">
        <v>35</v>
      </c>
      <c r="D18" s="9" t="s">
        <v>73</v>
      </c>
      <c r="E18" s="9"/>
      <c r="F18" s="9" t="s">
        <v>22</v>
      </c>
      <c r="G18" s="9" t="s">
        <v>11</v>
      </c>
      <c r="H18" s="14">
        <v>29142.55</v>
      </c>
      <c r="I18" s="9"/>
      <c r="J18" s="9"/>
      <c r="K18" s="9" t="s">
        <v>72</v>
      </c>
      <c r="L18" s="9"/>
      <c r="M18" s="9"/>
    </row>
    <row r="19" spans="1:13" ht="35.1" customHeight="1" x14ac:dyDescent="0.25">
      <c r="A19" s="9" t="s">
        <v>71</v>
      </c>
      <c r="B19" s="9" t="s">
        <v>36</v>
      </c>
      <c r="C19" s="9" t="s">
        <v>35</v>
      </c>
      <c r="D19" s="9" t="s">
        <v>70</v>
      </c>
      <c r="E19" s="9"/>
      <c r="F19" s="9" t="s">
        <v>21</v>
      </c>
      <c r="G19" s="9" t="s">
        <v>11</v>
      </c>
      <c r="H19" s="14">
        <v>20041.98</v>
      </c>
      <c r="I19" s="9" t="s">
        <v>69</v>
      </c>
      <c r="J19" s="9"/>
      <c r="K19" s="9" t="s">
        <v>68</v>
      </c>
      <c r="L19" s="9"/>
      <c r="M19" s="9"/>
    </row>
    <row r="20" spans="1:13" ht="35.1" customHeight="1" x14ac:dyDescent="0.25">
      <c r="A20" s="9" t="s">
        <v>67</v>
      </c>
      <c r="B20" s="9" t="s">
        <v>36</v>
      </c>
      <c r="C20" s="9" t="s">
        <v>35</v>
      </c>
      <c r="D20" s="9" t="s">
        <v>66</v>
      </c>
      <c r="E20" s="9"/>
      <c r="F20" s="9" t="s">
        <v>27</v>
      </c>
      <c r="G20" s="9" t="s">
        <v>11</v>
      </c>
      <c r="H20" s="14">
        <v>42258.03</v>
      </c>
      <c r="I20" s="9"/>
      <c r="J20" s="9"/>
      <c r="K20" s="9" t="s">
        <v>65</v>
      </c>
      <c r="L20" s="9"/>
      <c r="M20" s="9"/>
    </row>
    <row r="21" spans="1:13" ht="35.1" customHeight="1" x14ac:dyDescent="0.25">
      <c r="A21" s="9" t="s">
        <v>64</v>
      </c>
      <c r="B21" s="9" t="s">
        <v>63</v>
      </c>
      <c r="C21" s="9" t="s">
        <v>35</v>
      </c>
      <c r="D21" s="9" t="s">
        <v>62</v>
      </c>
      <c r="E21" s="9"/>
      <c r="F21" s="9" t="s">
        <v>25</v>
      </c>
      <c r="G21" s="9" t="s">
        <v>19</v>
      </c>
      <c r="H21" s="14">
        <v>37464.5</v>
      </c>
      <c r="I21" s="9" t="s">
        <v>61</v>
      </c>
      <c r="J21" s="9"/>
      <c r="K21" s="9" t="s">
        <v>60</v>
      </c>
      <c r="L21" s="9"/>
      <c r="M21" s="9"/>
    </row>
    <row r="22" spans="1:13" ht="35.1" customHeight="1" x14ac:dyDescent="0.25">
      <c r="A22" s="9" t="s">
        <v>59</v>
      </c>
      <c r="B22" s="9" t="s">
        <v>36</v>
      </c>
      <c r="C22" s="9" t="s">
        <v>58</v>
      </c>
      <c r="D22" s="9" t="s">
        <v>57</v>
      </c>
      <c r="E22" s="9"/>
      <c r="F22" s="9" t="s">
        <v>24</v>
      </c>
      <c r="G22" s="9" t="s">
        <v>11</v>
      </c>
      <c r="H22" s="14">
        <v>19529.03</v>
      </c>
      <c r="I22" s="9" t="s">
        <v>56</v>
      </c>
      <c r="J22" s="9"/>
      <c r="K22" s="9" t="s">
        <v>55</v>
      </c>
      <c r="L22" s="9"/>
      <c r="M22" s="9"/>
    </row>
    <row r="23" spans="1:13" ht="35.1" customHeight="1" x14ac:dyDescent="0.25">
      <c r="A23" s="9" t="s">
        <v>54</v>
      </c>
      <c r="B23" s="9" t="s">
        <v>36</v>
      </c>
      <c r="C23" s="9" t="s">
        <v>35</v>
      </c>
      <c r="D23" s="9" t="s">
        <v>53</v>
      </c>
      <c r="E23" s="9"/>
      <c r="F23" s="9" t="s">
        <v>10</v>
      </c>
      <c r="G23" s="9" t="s">
        <v>11</v>
      </c>
      <c r="H23" s="14">
        <v>14006.43</v>
      </c>
      <c r="I23" s="9"/>
      <c r="J23" s="9"/>
      <c r="K23" s="9" t="s">
        <v>52</v>
      </c>
      <c r="L23" s="9"/>
      <c r="M23" s="9"/>
    </row>
    <row r="24" spans="1:13" ht="35.1" customHeight="1" x14ac:dyDescent="0.25">
      <c r="A24" s="9" t="s">
        <v>51</v>
      </c>
      <c r="B24" s="9" t="s">
        <v>36</v>
      </c>
      <c r="C24" s="9" t="s">
        <v>35</v>
      </c>
      <c r="D24" s="9" t="s">
        <v>50</v>
      </c>
      <c r="E24" s="9" t="s">
        <v>49</v>
      </c>
      <c r="F24" s="9" t="s">
        <v>17</v>
      </c>
      <c r="G24" s="9" t="s">
        <v>14</v>
      </c>
      <c r="H24" s="14">
        <v>92159.73</v>
      </c>
      <c r="I24" s="9" t="s">
        <v>48</v>
      </c>
      <c r="J24" s="9"/>
      <c r="K24" s="9" t="s">
        <v>47</v>
      </c>
      <c r="L24" s="9" t="s">
        <v>46</v>
      </c>
      <c r="M24" s="9"/>
    </row>
    <row r="25" spans="1:13" ht="35.1" customHeight="1" x14ac:dyDescent="0.25">
      <c r="A25" s="9" t="s">
        <v>45</v>
      </c>
      <c r="B25" s="9" t="s">
        <v>36</v>
      </c>
      <c r="C25" s="9" t="s">
        <v>35</v>
      </c>
      <c r="D25" s="9" t="s">
        <v>44</v>
      </c>
      <c r="E25" s="9"/>
      <c r="F25" s="9" t="s">
        <v>16</v>
      </c>
      <c r="G25" s="9" t="s">
        <v>11</v>
      </c>
      <c r="H25" s="14">
        <v>60223.44</v>
      </c>
      <c r="I25" s="9" t="s">
        <v>43</v>
      </c>
      <c r="J25" s="9"/>
      <c r="K25" s="9" t="s">
        <v>42</v>
      </c>
      <c r="L25" s="9"/>
      <c r="M25" s="9"/>
    </row>
    <row r="26" spans="1:13" ht="35.1" customHeight="1" x14ac:dyDescent="0.25">
      <c r="A26" s="9" t="s">
        <v>41</v>
      </c>
      <c r="B26" s="9" t="s">
        <v>36</v>
      </c>
      <c r="C26" s="9" t="s">
        <v>35</v>
      </c>
      <c r="D26" s="9" t="s">
        <v>40</v>
      </c>
      <c r="E26" s="9"/>
      <c r="F26" s="9" t="s">
        <v>20</v>
      </c>
      <c r="G26" s="9" t="s">
        <v>14</v>
      </c>
      <c r="H26" s="14">
        <v>41623.81</v>
      </c>
      <c r="I26" s="9" t="s">
        <v>39</v>
      </c>
      <c r="J26" s="9"/>
      <c r="K26" s="9" t="s">
        <v>38</v>
      </c>
      <c r="L26" s="9"/>
      <c r="M26" s="9"/>
    </row>
    <row r="27" spans="1:13" ht="35.1" customHeight="1" x14ac:dyDescent="0.25">
      <c r="A27" s="9" t="s">
        <v>37</v>
      </c>
      <c r="B27" s="9" t="s">
        <v>36</v>
      </c>
      <c r="C27" s="9" t="s">
        <v>35</v>
      </c>
      <c r="D27" s="9" t="s">
        <v>34</v>
      </c>
      <c r="E27" s="9"/>
      <c r="F27" s="9" t="s">
        <v>24</v>
      </c>
      <c r="G27" s="9" t="s">
        <v>19</v>
      </c>
      <c r="H27" s="14">
        <v>20040</v>
      </c>
      <c r="I27" s="9" t="s">
        <v>33</v>
      </c>
      <c r="J27" s="9"/>
      <c r="K27" s="9" t="s">
        <v>32</v>
      </c>
      <c r="L27" s="9"/>
      <c r="M27" s="9"/>
    </row>
    <row r="28" spans="1:13" ht="35.1" customHeight="1" x14ac:dyDescent="0.25">
      <c r="A28" s="15"/>
      <c r="B28" s="15"/>
      <c r="C28" s="15"/>
      <c r="D28" s="15" t="s">
        <v>31</v>
      </c>
      <c r="E28" s="15"/>
      <c r="F28" s="15"/>
      <c r="G28" s="15"/>
      <c r="H28" s="16">
        <f>SUM(H4:H27)</f>
        <v>806532.54</v>
      </c>
      <c r="I28" s="15"/>
      <c r="J28" s="15"/>
      <c r="K28" s="15"/>
      <c r="L28" s="15"/>
      <c r="M28" s="9"/>
    </row>
    <row r="29" spans="1:13" ht="35.1" customHeight="1" x14ac:dyDescent="0.25"/>
    <row r="30" spans="1:13" ht="35.1" customHeight="1" x14ac:dyDescent="0.25"/>
  </sheetData>
  <mergeCells count="2">
    <mergeCell ref="A2:F2"/>
    <mergeCell ref="G2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0DE7-5BD5-44B7-9EDF-26CEBC47670C}">
  <sheetPr>
    <pageSetUpPr fitToPage="1"/>
  </sheetPr>
  <dimension ref="A1:F28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4.85546875" style="8" bestFit="1" customWidth="1"/>
    <col min="4" max="4" width="18.7109375" style="8" bestFit="1" customWidth="1"/>
    <col min="5" max="5" width="31.85546875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45733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144</v>
      </c>
      <c r="E2" s="12"/>
      <c r="F2" s="9"/>
    </row>
    <row r="3" spans="1:6" x14ac:dyDescent="0.25">
      <c r="A3" s="9" t="s">
        <v>138</v>
      </c>
      <c r="B3" s="9" t="s">
        <v>136</v>
      </c>
      <c r="C3" s="9" t="s">
        <v>135</v>
      </c>
      <c r="D3" s="9" t="s">
        <v>134</v>
      </c>
      <c r="E3" s="9" t="s">
        <v>4</v>
      </c>
      <c r="F3" s="9"/>
    </row>
    <row r="4" spans="1:6" x14ac:dyDescent="0.25">
      <c r="A4" s="9" t="s">
        <v>117</v>
      </c>
      <c r="B4" s="9" t="s">
        <v>58</v>
      </c>
      <c r="C4" s="9" t="s">
        <v>116</v>
      </c>
      <c r="D4" s="9"/>
      <c r="E4" s="9" t="s">
        <v>28</v>
      </c>
      <c r="F4" s="9"/>
    </row>
    <row r="5" spans="1:6" x14ac:dyDescent="0.25">
      <c r="A5" s="9" t="s">
        <v>59</v>
      </c>
      <c r="B5" s="9" t="s">
        <v>58</v>
      </c>
      <c r="C5" s="9" t="s">
        <v>57</v>
      </c>
      <c r="D5" s="9"/>
      <c r="E5" s="9" t="s">
        <v>24</v>
      </c>
      <c r="F5" s="9"/>
    </row>
    <row r="6" spans="1:6" x14ac:dyDescent="0.25">
      <c r="A6" s="15"/>
      <c r="B6" s="15"/>
      <c r="C6" s="15" t="s">
        <v>143</v>
      </c>
      <c r="D6" s="15"/>
      <c r="E6" s="15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 t="s">
        <v>142</v>
      </c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 t="s">
        <v>141</v>
      </c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 t="s">
        <v>140</v>
      </c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</sheetData>
  <mergeCells count="2">
    <mergeCell ref="A2:C2"/>
    <mergeCell ref="D2:E2"/>
  </mergeCells>
  <pageMargins left="0.7" right="0.7" top="0.75" bottom="0.75" header="0.3" footer="0.3"/>
  <pageSetup scale="7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2025-03-17T18:36:40Z</cp:lastPrinted>
  <dcterms:created xsi:type="dcterms:W3CDTF">2025-03-17T18:27:48Z</dcterms:created>
  <dcterms:modified xsi:type="dcterms:W3CDTF">2025-03-17T18:36:52Z</dcterms:modified>
</cp:coreProperties>
</file>