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5A7E9D13-8F5A-44FA-8DA1-EFC2AAAE83C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G9" i="2"/>
  <c r="H26" i="2"/>
  <c r="F26" i="2"/>
  <c r="E26" i="2"/>
  <c r="D26" i="2"/>
  <c r="H16" i="1"/>
</calcChain>
</file>

<file path=xl/sharedStrings.xml><?xml version="1.0" encoding="utf-8"?>
<sst xmlns="http://schemas.openxmlformats.org/spreadsheetml/2006/main" count="148" uniqueCount="89">
  <si>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</si>
  <si>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</si>
  <si>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</si>
  <si>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</si>
  <si>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</si>
  <si>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</si>
  <si>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</si>
  <si>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</si>
  <si>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</si>
  <si>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</si>
  <si>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</si>
  <si>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</si>
  <si>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</si>
  <si>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</si>
  <si>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</si>
  <si>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</si>
  <si>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DRYFOOS, VICTORIA</t>
  </si>
  <si>
    <t>T F Murphy Enterprises Inc</t>
  </si>
  <si>
    <t>Neli Oliveira</t>
  </si>
  <si>
    <t>VDRYFOOS@GMAIL.COM</t>
  </si>
  <si>
    <t>THOMAS</t>
  </si>
  <si>
    <t>AULD, DEBRA</t>
  </si>
  <si>
    <t>AULD, RICKEY</t>
  </si>
  <si>
    <t>Bailey's Motor Sales Inc</t>
  </si>
  <si>
    <t>auld.debra@gmail.com</t>
  </si>
  <si>
    <t>AULDR924@GMAIL.COM</t>
  </si>
  <si>
    <t>LUSSIER</t>
  </si>
  <si>
    <t>PHILLIPS</t>
  </si>
  <si>
    <t>DealerTrack</t>
  </si>
  <si>
    <t>MAZZONE, MACKENZIE</t>
  </si>
  <si>
    <t>RAH FALL RIVER VW, LLC</t>
  </si>
  <si>
    <t>MACKENZIE.ROSE93@GMAIL.COM</t>
  </si>
  <si>
    <t>PAULHUS</t>
  </si>
  <si>
    <t>SULLIVAN, KAREN</t>
  </si>
  <si>
    <t>First Hyundai</t>
  </si>
  <si>
    <t>Rachel Gorham</t>
  </si>
  <si>
    <t>KRNSLLVN@YAHOO.COM</t>
  </si>
  <si>
    <t>VERMETTE, DAVID</t>
  </si>
  <si>
    <t>Wareham Ford</t>
  </si>
  <si>
    <t>vcorp13@gmail.com</t>
  </si>
  <si>
    <t>BAINES</t>
  </si>
  <si>
    <t>LEWIS, GAYLE</t>
  </si>
  <si>
    <t>Battles Nissan, LLC</t>
  </si>
  <si>
    <t>DOLLMACHINE@COMCAST.NET</t>
  </si>
  <si>
    <t>EDSEL</t>
  </si>
  <si>
    <t>CONLON, JANET</t>
  </si>
  <si>
    <t>Richard Lundgren, Inc. d/b/a</t>
  </si>
  <si>
    <t>JANET.M.CONLON@GMAIL.COM</t>
  </si>
  <si>
    <t>GRZYBOSKI</t>
  </si>
  <si>
    <t>ANGELL, ROBERT</t>
  </si>
  <si>
    <t>SMITH</t>
  </si>
  <si>
    <t>CONRAD, KATELYN</t>
  </si>
  <si>
    <t>Langway Toyota of Newport</t>
  </si>
  <si>
    <t>KATIE_LEE_21@YAHOO.COM</t>
  </si>
  <si>
    <t>SPIRY</t>
  </si>
  <si>
    <t>JORDAN, MARC</t>
  </si>
  <si>
    <t>marc.jordan87@aol.com</t>
  </si>
  <si>
    <t>POIRIER</t>
  </si>
  <si>
    <t>PIERCY, DOUGLAS</t>
  </si>
  <si>
    <t>Patriot Auto Group Inc d/b/a</t>
  </si>
  <si>
    <t>dougzinboston@gmail.com</t>
  </si>
  <si>
    <t>MCKAY</t>
  </si>
  <si>
    <t>MOSS, STANLEY</t>
  </si>
  <si>
    <t>Tasca Ford</t>
  </si>
  <si>
    <t>moss.stan@gmail.com</t>
  </si>
  <si>
    <t>LEIN</t>
  </si>
  <si>
    <t># 12</t>
  </si>
  <si>
    <t>151218544 E</t>
  </si>
  <si>
    <t>151218552 E</t>
  </si>
  <si>
    <t>151218586 E</t>
  </si>
  <si>
    <t>151218594 E</t>
  </si>
  <si>
    <t>151218685 E</t>
  </si>
  <si>
    <t>151218693 E</t>
  </si>
  <si>
    <t>151218700 E</t>
  </si>
  <si>
    <t>151218718 E</t>
  </si>
  <si>
    <t>151218726 E</t>
  </si>
  <si>
    <t>151218734 E</t>
  </si>
  <si>
    <t>151218768 E</t>
  </si>
  <si>
    <t>151218784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</si>
  <si>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</si>
  <si>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</si>
  <si>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</si>
  <si>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</si>
  <si>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</si>
  <si>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</si>
  <si>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</si>
  <si>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</si>
  <si>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lu-Richard Lundgren, Inc. d/b/a</t>
  </si>
  <si>
    <t>2330-8209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</si>
</sst>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/>
    <xf numFmtId="7" fontId="3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6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EE8039-36F8-4F54-96E5-2D65EA176CD1}" name="Table_14" displayName="Table_14" ref="A3:H26" headerRowDxfId="10" dataDxfId="9" totalsRowDxfId="8">
  <sortState xmlns:xlrd2="http://schemas.microsoft.com/office/spreadsheetml/2017/richdata2" ref="A4:H26">
    <sortCondition ref="A4:A26"/>
  </sortState>
  <tableColumns count="8">
    <tableColumn id="1" xr3:uid="{228AADBA-3F7B-4174-9160-A80E6E8B914D}" name="Dealer Name" dataDxfId="7"/>
    <tableColumn id="8" xr3:uid="{289F9DED-F325-460D-853B-AA10EF7E145A}" name="Column2" dataDxfId="6"/>
    <tableColumn id="2" xr3:uid="{DF0533C6-2C96-4465-BA86-11EF04CA2596}" name="Funded by" dataDxfId="5"/>
    <tableColumn id="3" xr3:uid="{37B6B41E-4747-433F-A462-D8D54BDB1774}" name="Dealer Flat" dataDxfId="4"/>
    <tableColumn id="4" xr3:uid="{AD4A8874-3380-45FF-AE6B-3748F7E90111}" name="Dealer Split" dataDxfId="3"/>
    <tableColumn id="5" xr3:uid="{F3FFB0C2-EE95-4E31-A0EE-2E4AEB5A43B0}" name="Net to Dealer" dataDxfId="2"/>
    <tableColumn id="7" xr3:uid="{93BF27F2-60D9-4CBC-BFE8-6720C52828D1}" name="Column1" dataDxfId="1"/>
    <tableColumn id="6" xr3:uid="{ACFDFC57-A0D1-4419-AF9D-7EADB14AA610}" name="Contracted Amount Financ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workbookViewId="0">
      <pane ySplit="3" topLeftCell="A5" activePane="bottomLeft" state="frozen"/>
      <selection pane="bottomLeft" activeCell="N8" sqref="N8"/>
    </sheetView>
  </sheetViews>
  <sheetFormatPr defaultRowHeight="14.4" x14ac:dyDescent="0.3"/>
  <cols>
    <col min="1" max="1" width="12.5546875" customWidth="1"/>
    <col min="2" max="2" width="12.109375" bestFit="1" customWidth="1"/>
    <col min="3" max="3" width="14" bestFit="1" customWidth="1"/>
    <col min="4" max="4" width="22.33203125" bestFit="1" customWidth="1"/>
    <col min="5" max="5" width="12.5546875" customWidth="1"/>
    <col min="6" max="6" width="27" bestFit="1" customWidth="1"/>
    <col min="7" max="7" width="15.109375" bestFit="1" customWidth="1"/>
    <col min="8" max="8" width="17.109375" bestFit="1" customWidth="1"/>
    <col min="9" max="9" width="32.33203125" bestFit="1" customWidth="1"/>
    <col min="10" max="10" width="23.44140625" bestFit="1" customWidth="1"/>
    <col min="11" max="11" width="12.109375" customWidth="1"/>
    <col min="12" max="12" width="9.5546875" customWidth="1"/>
  </cols>
  <sheetData>
    <row r="1" spans="1:12" x14ac:dyDescent="0.3">
      <c r="K1" s="14">
        <v>45897</v>
      </c>
      <c r="L1" s="12"/>
    </row>
    <row r="2" spans="1:12" x14ac:dyDescent="0.3">
      <c r="A2" s="11" t="s">
        <v>0</v>
      </c>
      <c r="B2" s="12"/>
      <c r="C2" s="12"/>
      <c r="D2" s="12"/>
      <c r="E2" s="12"/>
      <c r="F2" s="12"/>
      <c r="G2" s="13" t="s">
        <v>1</v>
      </c>
      <c r="H2" s="12"/>
      <c r="I2" s="12"/>
      <c r="J2" s="12"/>
      <c r="K2" s="12"/>
      <c r="L2" s="12"/>
    </row>
    <row r="3" spans="1:12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3">
      <c r="A4" t="s">
        <v>67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  <c r="H4" s="2">
        <v>57549.88</v>
      </c>
      <c r="I4" t="s">
        <v>19</v>
      </c>
      <c r="K4" t="s">
        <v>20</v>
      </c>
    </row>
    <row r="5" spans="1:12" ht="33" customHeight="1" x14ac:dyDescent="0.3">
      <c r="A5" t="s">
        <v>68</v>
      </c>
      <c r="B5" t="s">
        <v>14</v>
      </c>
      <c r="C5" t="s">
        <v>15</v>
      </c>
      <c r="D5" t="s">
        <v>21</v>
      </c>
      <c r="E5" t="s">
        <v>22</v>
      </c>
      <c r="F5" t="s">
        <v>23</v>
      </c>
      <c r="G5" t="s">
        <v>18</v>
      </c>
      <c r="H5" s="2">
        <v>40820</v>
      </c>
      <c r="I5" t="s">
        <v>24</v>
      </c>
      <c r="J5" t="s">
        <v>25</v>
      </c>
      <c r="K5" t="s">
        <v>26</v>
      </c>
      <c r="L5" t="s">
        <v>27</v>
      </c>
    </row>
    <row r="6" spans="1:12" ht="33" customHeight="1" x14ac:dyDescent="0.3">
      <c r="A6" t="s">
        <v>69</v>
      </c>
      <c r="B6" t="s">
        <v>28</v>
      </c>
      <c r="C6" t="s">
        <v>15</v>
      </c>
      <c r="D6" t="s">
        <v>29</v>
      </c>
      <c r="F6" t="s">
        <v>30</v>
      </c>
      <c r="G6" t="s">
        <v>18</v>
      </c>
      <c r="H6" s="2">
        <v>46982.89</v>
      </c>
      <c r="I6" t="s">
        <v>31</v>
      </c>
      <c r="K6" t="s">
        <v>32</v>
      </c>
    </row>
    <row r="7" spans="1:12" ht="33" customHeight="1" x14ac:dyDescent="0.3">
      <c r="A7" t="s">
        <v>70</v>
      </c>
      <c r="B7" t="s">
        <v>28</v>
      </c>
      <c r="C7" t="s">
        <v>15</v>
      </c>
      <c r="D7" t="s">
        <v>33</v>
      </c>
      <c r="F7" t="s">
        <v>34</v>
      </c>
      <c r="G7" t="s">
        <v>35</v>
      </c>
      <c r="H7" s="2">
        <v>20297</v>
      </c>
      <c r="I7" t="s">
        <v>36</v>
      </c>
      <c r="K7" t="s">
        <v>20</v>
      </c>
    </row>
    <row r="8" spans="1:12" ht="33" customHeight="1" x14ac:dyDescent="0.3">
      <c r="A8" t="s">
        <v>71</v>
      </c>
      <c r="B8" t="s">
        <v>14</v>
      </c>
      <c r="C8" t="s">
        <v>15</v>
      </c>
      <c r="D8" t="s">
        <v>37</v>
      </c>
      <c r="F8" t="s">
        <v>38</v>
      </c>
      <c r="G8" t="s">
        <v>18</v>
      </c>
      <c r="H8" s="2">
        <v>58071.56</v>
      </c>
      <c r="I8" t="s">
        <v>39</v>
      </c>
      <c r="K8" t="s">
        <v>40</v>
      </c>
    </row>
    <row r="9" spans="1:12" ht="33" customHeight="1" x14ac:dyDescent="0.3">
      <c r="A9" t="s">
        <v>72</v>
      </c>
      <c r="B9" t="s">
        <v>28</v>
      </c>
      <c r="C9" t="s">
        <v>15</v>
      </c>
      <c r="D9" t="s">
        <v>41</v>
      </c>
      <c r="F9" t="s">
        <v>42</v>
      </c>
      <c r="G9" t="s">
        <v>35</v>
      </c>
      <c r="H9" s="2">
        <v>10577.13</v>
      </c>
      <c r="I9" t="s">
        <v>43</v>
      </c>
      <c r="K9" t="s">
        <v>44</v>
      </c>
    </row>
    <row r="10" spans="1:12" ht="33" customHeight="1" x14ac:dyDescent="0.3">
      <c r="A10" t="s">
        <v>73</v>
      </c>
      <c r="B10" t="s">
        <v>28</v>
      </c>
      <c r="C10" t="s">
        <v>15</v>
      </c>
      <c r="D10" t="s">
        <v>45</v>
      </c>
      <c r="F10" t="s">
        <v>46</v>
      </c>
      <c r="G10" t="s">
        <v>18</v>
      </c>
      <c r="H10" s="2">
        <v>32860.129999999997</v>
      </c>
      <c r="I10" t="s">
        <v>47</v>
      </c>
      <c r="K10" t="s">
        <v>48</v>
      </c>
    </row>
    <row r="11" spans="1:12" ht="33" customHeight="1" x14ac:dyDescent="0.3">
      <c r="A11" t="s">
        <v>74</v>
      </c>
      <c r="B11" t="s">
        <v>28</v>
      </c>
      <c r="C11" t="s">
        <v>15</v>
      </c>
      <c r="D11" t="s">
        <v>49</v>
      </c>
      <c r="F11" t="s">
        <v>34</v>
      </c>
      <c r="G11" t="s">
        <v>18</v>
      </c>
      <c r="H11" s="2">
        <v>20811.900000000001</v>
      </c>
      <c r="K11" t="s">
        <v>50</v>
      </c>
    </row>
    <row r="12" spans="1:12" ht="33" customHeight="1" x14ac:dyDescent="0.3">
      <c r="A12" t="s">
        <v>75</v>
      </c>
      <c r="B12" t="s">
        <v>14</v>
      </c>
      <c r="C12" t="s">
        <v>15</v>
      </c>
      <c r="D12" t="s">
        <v>51</v>
      </c>
      <c r="F12" t="s">
        <v>52</v>
      </c>
      <c r="G12" t="s">
        <v>18</v>
      </c>
      <c r="H12" s="2">
        <v>49265.7</v>
      </c>
      <c r="I12" t="s">
        <v>53</v>
      </c>
      <c r="K12" t="s">
        <v>54</v>
      </c>
    </row>
    <row r="13" spans="1:12" ht="33" customHeight="1" x14ac:dyDescent="0.3">
      <c r="A13" t="s">
        <v>76</v>
      </c>
      <c r="B13" t="s">
        <v>14</v>
      </c>
      <c r="C13" t="s">
        <v>15</v>
      </c>
      <c r="D13" t="s">
        <v>55</v>
      </c>
      <c r="F13" t="s">
        <v>17</v>
      </c>
      <c r="G13" t="s">
        <v>18</v>
      </c>
      <c r="H13" s="2">
        <v>38035.72</v>
      </c>
      <c r="I13" t="s">
        <v>56</v>
      </c>
      <c r="K13" t="s">
        <v>57</v>
      </c>
    </row>
    <row r="14" spans="1:12" ht="33" customHeight="1" x14ac:dyDescent="0.3">
      <c r="A14" t="s">
        <v>77</v>
      </c>
      <c r="B14" t="s">
        <v>14</v>
      </c>
      <c r="C14" t="s">
        <v>15</v>
      </c>
      <c r="D14" t="s">
        <v>58</v>
      </c>
      <c r="F14" t="s">
        <v>59</v>
      </c>
      <c r="G14" t="s">
        <v>35</v>
      </c>
      <c r="H14" s="2">
        <v>26184.13</v>
      </c>
      <c r="I14" t="s">
        <v>60</v>
      </c>
      <c r="K14" t="s">
        <v>61</v>
      </c>
    </row>
    <row r="15" spans="1:12" ht="33" customHeight="1" x14ac:dyDescent="0.3">
      <c r="A15" t="s">
        <v>78</v>
      </c>
      <c r="B15" t="s">
        <v>14</v>
      </c>
      <c r="C15" t="s">
        <v>15</v>
      </c>
      <c r="D15" t="s">
        <v>62</v>
      </c>
      <c r="F15" t="s">
        <v>63</v>
      </c>
      <c r="G15" t="s">
        <v>35</v>
      </c>
      <c r="H15" s="2">
        <v>14977.33</v>
      </c>
      <c r="I15" t="s">
        <v>64</v>
      </c>
      <c r="K15" t="s">
        <v>65</v>
      </c>
    </row>
    <row r="16" spans="1:12" x14ac:dyDescent="0.3">
      <c r="A16" s="1"/>
      <c r="B16" s="1"/>
      <c r="C16" s="1"/>
      <c r="D16" s="1" t="s">
        <v>66</v>
      </c>
      <c r="E16" s="1"/>
      <c r="F16" s="1"/>
      <c r="G16" s="1"/>
      <c r="H16" s="3">
        <f>SUM(H4:H15)</f>
        <v>416433.37000000005</v>
      </c>
      <c r="I16" s="1"/>
      <c r="J16" s="1"/>
      <c r="K16" s="1"/>
      <c r="L16" s="1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7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49FF-FF2A-4053-8453-39FF7F8DD444}">
  <sheetPr>
    <pageSetUpPr fitToPage="1"/>
  </sheetPr>
  <dimension ref="A1:H26"/>
  <sheetViews>
    <sheetView workbookViewId="0">
      <selection activeCell="A4" sqref="A4"/>
    </sheetView>
  </sheetViews>
  <sheetFormatPr defaultColWidth="9.109375" defaultRowHeight="15.6" x14ac:dyDescent="0.3"/>
  <cols>
    <col min="1" max="2" width="19.6640625" style="4" customWidth="1"/>
    <col min="3" max="3" width="15.5546875" style="4" customWidth="1"/>
    <col min="4" max="4" width="14.5546875" style="4" customWidth="1"/>
    <col min="5" max="5" width="14.88671875" style="4" customWidth="1"/>
    <col min="6" max="6" width="15.5546875" style="4" customWidth="1"/>
    <col min="7" max="7" width="12.33203125" style="4" customWidth="1"/>
    <col min="8" max="8" width="16.88671875" style="4" customWidth="1"/>
    <col min="9" max="16384" width="9.109375" style="4"/>
  </cols>
  <sheetData>
    <row r="1" spans="1:8" x14ac:dyDescent="0.3">
      <c r="E1" s="5"/>
      <c r="H1" s="5">
        <v>45897.999988425923</v>
      </c>
    </row>
    <row r="2" spans="1:8" x14ac:dyDescent="0.3">
      <c r="A2" s="15" t="s">
        <v>0</v>
      </c>
      <c r="B2" s="15"/>
      <c r="C2" s="16"/>
      <c r="D2" s="16"/>
      <c r="E2" s="17" t="s">
        <v>79</v>
      </c>
      <c r="F2" s="16"/>
      <c r="G2" s="16"/>
      <c r="H2" s="16"/>
    </row>
    <row r="3" spans="1:8" x14ac:dyDescent="0.3">
      <c r="A3" s="4" t="s">
        <v>7</v>
      </c>
      <c r="B3" s="4" t="s">
        <v>85</v>
      </c>
      <c r="C3" s="4" t="s">
        <v>8</v>
      </c>
      <c r="D3" s="4" t="s">
        <v>80</v>
      </c>
      <c r="E3" s="4" t="s">
        <v>81</v>
      </c>
      <c r="F3" s="4" t="s">
        <v>82</v>
      </c>
      <c r="G3" s="4" t="s">
        <v>84</v>
      </c>
      <c r="H3" s="4" t="s">
        <v>83</v>
      </c>
    </row>
    <row r="4" spans="1:8" ht="27" customHeight="1" x14ac:dyDescent="0.3">
      <c r="A4" s="4" t="s">
        <v>23</v>
      </c>
      <c r="C4" s="4" t="s">
        <v>18</v>
      </c>
      <c r="D4" s="6">
        <v>1050</v>
      </c>
      <c r="E4" s="6">
        <v>0</v>
      </c>
      <c r="F4" s="7">
        <v>40745</v>
      </c>
      <c r="G4" s="6"/>
      <c r="H4" s="6">
        <v>40820</v>
      </c>
    </row>
    <row r="5" spans="1:8" ht="27" customHeight="1" x14ac:dyDescent="0.3">
      <c r="D5" s="6"/>
      <c r="E5" s="6"/>
      <c r="F5" s="7"/>
      <c r="G5" s="6"/>
      <c r="H5" s="6"/>
    </row>
    <row r="6" spans="1:8" ht="27" customHeight="1" x14ac:dyDescent="0.3">
      <c r="A6" s="4" t="s">
        <v>42</v>
      </c>
      <c r="C6" s="4" t="s">
        <v>35</v>
      </c>
      <c r="D6" s="6">
        <v>300</v>
      </c>
      <c r="E6" s="6">
        <v>0</v>
      </c>
      <c r="F6" s="7">
        <v>10502.13</v>
      </c>
      <c r="G6" s="6"/>
      <c r="H6" s="6">
        <v>10577.13</v>
      </c>
    </row>
    <row r="7" spans="1:8" ht="27" customHeight="1" x14ac:dyDescent="0.3">
      <c r="D7" s="6"/>
      <c r="E7" s="6"/>
      <c r="F7" s="6"/>
      <c r="G7" s="6"/>
      <c r="H7" s="6"/>
    </row>
    <row r="8" spans="1:8" ht="27" customHeight="1" x14ac:dyDescent="0.3">
      <c r="A8" s="4" t="s">
        <v>34</v>
      </c>
      <c r="B8" s="8" t="s">
        <v>88</v>
      </c>
      <c r="C8" s="4" t="s">
        <v>35</v>
      </c>
      <c r="D8" s="6">
        <v>650</v>
      </c>
      <c r="E8" s="6">
        <v>0</v>
      </c>
      <c r="F8" s="6">
        <v>20222</v>
      </c>
      <c r="G8" s="6"/>
      <c r="H8" s="6">
        <v>20297</v>
      </c>
    </row>
    <row r="9" spans="1:8" ht="27" customHeight="1" x14ac:dyDescent="0.3">
      <c r="A9" s="4" t="s">
        <v>34</v>
      </c>
      <c r="C9" s="4" t="s">
        <v>18</v>
      </c>
      <c r="D9" s="6">
        <v>650</v>
      </c>
      <c r="E9" s="6">
        <v>0</v>
      </c>
      <c r="F9" s="6">
        <v>20736.900000000001</v>
      </c>
      <c r="G9" s="7">
        <f>SUM(F8:F9)</f>
        <v>40958.9</v>
      </c>
      <c r="H9" s="6">
        <v>20811.900000000001</v>
      </c>
    </row>
    <row r="10" spans="1:8" ht="27" customHeight="1" x14ac:dyDescent="0.3">
      <c r="D10" s="6"/>
      <c r="E10" s="6"/>
      <c r="F10" s="6"/>
      <c r="G10" s="6"/>
      <c r="H10" s="6"/>
    </row>
    <row r="11" spans="1:8" ht="27" customHeight="1" x14ac:dyDescent="0.3">
      <c r="A11" s="4" t="s">
        <v>86</v>
      </c>
      <c r="C11" s="4" t="s">
        <v>35</v>
      </c>
      <c r="D11" s="6">
        <v>750</v>
      </c>
      <c r="E11" s="6">
        <v>0</v>
      </c>
      <c r="F11" s="7">
        <v>26109.13</v>
      </c>
      <c r="G11" s="6"/>
      <c r="H11" s="6">
        <v>26184.13</v>
      </c>
    </row>
    <row r="12" spans="1:8" ht="27" customHeight="1" x14ac:dyDescent="0.3">
      <c r="D12" s="6"/>
      <c r="E12" s="6"/>
      <c r="F12" s="7"/>
      <c r="G12" s="6"/>
      <c r="H12" s="6"/>
    </row>
    <row r="13" spans="1:8" ht="27" customHeight="1" x14ac:dyDescent="0.3">
      <c r="A13" s="4" t="s">
        <v>52</v>
      </c>
      <c r="C13" s="4" t="s">
        <v>18</v>
      </c>
      <c r="D13" s="6">
        <v>1150</v>
      </c>
      <c r="E13" s="6">
        <v>0</v>
      </c>
      <c r="F13" s="7">
        <v>49190.7</v>
      </c>
      <c r="G13" s="6"/>
      <c r="H13" s="6">
        <v>49265.7</v>
      </c>
    </row>
    <row r="14" spans="1:8" ht="27" customHeight="1" x14ac:dyDescent="0.3">
      <c r="D14" s="6"/>
      <c r="E14" s="6"/>
      <c r="F14" s="7"/>
      <c r="G14" s="6"/>
      <c r="H14" s="6"/>
    </row>
    <row r="15" spans="1:8" ht="27" customHeight="1" x14ac:dyDescent="0.3">
      <c r="A15" s="4" t="s">
        <v>87</v>
      </c>
      <c r="C15" s="4" t="s">
        <v>18</v>
      </c>
      <c r="D15" s="6">
        <v>850</v>
      </c>
      <c r="E15" s="6">
        <v>0</v>
      </c>
      <c r="F15" s="7">
        <v>32785.129999999997</v>
      </c>
      <c r="G15" s="6"/>
      <c r="H15" s="6">
        <v>32860.129999999997</v>
      </c>
    </row>
    <row r="16" spans="1:8" ht="27" customHeight="1" x14ac:dyDescent="0.3">
      <c r="D16" s="6"/>
      <c r="E16" s="6"/>
      <c r="F16" s="7"/>
      <c r="G16" s="6"/>
      <c r="H16" s="6"/>
    </row>
    <row r="17" spans="1:8" ht="27" customHeight="1" x14ac:dyDescent="0.3">
      <c r="A17" s="4" t="s">
        <v>30</v>
      </c>
      <c r="C17" s="4" t="s">
        <v>18</v>
      </c>
      <c r="D17" s="6">
        <v>1150</v>
      </c>
      <c r="E17" s="6">
        <v>0</v>
      </c>
      <c r="F17" s="7">
        <v>46907.89</v>
      </c>
      <c r="G17" s="6"/>
      <c r="H17" s="6">
        <v>46982.89</v>
      </c>
    </row>
    <row r="18" spans="1:8" ht="27" customHeight="1" x14ac:dyDescent="0.3">
      <c r="D18" s="6"/>
      <c r="E18" s="6"/>
      <c r="F18" s="6"/>
      <c r="G18" s="6"/>
      <c r="H18" s="6"/>
    </row>
    <row r="19" spans="1:8" ht="27" customHeight="1" x14ac:dyDescent="0.3">
      <c r="A19" s="4" t="s">
        <v>17</v>
      </c>
      <c r="C19" s="4" t="s">
        <v>18</v>
      </c>
      <c r="D19" s="6">
        <v>950</v>
      </c>
      <c r="E19" s="6">
        <v>0</v>
      </c>
      <c r="F19" s="6">
        <v>37960.720000000001</v>
      </c>
      <c r="G19" s="6"/>
      <c r="H19" s="6">
        <v>38035.72</v>
      </c>
    </row>
    <row r="20" spans="1:8" ht="27" customHeight="1" x14ac:dyDescent="0.3">
      <c r="A20" s="4" t="s">
        <v>17</v>
      </c>
      <c r="C20" s="4" t="s">
        <v>18</v>
      </c>
      <c r="D20" s="6">
        <v>1350</v>
      </c>
      <c r="E20" s="6">
        <v>0</v>
      </c>
      <c r="F20" s="6">
        <v>57474.879999999997</v>
      </c>
      <c r="G20" s="7">
        <f>SUM(F19:F20)</f>
        <v>95435.6</v>
      </c>
      <c r="H20" s="6">
        <v>57549.88</v>
      </c>
    </row>
    <row r="21" spans="1:8" ht="27" customHeight="1" x14ac:dyDescent="0.3">
      <c r="D21" s="6"/>
      <c r="E21" s="6"/>
      <c r="F21" s="6"/>
      <c r="G21" s="6"/>
      <c r="H21" s="6"/>
    </row>
    <row r="22" spans="1:8" ht="27" customHeight="1" x14ac:dyDescent="0.3">
      <c r="A22" s="4" t="s">
        <v>63</v>
      </c>
      <c r="C22" s="4" t="s">
        <v>35</v>
      </c>
      <c r="D22" s="6">
        <v>300</v>
      </c>
      <c r="E22" s="6">
        <v>0</v>
      </c>
      <c r="F22" s="7">
        <v>14902.33</v>
      </c>
      <c r="G22" s="6"/>
      <c r="H22" s="6">
        <v>14977.33</v>
      </c>
    </row>
    <row r="23" spans="1:8" ht="27" customHeight="1" x14ac:dyDescent="0.3">
      <c r="D23" s="6"/>
      <c r="E23" s="6"/>
      <c r="F23" s="7"/>
      <c r="G23" s="6"/>
      <c r="H23" s="6"/>
    </row>
    <row r="24" spans="1:8" ht="27" customHeight="1" x14ac:dyDescent="0.3">
      <c r="A24" s="4" t="s">
        <v>38</v>
      </c>
      <c r="C24" s="4" t="s">
        <v>18</v>
      </c>
      <c r="D24" s="6">
        <v>1350</v>
      </c>
      <c r="E24" s="6">
        <v>0</v>
      </c>
      <c r="F24" s="7">
        <v>57996.56</v>
      </c>
      <c r="G24" s="6"/>
      <c r="H24" s="6">
        <v>58071.56</v>
      </c>
    </row>
    <row r="25" spans="1:8" x14ac:dyDescent="0.3">
      <c r="D25" s="6"/>
      <c r="E25" s="6"/>
      <c r="F25" s="6"/>
      <c r="G25" s="6"/>
      <c r="H25" s="6"/>
    </row>
    <row r="26" spans="1:8" x14ac:dyDescent="0.3">
      <c r="A26" s="9"/>
      <c r="B26" s="9"/>
      <c r="C26" s="9"/>
      <c r="D26" s="10">
        <f>SUM(D4:D25)</f>
        <v>10500</v>
      </c>
      <c r="E26" s="10">
        <f>SUM(E4:E25)</f>
        <v>0</v>
      </c>
      <c r="F26" s="10">
        <f>SUM(F4:F25)</f>
        <v>415533.37</v>
      </c>
      <c r="G26" s="10"/>
      <c r="H26" s="10">
        <f>SUM(H4:H25)</f>
        <v>416433.37</v>
      </c>
    </row>
  </sheetData>
  <mergeCells count="2">
    <mergeCell ref="A2:D2"/>
    <mergeCell ref="E2:H2"/>
  </mergeCells>
  <pageMargins left="0.7" right="0.7" top="0.25" bottom="0.25" header="0.3" footer="0.3"/>
  <pageSetup scale="82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2025-08-28T18:48:53Z</cp:lastPrinted>
  <dcterms:created xsi:type="dcterms:W3CDTF">2025-08-28T18:38:51Z</dcterms:created>
  <dcterms:modified xsi:type="dcterms:W3CDTF">2025-08-30T11:41:56Z</dcterms:modified>
</cp:coreProperties>
</file>