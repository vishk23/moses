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31BC59CF-2C0B-4C1D-BBEB-EA2E6BAC4430}" xr6:coauthVersionLast="47" xr6:coauthVersionMax="47" xr10:uidLastSave="{00000000-0000-0000-0000-000000000000}"/>
  <bookViews>
    <workbookView xWindow="34215" yWindow="840" windowWidth="22905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H37" i="2"/>
  <c r="F37" i="2"/>
  <c r="E37" i="2"/>
  <c r="D37" i="2"/>
  <c r="H21" i="1"/>
</calcChain>
</file>

<file path=xl/sharedStrings.xml><?xml version="1.0" encoding="utf-8"?>
<sst xmlns="http://schemas.openxmlformats.org/spreadsheetml/2006/main" count="237" uniqueCount="128">
  <si>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</si>
  <si>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</si>
  <si>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</si>
  <si>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</si>
  <si>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</si>
  <si>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</si>
  <si>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</si>
  <si>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</si>
  <si>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</si>
  <si>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</si>
  <si>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</si>
  <si>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</si>
  <si>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</si>
  <si>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</si>
  <si>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</si>
  <si>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</si>
  <si>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RODRIGUEZ, NITZIA</t>
  </si>
  <si>
    <t>Grieco Enterprises, LLC d/b/a</t>
  </si>
  <si>
    <t>Rachel Gorham</t>
  </si>
  <si>
    <t>NITZIARODRIGUEZ87@GMAIL.COM</t>
  </si>
  <si>
    <t>RODRIGUEZ</t>
  </si>
  <si>
    <t>151238287</t>
  </si>
  <si>
    <t>Paper</t>
  </si>
  <si>
    <t>STRANGER, KEITH</t>
  </si>
  <si>
    <t>STRANGER, KAITLYN</t>
  </si>
  <si>
    <t>Frank Battles Inc</t>
  </si>
  <si>
    <t>KSTRANGER@COMCAST.NET</t>
  </si>
  <si>
    <t>KATEMK29@COMCAST.NET</t>
  </si>
  <si>
    <t>DAVIES</t>
  </si>
  <si>
    <t>CARROLL</t>
  </si>
  <si>
    <t>Route One</t>
  </si>
  <si>
    <t>CABRAL, BRANDY</t>
  </si>
  <si>
    <t>Langway Toyota of Newport</t>
  </si>
  <si>
    <t>BRANDYCABRAL42@GMAIL.COM</t>
  </si>
  <si>
    <t>FERREIRA</t>
  </si>
  <si>
    <t>151238310</t>
  </si>
  <si>
    <t>SUKEFORTH, ANNA- MARIA</t>
  </si>
  <si>
    <t>Patriot Auto Group Inc d/b/a</t>
  </si>
  <si>
    <t>Marlene Braganca</t>
  </si>
  <si>
    <t>annamariasukeforth@gmail.com</t>
  </si>
  <si>
    <t>Gangone</t>
  </si>
  <si>
    <t>CAYA, SUSAN</t>
  </si>
  <si>
    <t>cayasusan@me.com</t>
  </si>
  <si>
    <t>LOUIS</t>
  </si>
  <si>
    <t>VELASQUEZ MALDONADO, KEVIN</t>
  </si>
  <si>
    <t>Infiniti of Norwood</t>
  </si>
  <si>
    <t>KEVINVELASQUEZGOKU@GMAIL.COM</t>
  </si>
  <si>
    <t>Maldonado</t>
  </si>
  <si>
    <t>FLYNN, CHRISTOPHER</t>
  </si>
  <si>
    <t>Planet Subaru</t>
  </si>
  <si>
    <t>CHRISF1387@GMAIL.COM</t>
  </si>
  <si>
    <t>Wellington</t>
  </si>
  <si>
    <t>GARNEAU, DEBORAH</t>
  </si>
  <si>
    <t>Flood Mazda</t>
  </si>
  <si>
    <t>DEB.GARNEAU@VERIZON.NET</t>
  </si>
  <si>
    <t>CARLSON</t>
  </si>
  <si>
    <t>151238386</t>
  </si>
  <si>
    <t>PARENT, CHRISTOPHER</t>
  </si>
  <si>
    <t>First Chrysler Dodge Jeep</t>
  </si>
  <si>
    <t>GUARD0297@GMAIL.COM</t>
  </si>
  <si>
    <t>Picard</t>
  </si>
  <si>
    <t>KENNEDY, GAIL</t>
  </si>
  <si>
    <t>Battles Nissan, LLC</t>
  </si>
  <si>
    <t>GAYLEKEN@COMCAST.NET</t>
  </si>
  <si>
    <t>ALVES</t>
  </si>
  <si>
    <t>151238435</t>
  </si>
  <si>
    <t>CHIARADIO, CYNTHIA</t>
  </si>
  <si>
    <t>DALEY, MAGGIE</t>
  </si>
  <si>
    <t>Sandy Motors, Inc</t>
  </si>
  <si>
    <t>CYNDIDALEY@COMCAST.COM</t>
  </si>
  <si>
    <t>MAGGIE-DALEY04@GMAIL.COM</t>
  </si>
  <si>
    <t>Luongo</t>
  </si>
  <si>
    <t>Molloy</t>
  </si>
  <si>
    <t>TICE, ALEX</t>
  </si>
  <si>
    <t>Mastria Mazda</t>
  </si>
  <si>
    <t>alextice17@yahoo.com</t>
  </si>
  <si>
    <t>Brassard</t>
  </si>
  <si>
    <t>WRIGHT, NICHOLAS</t>
  </si>
  <si>
    <t>T F Murphy Enterprises Inc</t>
  </si>
  <si>
    <t>wright.nick19@gmail.com</t>
  </si>
  <si>
    <t>Shaprio</t>
  </si>
  <si>
    <t>CLUNE, JILL</t>
  </si>
  <si>
    <t>Tasca Ford</t>
  </si>
  <si>
    <t>JILL9636@GMAIL.COM</t>
  </si>
  <si>
    <t>CHAMBERLAIN</t>
  </si>
  <si>
    <t>NILES, CURTIS</t>
  </si>
  <si>
    <t>Paul Masse Chevrolet South Inc</t>
  </si>
  <si>
    <t>thecelestrus7@gmail.com</t>
  </si>
  <si>
    <t>HARNDEN</t>
  </si>
  <si>
    <t>151238526</t>
  </si>
  <si>
    <t>BOVILL, JAMES</t>
  </si>
  <si>
    <t>AutoMax Preowned(Framingham)</t>
  </si>
  <si>
    <t>BOVILL@COX.NET</t>
  </si>
  <si>
    <t>GRICCI</t>
  </si>
  <si>
    <t>DECARVALHO, ROBSON</t>
  </si>
  <si>
    <t>Paul Masse Buick GMC South, Inc</t>
  </si>
  <si>
    <t>BINHU_RIC@HOTMAIL.COM</t>
  </si>
  <si>
    <t>SCHNEIDER</t>
  </si>
  <si>
    <t># 17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</si>
  <si>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</si>
  <si>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</si>
  <si>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</si>
  <si>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</si>
  <si>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</si>
  <si>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</si>
  <si>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#5</t>
  </si>
  <si>
    <t>Column1</t>
  </si>
  <si>
    <t>Column2</t>
  </si>
  <si>
    <t>NE-AutoMax Preowned(Framingham)</t>
  </si>
  <si>
    <t>hon-Patriot Auto Group Inc d/b/a</t>
  </si>
  <si>
    <t>7436-2448</t>
  </si>
  <si>
    <t>5900-6390</t>
  </si>
  <si>
    <t>Original Notes Delivered</t>
  </si>
  <si>
    <t>Delivered by:</t>
  </si>
  <si>
    <t>Received by:</t>
  </si>
  <si>
    <t>Signed Date:</t>
  </si>
  <si>
    <t>151238279 E</t>
  </si>
  <si>
    <t>151238295 E</t>
  </si>
  <si>
    <t>151238328 E</t>
  </si>
  <si>
    <t>151238344 E</t>
  </si>
  <si>
    <t>151238352 E</t>
  </si>
  <si>
    <t>151238378 E</t>
  </si>
  <si>
    <t>151238427 E</t>
  </si>
  <si>
    <t>151238451 E</t>
  </si>
  <si>
    <t>151238477 E</t>
  </si>
  <si>
    <t>151238493 E</t>
  </si>
  <si>
    <t>151238500 E</t>
  </si>
  <si>
    <t>151238568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</si>
</sst>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/>
    <xf numFmtId="7" fontId="3" fillId="0" borderId="0" xfId="0" applyNumberFormat="1" applyFont="1"/>
    <xf numFmtId="0" fontId="0" fillId="0" borderId="1" xfId="0" applyBorder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76BDE6-4C11-4D53-BF8A-33DC830E0B52}" name="Table_14" displayName="Table_14" ref="A3:H37" headerRowDxfId="17" dataDxfId="15" totalsRowDxfId="16">
  <sortState xmlns:xlrd2="http://schemas.microsoft.com/office/spreadsheetml/2017/richdata2" ref="A4:H37">
    <sortCondition ref="A4:A37"/>
  </sortState>
  <tableColumns count="8">
    <tableColumn id="1" xr3:uid="{5200402B-EE4E-44F0-B8A8-E21E2F642B5D}" name="Dealer Name" dataDxfId="25"/>
    <tableColumn id="8" xr3:uid="{ED161A5F-2CA2-4B4B-A6C2-7F44C1A1F686}" name="Column2" dataDxfId="24"/>
    <tableColumn id="2" xr3:uid="{C6ACE189-4760-4B22-B29B-51461475EE78}" name="Funded by" dataDxfId="23"/>
    <tableColumn id="3" xr3:uid="{012836E3-66FE-4C84-B63D-B69B1B68ED68}" name="Dealer Flat" dataDxfId="22"/>
    <tableColumn id="4" xr3:uid="{F3CC5F70-890D-418C-91E6-B9AEB9FB211F}" name="Dealer Split" dataDxfId="21"/>
    <tableColumn id="5" xr3:uid="{4A9E5972-6998-46DA-8C91-6343E3D9D89E}" name="Net to Dealer" dataDxfId="20"/>
    <tableColumn id="7" xr3:uid="{F1BBD440-68AA-4C0D-8AE4-82D9A7B78B26}" name="Column1" dataDxfId="19"/>
    <tableColumn id="6" xr3:uid="{16B2E90D-D196-4335-8FA0-03B6EAD01F44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4DB660-46A4-4F88-B7D6-57930C9A78A4}" name="Table_15" displayName="Table_15" ref="A3:E9">
  <tableColumns count="5">
    <tableColumn id="1" xr3:uid="{39552CE5-710E-461F-8F92-D1B07818D8A5}" name="Account Number"/>
    <tableColumn id="2" xr3:uid="{558BD189-3C61-43AA-9AE3-C917E2D42447}" name="Contract Type"/>
    <tableColumn id="3" xr3:uid="{5CCCB588-8F83-493A-8AC8-3323C023FEA8}" name="Applicant Name"/>
    <tableColumn id="4" xr3:uid="{53B7869B-825E-48D4-B8A3-F2813F6FF5B5}" name="Co-Applicant Name"/>
    <tableColumn id="5" xr3:uid="{13F375D3-315E-4F79-A684-849848634271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workbookViewId="0">
      <pane ySplit="3" topLeftCell="A9" activePane="bottomLeft" state="frozen"/>
      <selection pane="bottomLeft" activeCell="D4" sqref="D4:E20"/>
    </sheetView>
  </sheetViews>
  <sheetFormatPr defaultRowHeight="15.75" x14ac:dyDescent="0.25"/>
  <cols>
    <col min="1" max="1" width="13" style="6" customWidth="1"/>
    <col min="2" max="2" width="12.140625" style="6" bestFit="1" customWidth="1"/>
    <col min="3" max="3" width="14" style="6" bestFit="1" customWidth="1"/>
    <col min="4" max="4" width="27" style="6" customWidth="1"/>
    <col min="5" max="5" width="19.85546875" style="6" bestFit="1" customWidth="1"/>
    <col min="6" max="6" width="31.85546875" style="6" bestFit="1" customWidth="1"/>
    <col min="7" max="7" width="17.7109375" style="6" bestFit="1" customWidth="1"/>
    <col min="8" max="8" width="17.140625" style="6" bestFit="1" customWidth="1"/>
    <col min="9" max="9" width="31.5703125" style="6" customWidth="1"/>
    <col min="10" max="10" width="27" style="6" customWidth="1"/>
    <col min="11" max="11" width="14" style="6" customWidth="1"/>
    <col min="12" max="12" width="12.85546875" style="6" bestFit="1" customWidth="1"/>
    <col min="13" max="16384" width="9.140625" style="6"/>
  </cols>
  <sheetData>
    <row r="1" spans="1:12" s="6" customFormat="1" x14ac:dyDescent="0.25">
      <c r="K1" s="17">
        <v>45951</v>
      </c>
      <c r="L1" s="18"/>
    </row>
    <row r="2" spans="1:12" s="6" customFormat="1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s="6" customForma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s="6" customFormat="1" ht="30" customHeight="1" x14ac:dyDescent="0.25">
      <c r="A4" s="6" t="s">
        <v>116</v>
      </c>
      <c r="B4" s="6" t="s">
        <v>14</v>
      </c>
      <c r="C4" s="6" t="s">
        <v>15</v>
      </c>
      <c r="D4" s="6" t="s">
        <v>16</v>
      </c>
      <c r="F4" s="6" t="s">
        <v>17</v>
      </c>
      <c r="G4" s="6" t="s">
        <v>18</v>
      </c>
      <c r="H4" s="11">
        <v>36959.17</v>
      </c>
      <c r="I4" s="6" t="s">
        <v>19</v>
      </c>
      <c r="K4" s="6" t="s">
        <v>20</v>
      </c>
    </row>
    <row r="5" spans="1:12" s="6" customFormat="1" ht="30" customHeight="1" x14ac:dyDescent="0.25">
      <c r="A5" s="6" t="s">
        <v>21</v>
      </c>
      <c r="B5" s="6" t="s">
        <v>14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18</v>
      </c>
      <c r="H5" s="11">
        <v>45078.69</v>
      </c>
      <c r="I5" s="6" t="s">
        <v>26</v>
      </c>
      <c r="J5" s="6" t="s">
        <v>27</v>
      </c>
      <c r="K5" s="6" t="s">
        <v>28</v>
      </c>
      <c r="L5" s="6" t="s">
        <v>29</v>
      </c>
    </row>
    <row r="6" spans="1:12" s="6" customFormat="1" ht="30" customHeight="1" x14ac:dyDescent="0.25">
      <c r="A6" s="6" t="s">
        <v>117</v>
      </c>
      <c r="B6" s="6" t="s">
        <v>30</v>
      </c>
      <c r="C6" s="6" t="s">
        <v>15</v>
      </c>
      <c r="D6" s="6" t="s">
        <v>31</v>
      </c>
      <c r="F6" s="6" t="s">
        <v>32</v>
      </c>
      <c r="G6" s="6" t="s">
        <v>18</v>
      </c>
      <c r="H6" s="11">
        <v>15874.13</v>
      </c>
      <c r="I6" s="6" t="s">
        <v>33</v>
      </c>
      <c r="K6" s="6" t="s">
        <v>34</v>
      </c>
    </row>
    <row r="7" spans="1:12" s="6" customFormat="1" ht="30" customHeight="1" x14ac:dyDescent="0.25">
      <c r="A7" s="6" t="s">
        <v>35</v>
      </c>
      <c r="B7" s="6" t="s">
        <v>30</v>
      </c>
      <c r="C7" s="6" t="s">
        <v>22</v>
      </c>
      <c r="D7" s="6" t="s">
        <v>36</v>
      </c>
      <c r="F7" s="6" t="s">
        <v>37</v>
      </c>
      <c r="G7" s="6" t="s">
        <v>38</v>
      </c>
      <c r="H7" s="11">
        <v>23475.38</v>
      </c>
      <c r="I7" s="6" t="s">
        <v>39</v>
      </c>
      <c r="K7" s="6" t="s">
        <v>40</v>
      </c>
    </row>
    <row r="8" spans="1:12" s="6" customFormat="1" ht="30" customHeight="1" x14ac:dyDescent="0.25">
      <c r="A8" s="6" t="s">
        <v>118</v>
      </c>
      <c r="B8" s="6" t="s">
        <v>30</v>
      </c>
      <c r="C8" s="6" t="s">
        <v>15</v>
      </c>
      <c r="D8" s="6" t="s">
        <v>41</v>
      </c>
      <c r="F8" s="6" t="s">
        <v>37</v>
      </c>
      <c r="G8" s="6" t="s">
        <v>18</v>
      </c>
      <c r="H8" s="11">
        <v>21202.63</v>
      </c>
      <c r="I8" s="6" t="s">
        <v>42</v>
      </c>
      <c r="K8" s="6" t="s">
        <v>43</v>
      </c>
    </row>
    <row r="9" spans="1:12" s="6" customFormat="1" ht="30" customHeight="1" x14ac:dyDescent="0.25">
      <c r="A9" s="6" t="s">
        <v>119</v>
      </c>
      <c r="B9" s="6" t="s">
        <v>14</v>
      </c>
      <c r="C9" s="6" t="s">
        <v>15</v>
      </c>
      <c r="D9" s="6" t="s">
        <v>44</v>
      </c>
      <c r="F9" s="6" t="s">
        <v>45</v>
      </c>
      <c r="G9" s="6" t="s">
        <v>38</v>
      </c>
      <c r="H9" s="11">
        <v>26742.69</v>
      </c>
      <c r="I9" s="6" t="s">
        <v>46</v>
      </c>
      <c r="K9" s="6" t="s">
        <v>47</v>
      </c>
    </row>
    <row r="10" spans="1:12" s="6" customFormat="1" ht="30" customHeight="1" x14ac:dyDescent="0.25">
      <c r="A10" s="6" t="s">
        <v>120</v>
      </c>
      <c r="B10" s="6" t="s">
        <v>14</v>
      </c>
      <c r="C10" s="6" t="s">
        <v>15</v>
      </c>
      <c r="D10" s="6" t="s">
        <v>48</v>
      </c>
      <c r="F10" s="6" t="s">
        <v>49</v>
      </c>
      <c r="G10" s="6" t="s">
        <v>38</v>
      </c>
      <c r="H10" s="11">
        <v>21343.25</v>
      </c>
      <c r="I10" s="6" t="s">
        <v>50</v>
      </c>
      <c r="K10" s="6" t="s">
        <v>51</v>
      </c>
    </row>
    <row r="11" spans="1:12" s="6" customFormat="1" ht="30" customHeight="1" x14ac:dyDescent="0.25">
      <c r="A11" s="6" t="s">
        <v>121</v>
      </c>
      <c r="B11" s="6" t="s">
        <v>30</v>
      </c>
      <c r="C11" s="6" t="s">
        <v>15</v>
      </c>
      <c r="D11" s="6" t="s">
        <v>52</v>
      </c>
      <c r="F11" s="6" t="s">
        <v>53</v>
      </c>
      <c r="G11" s="6" t="s">
        <v>38</v>
      </c>
      <c r="H11" s="11">
        <v>30317.759999999998</v>
      </c>
      <c r="I11" s="6" t="s">
        <v>54</v>
      </c>
      <c r="K11" s="6" t="s">
        <v>55</v>
      </c>
    </row>
    <row r="12" spans="1:12" s="6" customFormat="1" ht="30" customHeight="1" x14ac:dyDescent="0.25">
      <c r="A12" s="6" t="s">
        <v>56</v>
      </c>
      <c r="B12" s="6" t="s">
        <v>14</v>
      </c>
      <c r="C12" s="6" t="s">
        <v>22</v>
      </c>
      <c r="D12" s="6" t="s">
        <v>57</v>
      </c>
      <c r="F12" s="6" t="s">
        <v>58</v>
      </c>
      <c r="G12" s="6" t="s">
        <v>38</v>
      </c>
      <c r="H12" s="11">
        <v>35314.19</v>
      </c>
      <c r="I12" s="6" t="s">
        <v>59</v>
      </c>
      <c r="K12" s="6" t="s">
        <v>60</v>
      </c>
    </row>
    <row r="13" spans="1:12" s="6" customFormat="1" ht="30" customHeight="1" x14ac:dyDescent="0.25">
      <c r="A13" s="6" t="s">
        <v>122</v>
      </c>
      <c r="B13" s="6" t="s">
        <v>14</v>
      </c>
      <c r="C13" s="6" t="s">
        <v>15</v>
      </c>
      <c r="D13" s="6" t="s">
        <v>61</v>
      </c>
      <c r="F13" s="6" t="s">
        <v>62</v>
      </c>
      <c r="G13" s="6" t="s">
        <v>38</v>
      </c>
      <c r="H13" s="11">
        <v>23263.13</v>
      </c>
      <c r="I13" s="6" t="s">
        <v>63</v>
      </c>
      <c r="K13" s="6" t="s">
        <v>64</v>
      </c>
    </row>
    <row r="14" spans="1:12" s="6" customFormat="1" ht="30" customHeight="1" x14ac:dyDescent="0.25">
      <c r="A14" s="6" t="s">
        <v>65</v>
      </c>
      <c r="B14" s="6" t="s">
        <v>14</v>
      </c>
      <c r="C14" s="6" t="s">
        <v>22</v>
      </c>
      <c r="D14" s="6" t="s">
        <v>66</v>
      </c>
      <c r="E14" s="6" t="s">
        <v>67</v>
      </c>
      <c r="F14" s="6" t="s">
        <v>68</v>
      </c>
      <c r="G14" s="6" t="s">
        <v>38</v>
      </c>
      <c r="H14" s="11">
        <v>18747.14</v>
      </c>
      <c r="I14" s="6" t="s">
        <v>69</v>
      </c>
      <c r="J14" s="6" t="s">
        <v>70</v>
      </c>
      <c r="K14" s="6" t="s">
        <v>71</v>
      </c>
      <c r="L14" s="6" t="s">
        <v>72</v>
      </c>
    </row>
    <row r="15" spans="1:12" s="6" customFormat="1" ht="30" customHeight="1" x14ac:dyDescent="0.25">
      <c r="A15" s="6" t="s">
        <v>123</v>
      </c>
      <c r="B15" s="6" t="s">
        <v>30</v>
      </c>
      <c r="C15" s="6" t="s">
        <v>15</v>
      </c>
      <c r="D15" s="6" t="s">
        <v>73</v>
      </c>
      <c r="F15" s="6" t="s">
        <v>74</v>
      </c>
      <c r="G15" s="6" t="s">
        <v>38</v>
      </c>
      <c r="H15" s="11">
        <v>24300.11</v>
      </c>
      <c r="I15" s="6" t="s">
        <v>75</v>
      </c>
      <c r="K15" s="6" t="s">
        <v>76</v>
      </c>
    </row>
    <row r="16" spans="1:12" s="6" customFormat="1" ht="30" customHeight="1" x14ac:dyDescent="0.25">
      <c r="A16" s="6" t="s">
        <v>124</v>
      </c>
      <c r="B16" s="6" t="s">
        <v>30</v>
      </c>
      <c r="C16" s="6" t="s">
        <v>15</v>
      </c>
      <c r="D16" s="6" t="s">
        <v>77</v>
      </c>
      <c r="F16" s="6" t="s">
        <v>78</v>
      </c>
      <c r="G16" s="6" t="s">
        <v>38</v>
      </c>
      <c r="H16" s="11">
        <v>28950.63</v>
      </c>
      <c r="I16" s="6" t="s">
        <v>79</v>
      </c>
      <c r="K16" s="6" t="s">
        <v>80</v>
      </c>
    </row>
    <row r="17" spans="1:12" s="6" customFormat="1" ht="30" customHeight="1" x14ac:dyDescent="0.25">
      <c r="A17" s="6" t="s">
        <v>125</v>
      </c>
      <c r="B17" s="6" t="s">
        <v>30</v>
      </c>
      <c r="C17" s="6" t="s">
        <v>15</v>
      </c>
      <c r="D17" s="6" t="s">
        <v>81</v>
      </c>
      <c r="F17" s="6" t="s">
        <v>82</v>
      </c>
      <c r="G17" s="6" t="s">
        <v>18</v>
      </c>
      <c r="H17" s="11">
        <v>20863.439999999999</v>
      </c>
      <c r="I17" s="6" t="s">
        <v>83</v>
      </c>
      <c r="K17" s="6" t="s">
        <v>84</v>
      </c>
    </row>
    <row r="18" spans="1:12" s="6" customFormat="1" ht="30" customHeight="1" x14ac:dyDescent="0.25">
      <c r="A18" s="6" t="s">
        <v>126</v>
      </c>
      <c r="B18" s="6" t="s">
        <v>30</v>
      </c>
      <c r="C18" s="6" t="s">
        <v>15</v>
      </c>
      <c r="D18" s="6" t="s">
        <v>85</v>
      </c>
      <c r="F18" s="6" t="s">
        <v>86</v>
      </c>
      <c r="G18" s="6" t="s">
        <v>18</v>
      </c>
      <c r="H18" s="11">
        <v>28539.05</v>
      </c>
      <c r="I18" s="6" t="s">
        <v>87</v>
      </c>
      <c r="K18" s="6" t="s">
        <v>88</v>
      </c>
    </row>
    <row r="19" spans="1:12" s="6" customFormat="1" ht="30" customHeight="1" x14ac:dyDescent="0.25">
      <c r="A19" s="6" t="s">
        <v>89</v>
      </c>
      <c r="B19" s="6" t="s">
        <v>14</v>
      </c>
      <c r="C19" s="6" t="s">
        <v>22</v>
      </c>
      <c r="D19" s="6" t="s">
        <v>90</v>
      </c>
      <c r="F19" s="6" t="s">
        <v>91</v>
      </c>
      <c r="G19" s="6" t="s">
        <v>38</v>
      </c>
      <c r="H19" s="11">
        <v>40340.89</v>
      </c>
      <c r="I19" s="6" t="s">
        <v>92</v>
      </c>
      <c r="K19" s="6" t="s">
        <v>93</v>
      </c>
    </row>
    <row r="20" spans="1:12" s="6" customFormat="1" ht="30" customHeight="1" x14ac:dyDescent="0.25">
      <c r="A20" s="6" t="s">
        <v>127</v>
      </c>
      <c r="B20" s="6" t="s">
        <v>30</v>
      </c>
      <c r="C20" s="6" t="s">
        <v>15</v>
      </c>
      <c r="D20" s="6" t="s">
        <v>94</v>
      </c>
      <c r="F20" s="6" t="s">
        <v>95</v>
      </c>
      <c r="G20" s="6" t="s">
        <v>18</v>
      </c>
      <c r="H20" s="11">
        <v>28907.69</v>
      </c>
      <c r="I20" s="6" t="s">
        <v>96</v>
      </c>
      <c r="K20" s="6" t="s">
        <v>97</v>
      </c>
    </row>
    <row r="21" spans="1:12" s="6" customFormat="1" x14ac:dyDescent="0.25">
      <c r="A21" s="14"/>
      <c r="B21" s="14"/>
      <c r="C21" s="14"/>
      <c r="D21" s="14" t="s">
        <v>98</v>
      </c>
      <c r="E21" s="14"/>
      <c r="F21" s="14"/>
      <c r="G21" s="14"/>
      <c r="H21" s="15">
        <f>SUM(H4:H20)</f>
        <v>470219.97000000003</v>
      </c>
      <c r="I21" s="14"/>
      <c r="J21" s="14"/>
      <c r="K21" s="14"/>
      <c r="L21" s="14"/>
    </row>
  </sheetData>
  <mergeCells count="3">
    <mergeCell ref="A2:F2"/>
    <mergeCell ref="G2:L2"/>
    <mergeCell ref="K1:L1"/>
  </mergeCells>
  <pageMargins left="0.7" right="0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2AEB-A0BE-4531-A1D6-D42C6ACEFE54}">
  <sheetPr>
    <pageSetUpPr fitToPage="1"/>
  </sheetPr>
  <dimension ref="A1:H37"/>
  <sheetViews>
    <sheetView topLeftCell="A25" workbookViewId="0">
      <selection activeCell="B12" sqref="B12"/>
    </sheetView>
  </sheetViews>
  <sheetFormatPr defaultRowHeight="15.75" x14ac:dyDescent="0.25"/>
  <cols>
    <col min="1" max="1" width="30.28515625" style="6" customWidth="1"/>
    <col min="2" max="2" width="11.5703125" style="6" customWidth="1"/>
    <col min="3" max="3" width="24.140625" style="6" customWidth="1"/>
    <col min="4" max="4" width="16.140625" style="6" customWidth="1"/>
    <col min="5" max="5" width="17" style="6" customWidth="1"/>
    <col min="6" max="6" width="21.140625" style="6" customWidth="1"/>
    <col min="7" max="7" width="12.5703125" style="6" customWidth="1"/>
    <col min="8" max="8" width="18.140625" style="6" customWidth="1"/>
    <col min="9" max="16384" width="9.140625" style="6"/>
  </cols>
  <sheetData>
    <row r="1" spans="1:8" x14ac:dyDescent="0.25">
      <c r="E1" s="7"/>
      <c r="H1" s="7">
        <v>45951.999988425923</v>
      </c>
    </row>
    <row r="2" spans="1:8" x14ac:dyDescent="0.25">
      <c r="A2" s="8" t="s">
        <v>0</v>
      </c>
      <c r="B2" s="8"/>
      <c r="C2" s="9"/>
      <c r="D2" s="9"/>
      <c r="E2" s="10" t="s">
        <v>99</v>
      </c>
      <c r="F2" s="9"/>
      <c r="G2" s="9"/>
      <c r="H2" s="9"/>
    </row>
    <row r="3" spans="1:8" x14ac:dyDescent="0.25">
      <c r="A3" s="6" t="s">
        <v>7</v>
      </c>
      <c r="B3" s="6" t="s">
        <v>107</v>
      </c>
      <c r="C3" s="6" t="s">
        <v>8</v>
      </c>
      <c r="D3" s="6" t="s">
        <v>100</v>
      </c>
      <c r="E3" s="6" t="s">
        <v>101</v>
      </c>
      <c r="F3" s="6" t="s">
        <v>102</v>
      </c>
      <c r="G3" s="6" t="s">
        <v>106</v>
      </c>
      <c r="H3" s="6" t="s">
        <v>103</v>
      </c>
    </row>
    <row r="4" spans="1:8" ht="24.95" customHeight="1" x14ac:dyDescent="0.25">
      <c r="A4" s="6" t="s">
        <v>62</v>
      </c>
      <c r="C4" s="6" t="s">
        <v>38</v>
      </c>
      <c r="D4" s="11">
        <v>650</v>
      </c>
      <c r="E4" s="11">
        <v>0</v>
      </c>
      <c r="F4" s="12">
        <v>23188.13</v>
      </c>
      <c r="G4" s="11"/>
      <c r="H4" s="11">
        <v>23263.13</v>
      </c>
    </row>
    <row r="5" spans="1:8" ht="24.95" customHeight="1" x14ac:dyDescent="0.25">
      <c r="D5" s="11"/>
      <c r="E5" s="11"/>
      <c r="F5" s="12"/>
      <c r="G5" s="11"/>
      <c r="H5" s="11"/>
    </row>
    <row r="6" spans="1:8" ht="24.95" customHeight="1" x14ac:dyDescent="0.25">
      <c r="A6" s="6" t="s">
        <v>58</v>
      </c>
      <c r="B6" s="13" t="s">
        <v>110</v>
      </c>
      <c r="C6" s="6" t="s">
        <v>38</v>
      </c>
      <c r="D6" s="11">
        <v>950</v>
      </c>
      <c r="E6" s="11">
        <v>0</v>
      </c>
      <c r="F6" s="12">
        <v>35239.19</v>
      </c>
      <c r="G6" s="11"/>
      <c r="H6" s="11">
        <v>35314.19</v>
      </c>
    </row>
    <row r="7" spans="1:8" ht="24.95" customHeight="1" x14ac:dyDescent="0.25">
      <c r="B7" s="13"/>
      <c r="D7" s="11"/>
      <c r="E7" s="11"/>
      <c r="F7" s="12"/>
      <c r="G7" s="11"/>
      <c r="H7" s="11"/>
    </row>
    <row r="8" spans="1:8" ht="24.95" customHeight="1" x14ac:dyDescent="0.25">
      <c r="A8" s="6" t="s">
        <v>53</v>
      </c>
      <c r="B8" s="13"/>
      <c r="C8" s="6" t="s">
        <v>38</v>
      </c>
      <c r="D8" s="11">
        <v>850</v>
      </c>
      <c r="E8" s="11">
        <v>0</v>
      </c>
      <c r="F8" s="12">
        <v>30242.76</v>
      </c>
      <c r="G8" s="11"/>
      <c r="H8" s="11">
        <v>30317.759999999998</v>
      </c>
    </row>
    <row r="9" spans="1:8" ht="24.95" customHeight="1" x14ac:dyDescent="0.25">
      <c r="B9" s="13"/>
      <c r="D9" s="11"/>
      <c r="E9" s="11"/>
      <c r="F9" s="12"/>
      <c r="G9" s="11"/>
      <c r="H9" s="11"/>
    </row>
    <row r="10" spans="1:8" ht="24.95" customHeight="1" x14ac:dyDescent="0.25">
      <c r="A10" s="6" t="s">
        <v>25</v>
      </c>
      <c r="B10" s="13"/>
      <c r="C10" s="6" t="s">
        <v>18</v>
      </c>
      <c r="D10" s="11">
        <v>1150</v>
      </c>
      <c r="E10" s="11">
        <v>0</v>
      </c>
      <c r="F10" s="12">
        <v>45003.69</v>
      </c>
      <c r="G10" s="11"/>
      <c r="H10" s="11">
        <v>45078.69</v>
      </c>
    </row>
    <row r="11" spans="1:8" ht="24.95" customHeight="1" x14ac:dyDescent="0.25">
      <c r="B11" s="13"/>
      <c r="D11" s="11"/>
      <c r="E11" s="11"/>
      <c r="F11" s="12"/>
      <c r="G11" s="11"/>
      <c r="H11" s="11"/>
    </row>
    <row r="12" spans="1:8" ht="24.95" customHeight="1" x14ac:dyDescent="0.25">
      <c r="A12" s="6" t="s">
        <v>17</v>
      </c>
      <c r="B12" s="13"/>
      <c r="C12" s="6" t="s">
        <v>18</v>
      </c>
      <c r="D12" s="11">
        <v>950</v>
      </c>
      <c r="E12" s="11">
        <v>0</v>
      </c>
      <c r="F12" s="12">
        <v>36884.17</v>
      </c>
      <c r="G12" s="11"/>
      <c r="H12" s="11">
        <v>36959.17</v>
      </c>
    </row>
    <row r="13" spans="1:8" ht="24.95" customHeight="1" x14ac:dyDescent="0.25">
      <c r="B13" s="13"/>
      <c r="D13" s="11"/>
      <c r="E13" s="11"/>
      <c r="F13" s="11"/>
      <c r="G13" s="11"/>
      <c r="H13" s="11"/>
    </row>
    <row r="14" spans="1:8" ht="24.95" customHeight="1" x14ac:dyDescent="0.25">
      <c r="A14" s="6" t="s">
        <v>109</v>
      </c>
      <c r="B14" s="13"/>
      <c r="C14" s="6" t="s">
        <v>38</v>
      </c>
      <c r="D14" s="11">
        <v>650</v>
      </c>
      <c r="E14" s="11">
        <v>0</v>
      </c>
      <c r="F14" s="11">
        <v>23400.38</v>
      </c>
      <c r="G14" s="11"/>
      <c r="H14" s="11">
        <v>23475.38</v>
      </c>
    </row>
    <row r="15" spans="1:8" ht="24.95" customHeight="1" x14ac:dyDescent="0.25">
      <c r="A15" s="6" t="s">
        <v>109</v>
      </c>
      <c r="B15" s="13"/>
      <c r="C15" s="6" t="s">
        <v>18</v>
      </c>
      <c r="D15" s="11">
        <v>650</v>
      </c>
      <c r="E15" s="11">
        <v>0</v>
      </c>
      <c r="F15" s="11">
        <v>21127.63</v>
      </c>
      <c r="G15" s="12">
        <f>SUM(F14:F15)</f>
        <v>44528.01</v>
      </c>
      <c r="H15" s="11">
        <v>21202.63</v>
      </c>
    </row>
    <row r="16" spans="1:8" ht="24.95" customHeight="1" x14ac:dyDescent="0.25">
      <c r="B16" s="13"/>
      <c r="D16" s="11"/>
      <c r="E16" s="11"/>
      <c r="F16" s="11"/>
      <c r="G16" s="11"/>
      <c r="H16" s="11"/>
    </row>
    <row r="17" spans="1:8" ht="24.95" customHeight="1" x14ac:dyDescent="0.25">
      <c r="A17" s="6" t="s">
        <v>45</v>
      </c>
      <c r="B17" s="13"/>
      <c r="C17" s="6" t="s">
        <v>38</v>
      </c>
      <c r="D17" s="11">
        <v>750</v>
      </c>
      <c r="E17" s="11">
        <v>0</v>
      </c>
      <c r="F17" s="12">
        <v>26667.69</v>
      </c>
      <c r="G17" s="11"/>
      <c r="H17" s="11">
        <v>26742.69</v>
      </c>
    </row>
    <row r="18" spans="1:8" ht="24.95" customHeight="1" x14ac:dyDescent="0.25">
      <c r="B18" s="13"/>
      <c r="D18" s="11"/>
      <c r="E18" s="11"/>
      <c r="F18" s="12"/>
      <c r="G18" s="11"/>
      <c r="H18" s="11"/>
    </row>
    <row r="19" spans="1:8" ht="24.95" customHeight="1" x14ac:dyDescent="0.25">
      <c r="A19" s="6" t="s">
        <v>32</v>
      </c>
      <c r="B19" s="13"/>
      <c r="C19" s="6" t="s">
        <v>18</v>
      </c>
      <c r="D19" s="11">
        <v>500</v>
      </c>
      <c r="E19" s="11">
        <v>0</v>
      </c>
      <c r="F19" s="12">
        <v>15799.13</v>
      </c>
      <c r="G19" s="11"/>
      <c r="H19" s="11">
        <v>15874.13</v>
      </c>
    </row>
    <row r="20" spans="1:8" ht="24.95" customHeight="1" x14ac:dyDescent="0.25">
      <c r="B20" s="13"/>
      <c r="D20" s="11"/>
      <c r="E20" s="11"/>
      <c r="F20" s="12"/>
      <c r="G20" s="11"/>
      <c r="H20" s="11"/>
    </row>
    <row r="21" spans="1:8" ht="24.95" customHeight="1" x14ac:dyDescent="0.25">
      <c r="A21" s="6" t="s">
        <v>74</v>
      </c>
      <c r="B21" s="13" t="s">
        <v>111</v>
      </c>
      <c r="C21" s="6" t="s">
        <v>38</v>
      </c>
      <c r="D21" s="11">
        <v>650</v>
      </c>
      <c r="E21" s="11">
        <v>0</v>
      </c>
      <c r="F21" s="12">
        <v>24225.11</v>
      </c>
      <c r="G21" s="11"/>
      <c r="H21" s="11">
        <v>24300.11</v>
      </c>
    </row>
    <row r="22" spans="1:8" ht="24.95" customHeight="1" x14ac:dyDescent="0.25">
      <c r="D22" s="11"/>
      <c r="E22" s="11"/>
      <c r="F22" s="12"/>
      <c r="G22" s="11"/>
      <c r="H22" s="11"/>
    </row>
    <row r="23" spans="1:8" ht="24.95" customHeight="1" x14ac:dyDescent="0.25">
      <c r="A23" s="6" t="s">
        <v>108</v>
      </c>
      <c r="C23" s="6" t="s">
        <v>38</v>
      </c>
      <c r="D23" s="11">
        <v>1050</v>
      </c>
      <c r="E23" s="11">
        <v>0</v>
      </c>
      <c r="F23" s="12">
        <v>40265.89</v>
      </c>
      <c r="G23" s="11"/>
      <c r="H23" s="11">
        <v>40340.89</v>
      </c>
    </row>
    <row r="24" spans="1:8" ht="24.95" customHeight="1" x14ac:dyDescent="0.25">
      <c r="D24" s="11"/>
      <c r="E24" s="11"/>
      <c r="F24" s="12"/>
      <c r="G24" s="11"/>
      <c r="H24" s="11"/>
    </row>
    <row r="25" spans="1:8" ht="24.95" customHeight="1" x14ac:dyDescent="0.25">
      <c r="A25" s="6" t="s">
        <v>95</v>
      </c>
      <c r="C25" s="6" t="s">
        <v>18</v>
      </c>
      <c r="D25" s="11">
        <v>750</v>
      </c>
      <c r="E25" s="11">
        <v>0</v>
      </c>
      <c r="F25" s="12">
        <v>28832.69</v>
      </c>
      <c r="G25" s="11"/>
      <c r="H25" s="11">
        <v>28907.69</v>
      </c>
    </row>
    <row r="26" spans="1:8" ht="24.95" customHeight="1" x14ac:dyDescent="0.25">
      <c r="D26" s="11"/>
      <c r="E26" s="11"/>
      <c r="F26" s="12"/>
      <c r="G26" s="11"/>
      <c r="H26" s="11"/>
    </row>
    <row r="27" spans="1:8" ht="24.95" customHeight="1" x14ac:dyDescent="0.25">
      <c r="A27" s="6" t="s">
        <v>86</v>
      </c>
      <c r="C27" s="6" t="s">
        <v>18</v>
      </c>
      <c r="D27" s="11">
        <v>750</v>
      </c>
      <c r="E27" s="11">
        <v>0</v>
      </c>
      <c r="F27" s="12">
        <v>28464.05</v>
      </c>
      <c r="G27" s="11"/>
      <c r="H27" s="11">
        <v>28539.05</v>
      </c>
    </row>
    <row r="28" spans="1:8" ht="24.95" customHeight="1" x14ac:dyDescent="0.25">
      <c r="D28" s="11"/>
      <c r="E28" s="11"/>
      <c r="F28" s="12"/>
      <c r="G28" s="11"/>
      <c r="H28" s="11"/>
    </row>
    <row r="29" spans="1:8" ht="24.95" customHeight="1" x14ac:dyDescent="0.25">
      <c r="A29" s="6" t="s">
        <v>49</v>
      </c>
      <c r="C29" s="6" t="s">
        <v>38</v>
      </c>
      <c r="D29" s="11">
        <v>650</v>
      </c>
      <c r="E29" s="11">
        <v>0</v>
      </c>
      <c r="F29" s="12">
        <v>21268.25</v>
      </c>
      <c r="G29" s="11"/>
      <c r="H29" s="11">
        <v>21343.25</v>
      </c>
    </row>
    <row r="30" spans="1:8" ht="24.95" customHeight="1" x14ac:dyDescent="0.25">
      <c r="D30" s="11"/>
      <c r="E30" s="11"/>
      <c r="F30" s="12"/>
      <c r="G30" s="11"/>
      <c r="H30" s="11"/>
    </row>
    <row r="31" spans="1:8" ht="24.95" customHeight="1" x14ac:dyDescent="0.25">
      <c r="A31" s="6" t="s">
        <v>68</v>
      </c>
      <c r="C31" s="6" t="s">
        <v>38</v>
      </c>
      <c r="D31" s="11">
        <v>500</v>
      </c>
      <c r="E31" s="11">
        <v>0</v>
      </c>
      <c r="F31" s="12">
        <v>18672.14</v>
      </c>
      <c r="G31" s="11"/>
      <c r="H31" s="11">
        <v>18747.14</v>
      </c>
    </row>
    <row r="32" spans="1:8" ht="24.95" customHeight="1" x14ac:dyDescent="0.25">
      <c r="D32" s="11"/>
      <c r="E32" s="11"/>
      <c r="F32" s="12"/>
      <c r="G32" s="11"/>
      <c r="H32" s="11"/>
    </row>
    <row r="33" spans="1:8" ht="24.95" customHeight="1" x14ac:dyDescent="0.25">
      <c r="A33" s="6" t="s">
        <v>78</v>
      </c>
      <c r="C33" s="6" t="s">
        <v>38</v>
      </c>
      <c r="D33" s="11">
        <v>750</v>
      </c>
      <c r="E33" s="11">
        <v>0</v>
      </c>
      <c r="F33" s="12">
        <v>28875.63</v>
      </c>
      <c r="G33" s="11"/>
      <c r="H33" s="11">
        <v>28950.63</v>
      </c>
    </row>
    <row r="34" spans="1:8" ht="24.95" customHeight="1" x14ac:dyDescent="0.25">
      <c r="D34" s="11"/>
      <c r="E34" s="11"/>
      <c r="F34" s="12"/>
      <c r="G34" s="11"/>
      <c r="H34" s="11"/>
    </row>
    <row r="35" spans="1:8" ht="24.95" customHeight="1" x14ac:dyDescent="0.25">
      <c r="A35" s="6" t="s">
        <v>82</v>
      </c>
      <c r="C35" s="6" t="s">
        <v>18</v>
      </c>
      <c r="D35" s="11">
        <v>650</v>
      </c>
      <c r="E35" s="11">
        <v>0</v>
      </c>
      <c r="F35" s="12">
        <v>20788.439999999999</v>
      </c>
      <c r="G35" s="11"/>
      <c r="H35" s="11">
        <v>20863.439999999999</v>
      </c>
    </row>
    <row r="36" spans="1:8" x14ac:dyDescent="0.25">
      <c r="D36" s="11"/>
      <c r="E36" s="11"/>
      <c r="F36" s="11"/>
      <c r="G36" s="11"/>
      <c r="H36" s="11"/>
    </row>
    <row r="37" spans="1:8" x14ac:dyDescent="0.25">
      <c r="A37" s="14"/>
      <c r="B37" s="14"/>
      <c r="C37" s="14"/>
      <c r="D37" s="15">
        <f>SUM(D4:D35)</f>
        <v>12850</v>
      </c>
      <c r="E37" s="15">
        <f>SUM(E4:E35)</f>
        <v>0</v>
      </c>
      <c r="F37" s="15">
        <f>SUM(F4:F35)</f>
        <v>468944.97000000003</v>
      </c>
      <c r="G37" s="15"/>
      <c r="H37" s="15">
        <f>SUM(H4:H35)</f>
        <v>470219.97000000003</v>
      </c>
    </row>
  </sheetData>
  <mergeCells count="2">
    <mergeCell ref="A2:D2"/>
    <mergeCell ref="E2:H2"/>
  </mergeCells>
  <pageMargins left="0.7" right="0.7" top="0.75" bottom="0.75" header="0.3" footer="0.3"/>
  <pageSetup scale="7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ED23-3DF6-4424-8390-75F3197A823F}">
  <sheetPr>
    <pageSetUpPr fitToPage="1"/>
  </sheetPr>
  <dimension ref="A1:E24"/>
  <sheetViews>
    <sheetView workbookViewId="0">
      <selection activeCell="G9" sqref="G9"/>
    </sheetView>
  </sheetViews>
  <sheetFormatPr defaultRowHeight="15" x14ac:dyDescent="0.25"/>
  <cols>
    <col min="1" max="1" width="12.5703125" customWidth="1"/>
    <col min="3" max="3" width="22.5703125" customWidth="1"/>
    <col min="4" max="4" width="20" customWidth="1"/>
    <col min="5" max="5" width="29.5703125" customWidth="1"/>
  </cols>
  <sheetData>
    <row r="1" spans="1:5" ht="24.95" customHeight="1" x14ac:dyDescent="0.25">
      <c r="A1" t="s">
        <v>112</v>
      </c>
      <c r="E1" s="2">
        <v>45951</v>
      </c>
    </row>
    <row r="2" spans="1:5" ht="24.95" customHeight="1" x14ac:dyDescent="0.25">
      <c r="A2" s="3" t="s">
        <v>0</v>
      </c>
      <c r="B2" s="4"/>
      <c r="C2" s="4"/>
      <c r="D2" s="5" t="s">
        <v>104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ht="24.95" customHeight="1" x14ac:dyDescent="0.25">
      <c r="A5" t="s">
        <v>35</v>
      </c>
      <c r="B5" t="s">
        <v>22</v>
      </c>
      <c r="C5" t="s">
        <v>36</v>
      </c>
      <c r="E5" t="s">
        <v>37</v>
      </c>
    </row>
    <row r="6" spans="1:5" ht="24.95" customHeight="1" x14ac:dyDescent="0.25">
      <c r="A6" t="s">
        <v>56</v>
      </c>
      <c r="B6" t="s">
        <v>22</v>
      </c>
      <c r="C6" t="s">
        <v>57</v>
      </c>
      <c r="E6" t="s">
        <v>58</v>
      </c>
    </row>
    <row r="7" spans="1:5" ht="24.95" customHeight="1" x14ac:dyDescent="0.25">
      <c r="A7" t="s">
        <v>65</v>
      </c>
      <c r="B7" t="s">
        <v>22</v>
      </c>
      <c r="C7" t="s">
        <v>66</v>
      </c>
      <c r="D7" t="s">
        <v>67</v>
      </c>
      <c r="E7" t="s">
        <v>68</v>
      </c>
    </row>
    <row r="8" spans="1:5" ht="24.95" customHeight="1" x14ac:dyDescent="0.25">
      <c r="A8" t="s">
        <v>89</v>
      </c>
      <c r="B8" t="s">
        <v>22</v>
      </c>
      <c r="C8" t="s">
        <v>90</v>
      </c>
      <c r="E8" t="s">
        <v>91</v>
      </c>
    </row>
    <row r="9" spans="1:5" ht="24.95" customHeight="1" x14ac:dyDescent="0.25">
      <c r="A9" s="1"/>
      <c r="B9" s="1"/>
      <c r="C9" s="1" t="s">
        <v>105</v>
      </c>
      <c r="D9" s="1"/>
      <c r="E9" s="1"/>
    </row>
    <row r="14" spans="1:5" x14ac:dyDescent="0.25">
      <c r="A14" t="s">
        <v>113</v>
      </c>
      <c r="B14" s="16"/>
      <c r="C14" s="16"/>
      <c r="D14" s="16"/>
    </row>
    <row r="19" spans="1:4" x14ac:dyDescent="0.25">
      <c r="A19" t="s">
        <v>114</v>
      </c>
      <c r="B19" s="16"/>
      <c r="C19" s="16"/>
      <c r="D19" s="16"/>
    </row>
    <row r="24" spans="1:4" x14ac:dyDescent="0.25">
      <c r="A24" t="s">
        <v>115</v>
      </c>
      <c r="B24" s="16"/>
      <c r="C24" s="16"/>
    </row>
  </sheetData>
  <mergeCells count="2">
    <mergeCell ref="A2:C2"/>
    <mergeCell ref="D2:E2"/>
  </mergeCells>
  <pageMargins left="0.7" right="0.7" top="0.75" bottom="0.75" header="0.3" footer="0.3"/>
  <pageSetup scale="9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2025-10-21T18:29:55Z</cp:lastPrinted>
  <dcterms:created xsi:type="dcterms:W3CDTF">2025-10-21T18:06:24Z</dcterms:created>
  <dcterms:modified xsi:type="dcterms:W3CDTF">2025-10-21T18:58:01Z</dcterms:modified>
</cp:coreProperties>
</file>