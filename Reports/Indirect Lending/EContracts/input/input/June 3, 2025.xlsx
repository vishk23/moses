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lex\Funding Worksheets\"/>
    </mc:Choice>
  </mc:AlternateContent>
  <xr:revisionPtr revIDLastSave="0" documentId="8_{661F2D7E-3396-4DAC-9729-2F2D218A1548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Funding Worksheet - Folder Vers" sheetId="1" r:id="rId1"/>
    <sheet name="Funding Worksheet - ACH" sheetId="2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3" i="2" l="1"/>
  <c r="G28" i="2"/>
  <c r="G19" i="2"/>
  <c r="H39" i="2"/>
  <c r="F39" i="2"/>
  <c r="E39" i="2"/>
  <c r="D39" i="2"/>
  <c r="H23" i="1"/>
</calcChain>
</file>

<file path=xl/sharedStrings.xml><?xml version="1.0" encoding="utf-8"?>
<sst xmlns="http://schemas.openxmlformats.org/spreadsheetml/2006/main" count="241" uniqueCount="134">
  <si>
    <t>Bristol County Savings Bank</t>
  </si>
  <si>
    <t>Funding Worksheet - Folder Version</t>
  </si>
  <si>
    <t>Account Number</t>
  </si>
  <si>
    <t>Portal</t>
  </si>
  <si>
    <t>Contract Type</t>
  </si>
  <si>
    <t>Applicant Name</t>
  </si>
  <si>
    <t>Co-Applicant Name</t>
  </si>
  <si>
    <t>Dealer Name</t>
  </si>
  <si>
    <t>Funded by</t>
  </si>
  <si>
    <t>Amount Financed</t>
  </si>
  <si>
    <t>Applicant Email</t>
  </si>
  <si>
    <t>Co-Applicant Email</t>
  </si>
  <si>
    <t>App MMN</t>
  </si>
  <si>
    <t>Co-App MMN</t>
  </si>
  <si>
    <t>Route One</t>
  </si>
  <si>
    <t>E Contract</t>
  </si>
  <si>
    <t>Duhamel, Roberta</t>
  </si>
  <si>
    <t>Tasca Ford</t>
  </si>
  <si>
    <t>Marlene Braganca</t>
  </si>
  <si>
    <t>robertaduhamel@gmail.com</t>
  </si>
  <si>
    <t>Miller</t>
  </si>
  <si>
    <t>NICHOLLS, PAUL</t>
  </si>
  <si>
    <t>BARTLETT, REBECCA</t>
  </si>
  <si>
    <t>Wareham Ford</t>
  </si>
  <si>
    <t>BEARLAX222@GMAIL.COM</t>
  </si>
  <si>
    <t>bearlax222@gmail.com</t>
  </si>
  <si>
    <t>Mitton</t>
  </si>
  <si>
    <t>Rood</t>
  </si>
  <si>
    <t>WARREN, JUSTIN</t>
  </si>
  <si>
    <t>Alden Buick Pontiac GMC</t>
  </si>
  <si>
    <t>justinwarren311@gmail.com</t>
  </si>
  <si>
    <t>LAVOIE</t>
  </si>
  <si>
    <t>EVANGELHO, JOYCE</t>
  </si>
  <si>
    <t>Colonial South Chevrolet</t>
  </si>
  <si>
    <t>joyceevangelho@gmail.com</t>
  </si>
  <si>
    <t>Hitt</t>
  </si>
  <si>
    <t>Marchetti, Jessica</t>
  </si>
  <si>
    <t>Salvadore Chrysler</t>
  </si>
  <si>
    <t>marchettijessica1@gmail.com</t>
  </si>
  <si>
    <t>Rice</t>
  </si>
  <si>
    <t>DealerTrack</t>
  </si>
  <si>
    <t>DROWNE, CINDRA</t>
  </si>
  <si>
    <t>Priority Automotive LLC</t>
  </si>
  <si>
    <t>CLDROWNE@GMAIL.COM</t>
  </si>
  <si>
    <t>MCLEAN</t>
  </si>
  <si>
    <t>AUSTIN, KEITH</t>
  </si>
  <si>
    <t>Planet Subaru</t>
  </si>
  <si>
    <t>KHAUSTINJR@GMAIL.COM</t>
  </si>
  <si>
    <t>Mitchell</t>
  </si>
  <si>
    <t>151188490</t>
  </si>
  <si>
    <t>Paper</t>
  </si>
  <si>
    <t>ZAJAC, JOHN</t>
  </si>
  <si>
    <t>Planet Automotive Sales LLC</t>
  </si>
  <si>
    <t>Neli Oliveira</t>
  </si>
  <si>
    <t>jzajac02@gmail.com</t>
  </si>
  <si>
    <t>CONNOR</t>
  </si>
  <si>
    <t>TOMBS, HEATHER</t>
  </si>
  <si>
    <t>Paul Masse Buick GMC South, Inc</t>
  </si>
  <si>
    <t>summerpaddle88@gmail.com</t>
  </si>
  <si>
    <t>JAMES</t>
  </si>
  <si>
    <t>GUBERSKI, STEPHEN</t>
  </si>
  <si>
    <t>Rachel Gorham</t>
  </si>
  <si>
    <t>stephen@guberski.com</t>
  </si>
  <si>
    <t>DUCLOS</t>
  </si>
  <si>
    <t>RONDEAU, LINDA</t>
  </si>
  <si>
    <t>Coastal Volkswagon</t>
  </si>
  <si>
    <t>LINDARONDEAU6@GMAIL.COM</t>
  </si>
  <si>
    <t>STAFFORD</t>
  </si>
  <si>
    <t>PRETE, JEFFERY</t>
  </si>
  <si>
    <t>JPRETE@COX.NET</t>
  </si>
  <si>
    <t>MATHIEU</t>
  </si>
  <si>
    <t>CASWELL, BRIAN</t>
  </si>
  <si>
    <t>Toyota of Dartmouth</t>
  </si>
  <si>
    <t>KLIER</t>
  </si>
  <si>
    <t>BODDIE, DOREEN</t>
  </si>
  <si>
    <t>Herb Chambers Lexus of Hingham</t>
  </si>
  <si>
    <t>DBODDIE99@YAHOO.COM</t>
  </si>
  <si>
    <t>LEWIS</t>
  </si>
  <si>
    <t>SIDDIQUI, MOHAMMED</t>
  </si>
  <si>
    <t>Metro Honda</t>
  </si>
  <si>
    <t>ZIA.INVESTING@GMAIL.COM</t>
  </si>
  <si>
    <t>SULTANA</t>
  </si>
  <si>
    <t>CROWLEY, IAN</t>
  </si>
  <si>
    <t>T F Murphy Enterprises Inc</t>
  </si>
  <si>
    <t>Hawes</t>
  </si>
  <si>
    <t>GREAT HARBOR DIGITAL, INC</t>
  </si>
  <si>
    <t>151188630</t>
  </si>
  <si>
    <t>ILTERIS, MATTHEW</t>
  </si>
  <si>
    <t>NARSA AMC LLC d/b/a</t>
  </si>
  <si>
    <t>matt.ilteris@gmail.com</t>
  </si>
  <si>
    <t>CALLAHAN</t>
  </si>
  <si>
    <t>ELLIOTT, LAURA</t>
  </si>
  <si>
    <t>ELLIOTT, JOSEPH</t>
  </si>
  <si>
    <t>LAURA.ELLIOTT8989@GMAIL.COM</t>
  </si>
  <si>
    <t>TAYLOR</t>
  </si>
  <si>
    <t>STONER</t>
  </si>
  <si>
    <t>LILLEY, BROOKE</t>
  </si>
  <si>
    <t>Mastria Mazda</t>
  </si>
  <si>
    <t>BROOKELILLEY3@GMAIL.COM</t>
  </si>
  <si>
    <t>UMILE</t>
  </si>
  <si>
    <t># 19</t>
  </si>
  <si>
    <t>Funding Worksheet - ACH Version</t>
  </si>
  <si>
    <t>Dealer Flat</t>
  </si>
  <si>
    <t>Dealer Split</t>
  </si>
  <si>
    <t>Net to Dealer</t>
  </si>
  <si>
    <t>Contracted Amount Financed</t>
  </si>
  <si>
    <t>Column1</t>
  </si>
  <si>
    <t>Column2</t>
  </si>
  <si>
    <t>Funding Worksheet - Signoff Version</t>
  </si>
  <si>
    <t># 2</t>
  </si>
  <si>
    <t>Original Notes Delivered</t>
  </si>
  <si>
    <t>Delivered by:</t>
  </si>
  <si>
    <t>Received by:</t>
  </si>
  <si>
    <t>Date Signed:</t>
  </si>
  <si>
    <t>Auto Mall coll-NARSA AMC LLC d/b/a</t>
  </si>
  <si>
    <t>5900-6390</t>
  </si>
  <si>
    <t>3376-3754</t>
  </si>
  <si>
    <t>151188226 E</t>
  </si>
  <si>
    <t>151188325 E</t>
  </si>
  <si>
    <t>151188333 E</t>
  </si>
  <si>
    <t>151188367 E</t>
  </si>
  <si>
    <t>151188375 E</t>
  </si>
  <si>
    <t>151188440 E</t>
  </si>
  <si>
    <t>151188474 E</t>
  </si>
  <si>
    <t>151188507 E</t>
  </si>
  <si>
    <t>151188523 E</t>
  </si>
  <si>
    <t>151188531 E</t>
  </si>
  <si>
    <t>151188549 E</t>
  </si>
  <si>
    <t>151188557 E</t>
  </si>
  <si>
    <t>151188565 E</t>
  </si>
  <si>
    <t>151188573 E</t>
  </si>
  <si>
    <t>151188581 E</t>
  </si>
  <si>
    <t>151188648 E</t>
  </si>
  <si>
    <t>151188664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</si>
</sst>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5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sz val="12"/>
      <color indexed="8"/>
      <name val="Aptos Narrow"/>
      <family val="2"/>
      <scheme val="minor"/>
    </font>
    <font>
      <b/>
      <sz val="12"/>
      <name val="Calibri"/>
      <family val="2"/>
    </font>
    <font>
      <b/>
      <sz val="12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  <xf numFmtId="14" fontId="0" fillId="0" borderId="0" xfId="0" applyNumberFormat="1"/>
    <xf numFmtId="0" fontId="0" fillId="0" borderId="1" xfId="0" applyBorder="1"/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3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right"/>
    </xf>
    <xf numFmtId="7" fontId="2" fillId="0" borderId="0" xfId="0" applyNumberFormat="1" applyFont="1"/>
    <xf numFmtId="7" fontId="4" fillId="0" borderId="0" xfId="0" applyNumberFormat="1" applyFont="1"/>
    <xf numFmtId="0" fontId="3" fillId="0" borderId="0" xfId="0" applyFont="1"/>
    <xf numFmtId="7" fontId="3" fillId="0" borderId="0" xfId="0" applyNumberFormat="1" applyFont="1"/>
    <xf numFmtId="0" fontId="4" fillId="0" borderId="0" xfId="0" applyFont="1" applyAlignment="1">
      <alignment horizontal="center"/>
    </xf>
    <xf numFmtId="164" fontId="2" fillId="0" borderId="0" xfId="0" applyNumberFormat="1" applyFont="1" applyAlignment="1">
      <alignment horizontal="right"/>
    </xf>
    <xf numFmtId="0" fontId="2" fillId="0" borderId="0" xfId="0" applyFont="1" applyAlignment="1"/>
    <xf numFmtId="0" fontId="2" fillId="0" borderId="0" xfId="0" applyFont="1" applyAlignment="1">
      <alignment wrapText="1"/>
    </xf>
  </cellXfs>
  <cellStyles count="1">
    <cellStyle name="Normal" xfId="0" builtinId="0"/>
  </cellStyles>
  <dxfs count="26"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  <numFmt numFmtId="11" formatCode="&quot;$&quot;#,##0.00_);\(&quot;$&quot;#,##0.00\)"/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L23" headerRowDxfId="2" dataDxfId="0" totalsRowDxfId="1">
  <tableColumns count="12">
    <tableColumn id="1" xr3:uid="{00000000-0010-0000-0000-000001000000}" name="Account Number" dataDxfId="14"/>
    <tableColumn id="2" xr3:uid="{00000000-0010-0000-0000-000002000000}" name="Portal" dataDxfId="13"/>
    <tableColumn id="3" xr3:uid="{00000000-0010-0000-0000-000003000000}" name="Contract Type" dataDxfId="12"/>
    <tableColumn id="4" xr3:uid="{00000000-0010-0000-0000-000004000000}" name="Applicant Name" dataDxfId="11"/>
    <tableColumn id="5" xr3:uid="{00000000-0010-0000-0000-000005000000}" name="Co-Applicant Name" dataDxfId="10"/>
    <tableColumn id="6" xr3:uid="{00000000-0010-0000-0000-000006000000}" name="Dealer Name" dataDxfId="9"/>
    <tableColumn id="7" xr3:uid="{00000000-0010-0000-0000-000007000000}" name="Funded by" dataDxfId="8"/>
    <tableColumn id="8" xr3:uid="{00000000-0010-0000-0000-000008000000}" name="Amount Financed" dataDxfId="7"/>
    <tableColumn id="9" xr3:uid="{00000000-0010-0000-0000-000009000000}" name="Applicant Email" dataDxfId="6"/>
    <tableColumn id="10" xr3:uid="{00000000-0010-0000-0000-00000A000000}" name="Co-Applicant Email" dataDxfId="5"/>
    <tableColumn id="11" xr3:uid="{00000000-0010-0000-0000-00000B000000}" name="App MMN" dataDxfId="4"/>
    <tableColumn id="12" xr3:uid="{00000000-0010-0000-0000-00000C000000}" name="Co-App MMN" dataDxfId="3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7206336-45DE-4284-820B-1E7D2BAEE676}" name="Table_14" displayName="Table_14" ref="A3:H39" headerRowDxfId="17" dataDxfId="15" totalsRowDxfId="16">
  <sortState xmlns:xlrd2="http://schemas.microsoft.com/office/spreadsheetml/2017/richdata2" ref="A4:H39">
    <sortCondition ref="A4:A39"/>
  </sortState>
  <tableColumns count="8">
    <tableColumn id="1" xr3:uid="{D90CDD41-84DD-463B-9E26-F1CC09510750}" name="Dealer Name" dataDxfId="25"/>
    <tableColumn id="7" xr3:uid="{A3433DA8-B918-4377-8103-B05250D867A6}" name="Column1" dataDxfId="24"/>
    <tableColumn id="2" xr3:uid="{949198B4-1E5D-4293-B5EA-1AF77FE9DD7C}" name="Funded by" dataDxfId="23"/>
    <tableColumn id="3" xr3:uid="{6147B05E-DB20-4E45-9E75-08D187FE990D}" name="Dealer Flat" dataDxfId="22"/>
    <tableColumn id="4" xr3:uid="{6ECD7FF3-35A7-4972-895D-71534321A7F7}" name="Dealer Split" dataDxfId="21"/>
    <tableColumn id="5" xr3:uid="{5C70D7A0-ED13-4536-B8AC-CA175F7CB8F2}" name="Net to Dealer" dataDxfId="20"/>
    <tableColumn id="8" xr3:uid="{9C4CADA8-080A-4F87-85C4-1B98131ADE5C}" name="Column2" dataDxfId="19"/>
    <tableColumn id="6" xr3:uid="{81927541-63FC-49D3-B7E4-08F2B156C86B}" name="Contracted Amount Financed" dataDxfId="18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0F710EC-0DBA-4550-A4AB-948D75C4299A}" name="Table_16" displayName="Table_16" ref="A3:E6">
  <tableColumns count="5">
    <tableColumn id="1" xr3:uid="{C357567F-FAAB-4A78-872D-8D8EE55E2D8D}" name="Account Number"/>
    <tableColumn id="2" xr3:uid="{6625F152-AE95-4E39-A465-24F63CD28C62}" name="Contract Type"/>
    <tableColumn id="3" xr3:uid="{44B1367D-2742-46F1-BE3A-1D9E5A3EFBB0}" name="Applicant Name"/>
    <tableColumn id="4" xr3:uid="{01CEAE65-1053-483A-83C4-AECBF182D428}" name="Co-Applicant Name"/>
    <tableColumn id="5" xr3:uid="{C300CF35-338F-444A-96F0-115B37456096}" name="Dealer Na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23"/>
  <sheetViews>
    <sheetView tabSelected="1" workbookViewId="0">
      <pane ySplit="3" topLeftCell="A4" activePane="bottomLeft" state="frozen"/>
      <selection pane="bottomLeft" activeCell="D4" sqref="D4:E22"/>
    </sheetView>
  </sheetViews>
  <sheetFormatPr defaultRowHeight="15.75" x14ac:dyDescent="0.25"/>
  <cols>
    <col min="1" max="1" width="14.28515625" style="8" customWidth="1"/>
    <col min="2" max="2" width="12.140625" style="8" bestFit="1" customWidth="1"/>
    <col min="3" max="3" width="14" style="8" bestFit="1" customWidth="1"/>
    <col min="4" max="4" width="22" style="8" bestFit="1" customWidth="1"/>
    <col min="5" max="5" width="20.140625" style="8" bestFit="1" customWidth="1"/>
    <col min="6" max="6" width="32.5703125" style="8" bestFit="1" customWidth="1"/>
    <col min="7" max="7" width="17.7109375" style="8" bestFit="1" customWidth="1"/>
    <col min="8" max="8" width="17.140625" style="8" bestFit="1" customWidth="1"/>
    <col min="9" max="9" width="32.42578125" style="8" bestFit="1" customWidth="1"/>
    <col min="10" max="10" width="22.85546875" style="8" bestFit="1" customWidth="1"/>
    <col min="11" max="11" width="12.5703125" style="8" bestFit="1" customWidth="1"/>
    <col min="12" max="12" width="10" style="8" customWidth="1"/>
    <col min="13" max="16384" width="9.140625" style="8"/>
  </cols>
  <sheetData>
    <row r="1" spans="1:12" x14ac:dyDescent="0.25">
      <c r="K1" s="18">
        <v>45811</v>
      </c>
      <c r="L1" s="19"/>
    </row>
    <row r="2" spans="1:12" x14ac:dyDescent="0.25">
      <c r="A2" s="10" t="s">
        <v>0</v>
      </c>
      <c r="B2" s="11"/>
      <c r="C2" s="11"/>
      <c r="D2" s="11"/>
      <c r="E2" s="11"/>
      <c r="F2" s="11"/>
      <c r="G2" s="12" t="s">
        <v>1</v>
      </c>
      <c r="H2" s="11"/>
      <c r="I2" s="11"/>
      <c r="J2" s="11"/>
      <c r="K2" s="11"/>
      <c r="L2" s="11"/>
    </row>
    <row r="3" spans="1:12" x14ac:dyDescent="0.25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8" t="s">
        <v>9</v>
      </c>
      <c r="I3" s="8" t="s">
        <v>10</v>
      </c>
      <c r="J3" s="8" t="s">
        <v>11</v>
      </c>
      <c r="K3" s="8" t="s">
        <v>12</v>
      </c>
      <c r="L3" s="8" t="s">
        <v>13</v>
      </c>
    </row>
    <row r="4" spans="1:12" ht="33" customHeight="1" x14ac:dyDescent="0.25">
      <c r="A4" s="8" t="s">
        <v>117</v>
      </c>
      <c r="B4" s="8" t="s">
        <v>14</v>
      </c>
      <c r="C4" s="8" t="s">
        <v>15</v>
      </c>
      <c r="D4" s="8" t="s">
        <v>16</v>
      </c>
      <c r="F4" s="8" t="s">
        <v>17</v>
      </c>
      <c r="G4" s="8" t="s">
        <v>18</v>
      </c>
      <c r="H4" s="13">
        <v>37242.480000000003</v>
      </c>
      <c r="I4" s="8" t="s">
        <v>19</v>
      </c>
      <c r="K4" s="8" t="s">
        <v>20</v>
      </c>
    </row>
    <row r="5" spans="1:12" ht="33" customHeight="1" x14ac:dyDescent="0.25">
      <c r="A5" s="8" t="s">
        <v>118</v>
      </c>
      <c r="B5" s="8" t="s">
        <v>14</v>
      </c>
      <c r="C5" s="8" t="s">
        <v>15</v>
      </c>
      <c r="D5" s="8" t="s">
        <v>21</v>
      </c>
      <c r="E5" s="8" t="s">
        <v>22</v>
      </c>
      <c r="F5" s="8" t="s">
        <v>23</v>
      </c>
      <c r="G5" s="8" t="s">
        <v>18</v>
      </c>
      <c r="H5" s="13">
        <v>20250.48</v>
      </c>
      <c r="I5" s="8" t="s">
        <v>24</v>
      </c>
      <c r="J5" s="8" t="s">
        <v>25</v>
      </c>
      <c r="K5" s="8" t="s">
        <v>26</v>
      </c>
      <c r="L5" s="8" t="s">
        <v>27</v>
      </c>
    </row>
    <row r="6" spans="1:12" ht="33" customHeight="1" x14ac:dyDescent="0.25">
      <c r="A6" s="8" t="s">
        <v>119</v>
      </c>
      <c r="B6" s="8" t="s">
        <v>14</v>
      </c>
      <c r="C6" s="8" t="s">
        <v>15</v>
      </c>
      <c r="D6" s="8" t="s">
        <v>28</v>
      </c>
      <c r="F6" s="8" t="s">
        <v>29</v>
      </c>
      <c r="G6" s="8" t="s">
        <v>18</v>
      </c>
      <c r="H6" s="13">
        <v>31235.81</v>
      </c>
      <c r="I6" s="8" t="s">
        <v>30</v>
      </c>
      <c r="K6" s="8" t="s">
        <v>31</v>
      </c>
    </row>
    <row r="7" spans="1:12" ht="33" customHeight="1" x14ac:dyDescent="0.25">
      <c r="A7" s="8" t="s">
        <v>120</v>
      </c>
      <c r="B7" s="8" t="s">
        <v>14</v>
      </c>
      <c r="C7" s="8" t="s">
        <v>15</v>
      </c>
      <c r="D7" s="8" t="s">
        <v>32</v>
      </c>
      <c r="F7" s="8" t="s">
        <v>33</v>
      </c>
      <c r="G7" s="8" t="s">
        <v>18</v>
      </c>
      <c r="H7" s="13">
        <v>26462.13</v>
      </c>
      <c r="I7" s="8" t="s">
        <v>34</v>
      </c>
      <c r="K7" s="8" t="s">
        <v>35</v>
      </c>
    </row>
    <row r="8" spans="1:12" ht="33" customHeight="1" x14ac:dyDescent="0.25">
      <c r="A8" s="8" t="s">
        <v>121</v>
      </c>
      <c r="B8" s="8" t="s">
        <v>14</v>
      </c>
      <c r="C8" s="8" t="s">
        <v>15</v>
      </c>
      <c r="D8" s="8" t="s">
        <v>36</v>
      </c>
      <c r="F8" s="8" t="s">
        <v>37</v>
      </c>
      <c r="G8" s="8" t="s">
        <v>18</v>
      </c>
      <c r="H8" s="13">
        <v>38496.19</v>
      </c>
      <c r="I8" s="8" t="s">
        <v>38</v>
      </c>
      <c r="K8" s="8" t="s">
        <v>39</v>
      </c>
    </row>
    <row r="9" spans="1:12" ht="33" customHeight="1" x14ac:dyDescent="0.25">
      <c r="A9" s="8" t="s">
        <v>122</v>
      </c>
      <c r="B9" s="8" t="s">
        <v>40</v>
      </c>
      <c r="C9" s="8" t="s">
        <v>15</v>
      </c>
      <c r="D9" s="8" t="s">
        <v>41</v>
      </c>
      <c r="F9" s="8" t="s">
        <v>42</v>
      </c>
      <c r="G9" s="8" t="s">
        <v>18</v>
      </c>
      <c r="H9" s="13">
        <v>22595.11</v>
      </c>
      <c r="I9" s="8" t="s">
        <v>43</v>
      </c>
      <c r="K9" s="8" t="s">
        <v>44</v>
      </c>
    </row>
    <row r="10" spans="1:12" ht="33" customHeight="1" x14ac:dyDescent="0.25">
      <c r="A10" s="8" t="s">
        <v>123</v>
      </c>
      <c r="B10" s="8" t="s">
        <v>40</v>
      </c>
      <c r="C10" s="8" t="s">
        <v>15</v>
      </c>
      <c r="D10" s="8" t="s">
        <v>45</v>
      </c>
      <c r="F10" s="8" t="s">
        <v>46</v>
      </c>
      <c r="G10" s="8" t="s">
        <v>18</v>
      </c>
      <c r="H10" s="13">
        <v>29000</v>
      </c>
      <c r="I10" s="8" t="s">
        <v>47</v>
      </c>
      <c r="K10" s="8" t="s">
        <v>48</v>
      </c>
    </row>
    <row r="11" spans="1:12" ht="33" customHeight="1" x14ac:dyDescent="0.25">
      <c r="A11" s="8" t="s">
        <v>49</v>
      </c>
      <c r="B11" s="8" t="s">
        <v>40</v>
      </c>
      <c r="C11" s="8" t="s">
        <v>50</v>
      </c>
      <c r="D11" s="8" t="s">
        <v>51</v>
      </c>
      <c r="F11" s="8" t="s">
        <v>52</v>
      </c>
      <c r="G11" s="8" t="s">
        <v>53</v>
      </c>
      <c r="H11" s="13">
        <v>45377.88</v>
      </c>
      <c r="I11" s="8" t="s">
        <v>54</v>
      </c>
      <c r="K11" s="8" t="s">
        <v>55</v>
      </c>
    </row>
    <row r="12" spans="1:12" ht="33" customHeight="1" x14ac:dyDescent="0.25">
      <c r="A12" s="8" t="s">
        <v>124</v>
      </c>
      <c r="B12" s="8" t="s">
        <v>14</v>
      </c>
      <c r="C12" s="8" t="s">
        <v>15</v>
      </c>
      <c r="D12" s="8" t="s">
        <v>56</v>
      </c>
      <c r="F12" s="8" t="s">
        <v>57</v>
      </c>
      <c r="G12" s="8" t="s">
        <v>53</v>
      </c>
      <c r="H12" s="13">
        <v>28579.51</v>
      </c>
      <c r="I12" s="8" t="s">
        <v>58</v>
      </c>
      <c r="K12" s="8" t="s">
        <v>59</v>
      </c>
    </row>
    <row r="13" spans="1:12" ht="33" customHeight="1" x14ac:dyDescent="0.25">
      <c r="A13" s="8" t="s">
        <v>125</v>
      </c>
      <c r="B13" s="8" t="s">
        <v>14</v>
      </c>
      <c r="C13" s="8" t="s">
        <v>15</v>
      </c>
      <c r="D13" s="8" t="s">
        <v>60</v>
      </c>
      <c r="F13" s="8" t="s">
        <v>37</v>
      </c>
      <c r="G13" s="8" t="s">
        <v>61</v>
      </c>
      <c r="H13" s="13">
        <v>32294.400000000001</v>
      </c>
      <c r="I13" s="8" t="s">
        <v>62</v>
      </c>
      <c r="K13" s="8" t="s">
        <v>63</v>
      </c>
    </row>
    <row r="14" spans="1:12" ht="33" customHeight="1" x14ac:dyDescent="0.25">
      <c r="A14" s="8" t="s">
        <v>126</v>
      </c>
      <c r="B14" s="8" t="s">
        <v>40</v>
      </c>
      <c r="C14" s="8" t="s">
        <v>15</v>
      </c>
      <c r="D14" s="8" t="s">
        <v>64</v>
      </c>
      <c r="F14" s="8" t="s">
        <v>65</v>
      </c>
      <c r="G14" s="8" t="s">
        <v>61</v>
      </c>
      <c r="H14" s="13">
        <v>26097.5</v>
      </c>
      <c r="I14" s="8" t="s">
        <v>66</v>
      </c>
      <c r="K14" s="8" t="s">
        <v>67</v>
      </c>
    </row>
    <row r="15" spans="1:12" ht="33" customHeight="1" x14ac:dyDescent="0.25">
      <c r="A15" s="8" t="s">
        <v>127</v>
      </c>
      <c r="B15" s="8" t="s">
        <v>14</v>
      </c>
      <c r="C15" s="8" t="s">
        <v>15</v>
      </c>
      <c r="D15" s="8" t="s">
        <v>68</v>
      </c>
      <c r="F15" s="8" t="s">
        <v>17</v>
      </c>
      <c r="G15" s="8" t="s">
        <v>61</v>
      </c>
      <c r="H15" s="13">
        <v>27045.95</v>
      </c>
      <c r="I15" s="8" t="s">
        <v>69</v>
      </c>
      <c r="K15" s="8" t="s">
        <v>70</v>
      </c>
    </row>
    <row r="16" spans="1:12" ht="33" customHeight="1" x14ac:dyDescent="0.25">
      <c r="A16" s="8" t="s">
        <v>128</v>
      </c>
      <c r="B16" s="8" t="s">
        <v>14</v>
      </c>
      <c r="C16" s="8" t="s">
        <v>15</v>
      </c>
      <c r="D16" s="8" t="s">
        <v>71</v>
      </c>
      <c r="F16" s="8" t="s">
        <v>72</v>
      </c>
      <c r="G16" s="8" t="s">
        <v>61</v>
      </c>
      <c r="H16" s="13">
        <v>37739.56</v>
      </c>
      <c r="K16" s="8" t="s">
        <v>73</v>
      </c>
    </row>
    <row r="17" spans="1:12" ht="33" customHeight="1" x14ac:dyDescent="0.25">
      <c r="A17" s="8" t="s">
        <v>129</v>
      </c>
      <c r="B17" s="8" t="s">
        <v>14</v>
      </c>
      <c r="C17" s="8" t="s">
        <v>15</v>
      </c>
      <c r="D17" s="8" t="s">
        <v>74</v>
      </c>
      <c r="F17" s="8" t="s">
        <v>75</v>
      </c>
      <c r="G17" s="8" t="s">
        <v>61</v>
      </c>
      <c r="H17" s="13">
        <v>46216.94</v>
      </c>
      <c r="I17" s="8" t="s">
        <v>76</v>
      </c>
      <c r="K17" s="8" t="s">
        <v>77</v>
      </c>
    </row>
    <row r="18" spans="1:12" ht="33" customHeight="1" x14ac:dyDescent="0.25">
      <c r="A18" s="8" t="s">
        <v>130</v>
      </c>
      <c r="B18" s="8" t="s">
        <v>40</v>
      </c>
      <c r="C18" s="8" t="s">
        <v>15</v>
      </c>
      <c r="D18" s="8" t="s">
        <v>78</v>
      </c>
      <c r="F18" s="8" t="s">
        <v>79</v>
      </c>
      <c r="G18" s="8" t="s">
        <v>61</v>
      </c>
      <c r="H18" s="13">
        <v>42434.8</v>
      </c>
      <c r="I18" s="8" t="s">
        <v>80</v>
      </c>
      <c r="K18" s="8" t="s">
        <v>81</v>
      </c>
    </row>
    <row r="19" spans="1:12" ht="33" customHeight="1" x14ac:dyDescent="0.25">
      <c r="A19" s="8" t="s">
        <v>131</v>
      </c>
      <c r="B19" s="8" t="s">
        <v>14</v>
      </c>
      <c r="C19" s="8" t="s">
        <v>15</v>
      </c>
      <c r="D19" s="8" t="s">
        <v>82</v>
      </c>
      <c r="E19" s="20" t="s">
        <v>85</v>
      </c>
      <c r="F19" s="8" t="s">
        <v>83</v>
      </c>
      <c r="G19" s="8" t="s">
        <v>18</v>
      </c>
      <c r="H19" s="13">
        <v>38270.879999999997</v>
      </c>
      <c r="K19" s="8" t="s">
        <v>84</v>
      </c>
    </row>
    <row r="20" spans="1:12" ht="33" customHeight="1" x14ac:dyDescent="0.25">
      <c r="A20" s="8" t="s">
        <v>86</v>
      </c>
      <c r="B20" s="8" t="s">
        <v>40</v>
      </c>
      <c r="C20" s="8" t="s">
        <v>50</v>
      </c>
      <c r="D20" s="8" t="s">
        <v>87</v>
      </c>
      <c r="F20" s="8" t="s">
        <v>88</v>
      </c>
      <c r="G20" s="8" t="s">
        <v>53</v>
      </c>
      <c r="H20" s="13">
        <v>31940.94</v>
      </c>
      <c r="I20" s="8" t="s">
        <v>89</v>
      </c>
      <c r="K20" s="8" t="s">
        <v>90</v>
      </c>
    </row>
    <row r="21" spans="1:12" ht="33" customHeight="1" x14ac:dyDescent="0.25">
      <c r="A21" s="8" t="s">
        <v>132</v>
      </c>
      <c r="B21" s="8" t="s">
        <v>14</v>
      </c>
      <c r="C21" s="8" t="s">
        <v>15</v>
      </c>
      <c r="D21" s="8" t="s">
        <v>91</v>
      </c>
      <c r="E21" s="8" t="s">
        <v>92</v>
      </c>
      <c r="F21" s="8" t="s">
        <v>57</v>
      </c>
      <c r="G21" s="8" t="s">
        <v>61</v>
      </c>
      <c r="H21" s="13">
        <v>51289.07</v>
      </c>
      <c r="I21" s="8" t="s">
        <v>93</v>
      </c>
      <c r="K21" s="8" t="s">
        <v>94</v>
      </c>
      <c r="L21" s="8" t="s">
        <v>95</v>
      </c>
    </row>
    <row r="22" spans="1:12" ht="33" customHeight="1" x14ac:dyDescent="0.25">
      <c r="A22" s="8" t="s">
        <v>133</v>
      </c>
      <c r="B22" s="8" t="s">
        <v>14</v>
      </c>
      <c r="C22" s="8" t="s">
        <v>15</v>
      </c>
      <c r="D22" s="8" t="s">
        <v>96</v>
      </c>
      <c r="F22" s="8" t="s">
        <v>97</v>
      </c>
      <c r="G22" s="8" t="s">
        <v>61</v>
      </c>
      <c r="H22" s="13">
        <v>38792.480000000003</v>
      </c>
      <c r="I22" s="8" t="s">
        <v>98</v>
      </c>
      <c r="K22" s="8" t="s">
        <v>99</v>
      </c>
    </row>
    <row r="23" spans="1:12" x14ac:dyDescent="0.25">
      <c r="A23" s="15"/>
      <c r="B23" s="15"/>
      <c r="C23" s="15"/>
      <c r="D23" s="15" t="s">
        <v>100</v>
      </c>
      <c r="E23" s="15"/>
      <c r="F23" s="15"/>
      <c r="G23" s="15"/>
      <c r="H23" s="16">
        <f>SUM(H4:H22)</f>
        <v>651362.10999999987</v>
      </c>
      <c r="I23" s="15"/>
      <c r="J23" s="15"/>
      <c r="K23" s="15"/>
      <c r="L23" s="15"/>
    </row>
  </sheetData>
  <mergeCells count="3">
    <mergeCell ref="A2:F2"/>
    <mergeCell ref="G2:L2"/>
    <mergeCell ref="K1:L1"/>
  </mergeCells>
  <pageMargins left="0.7" right="0.2" top="0.75" bottom="0.75" header="0.3" footer="0.3"/>
  <pageSetup paperSize="5" scale="70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BAF77-9B0C-4123-9762-F6FCA46822FA}">
  <sheetPr>
    <pageSetUpPr fitToPage="1"/>
  </sheetPr>
  <dimension ref="A1:H39"/>
  <sheetViews>
    <sheetView workbookViewId="0">
      <selection activeCell="N15" sqref="N15"/>
    </sheetView>
  </sheetViews>
  <sheetFormatPr defaultRowHeight="15.75" x14ac:dyDescent="0.25"/>
  <cols>
    <col min="1" max="1" width="25.28515625" style="8" customWidth="1"/>
    <col min="2" max="2" width="15" style="8" customWidth="1"/>
    <col min="3" max="3" width="17.140625" style="8" customWidth="1"/>
    <col min="4" max="4" width="15.42578125" style="8" customWidth="1"/>
    <col min="5" max="5" width="14" style="8" customWidth="1"/>
    <col min="6" max="6" width="14.85546875" style="8" customWidth="1"/>
    <col min="7" max="7" width="14" style="8" customWidth="1"/>
    <col min="8" max="8" width="14.140625" style="8" customWidth="1"/>
    <col min="9" max="16384" width="9.140625" style="8"/>
  </cols>
  <sheetData>
    <row r="1" spans="1:8" x14ac:dyDescent="0.25">
      <c r="E1" s="9"/>
      <c r="H1" s="9">
        <v>45811.999988425923</v>
      </c>
    </row>
    <row r="2" spans="1:8" x14ac:dyDescent="0.25">
      <c r="A2" s="10" t="s">
        <v>0</v>
      </c>
      <c r="B2" s="10"/>
      <c r="C2" s="11"/>
      <c r="D2" s="11"/>
      <c r="E2" s="12" t="s">
        <v>101</v>
      </c>
      <c r="F2" s="11"/>
      <c r="G2" s="11"/>
      <c r="H2" s="11"/>
    </row>
    <row r="3" spans="1:8" x14ac:dyDescent="0.25">
      <c r="A3" s="8" t="s">
        <v>7</v>
      </c>
      <c r="B3" s="8" t="s">
        <v>106</v>
      </c>
      <c r="C3" s="8" t="s">
        <v>8</v>
      </c>
      <c r="D3" s="8" t="s">
        <v>102</v>
      </c>
      <c r="E3" s="8" t="s">
        <v>103</v>
      </c>
      <c r="F3" s="8" t="s">
        <v>104</v>
      </c>
      <c r="G3" s="8" t="s">
        <v>107</v>
      </c>
      <c r="H3" s="8" t="s">
        <v>105</v>
      </c>
    </row>
    <row r="4" spans="1:8" ht="27" customHeight="1" x14ac:dyDescent="0.25">
      <c r="A4" s="8" t="s">
        <v>29</v>
      </c>
      <c r="C4" s="8" t="s">
        <v>18</v>
      </c>
      <c r="D4" s="13">
        <v>850</v>
      </c>
      <c r="E4" s="13">
        <v>0</v>
      </c>
      <c r="F4" s="14">
        <v>31160.81</v>
      </c>
      <c r="G4" s="13"/>
      <c r="H4" s="13">
        <v>31235.81</v>
      </c>
    </row>
    <row r="5" spans="1:8" ht="27" customHeight="1" x14ac:dyDescent="0.25">
      <c r="D5" s="13"/>
      <c r="E5" s="13"/>
      <c r="F5" s="14"/>
      <c r="G5" s="13"/>
      <c r="H5" s="13"/>
    </row>
    <row r="6" spans="1:8" ht="27" customHeight="1" x14ac:dyDescent="0.25">
      <c r="A6" s="8" t="s">
        <v>114</v>
      </c>
      <c r="C6" s="8" t="s">
        <v>53</v>
      </c>
      <c r="D6" s="13">
        <v>850</v>
      </c>
      <c r="E6" s="13">
        <v>0</v>
      </c>
      <c r="F6" s="14">
        <v>31865.94</v>
      </c>
      <c r="G6" s="13"/>
      <c r="H6" s="13">
        <v>31940.94</v>
      </c>
    </row>
    <row r="7" spans="1:8" ht="27" customHeight="1" x14ac:dyDescent="0.25">
      <c r="D7" s="13"/>
      <c r="E7" s="13"/>
      <c r="F7" s="14"/>
      <c r="G7" s="13"/>
      <c r="H7" s="13"/>
    </row>
    <row r="8" spans="1:8" ht="27" customHeight="1" x14ac:dyDescent="0.25">
      <c r="A8" s="8" t="s">
        <v>65</v>
      </c>
      <c r="C8" s="8" t="s">
        <v>61</v>
      </c>
      <c r="D8" s="13">
        <v>750</v>
      </c>
      <c r="E8" s="13">
        <v>0</v>
      </c>
      <c r="F8" s="14">
        <v>26022.5</v>
      </c>
      <c r="G8" s="13"/>
      <c r="H8" s="13">
        <v>26097.5</v>
      </c>
    </row>
    <row r="9" spans="1:8" ht="27" customHeight="1" x14ac:dyDescent="0.25">
      <c r="D9" s="13"/>
      <c r="E9" s="13"/>
      <c r="F9" s="14"/>
      <c r="G9" s="13"/>
      <c r="H9" s="13"/>
    </row>
    <row r="10" spans="1:8" ht="27" customHeight="1" x14ac:dyDescent="0.25">
      <c r="A10" s="8" t="s">
        <v>33</v>
      </c>
      <c r="C10" s="8" t="s">
        <v>18</v>
      </c>
      <c r="D10" s="13">
        <v>750</v>
      </c>
      <c r="E10" s="13">
        <v>0</v>
      </c>
      <c r="F10" s="14">
        <v>26387.13</v>
      </c>
      <c r="G10" s="13"/>
      <c r="H10" s="13">
        <v>26462.13</v>
      </c>
    </row>
    <row r="11" spans="1:8" ht="27" customHeight="1" x14ac:dyDescent="0.25">
      <c r="D11" s="13"/>
      <c r="E11" s="13"/>
      <c r="F11" s="14"/>
      <c r="G11" s="13"/>
      <c r="H11" s="13"/>
    </row>
    <row r="12" spans="1:8" ht="27" customHeight="1" x14ac:dyDescent="0.25">
      <c r="A12" s="8" t="s">
        <v>75</v>
      </c>
      <c r="C12" s="8" t="s">
        <v>61</v>
      </c>
      <c r="D12" s="13">
        <v>1150</v>
      </c>
      <c r="E12" s="13">
        <v>0</v>
      </c>
      <c r="F12" s="14">
        <v>46141.94</v>
      </c>
      <c r="G12" s="13"/>
      <c r="H12" s="13">
        <v>46216.94</v>
      </c>
    </row>
    <row r="13" spans="1:8" ht="27" customHeight="1" x14ac:dyDescent="0.25">
      <c r="D13" s="13"/>
      <c r="E13" s="13"/>
      <c r="F13" s="14"/>
      <c r="G13" s="13"/>
      <c r="H13" s="13"/>
    </row>
    <row r="14" spans="1:8" ht="27" customHeight="1" x14ac:dyDescent="0.25">
      <c r="A14" s="8" t="s">
        <v>97</v>
      </c>
      <c r="B14" s="17" t="s">
        <v>115</v>
      </c>
      <c r="C14" s="8" t="s">
        <v>61</v>
      </c>
      <c r="D14" s="13">
        <v>950</v>
      </c>
      <c r="E14" s="13">
        <v>0</v>
      </c>
      <c r="F14" s="14">
        <v>38717.480000000003</v>
      </c>
      <c r="G14" s="13"/>
      <c r="H14" s="13">
        <v>38792.480000000003</v>
      </c>
    </row>
    <row r="15" spans="1:8" ht="27" customHeight="1" x14ac:dyDescent="0.25">
      <c r="D15" s="13"/>
      <c r="E15" s="13"/>
      <c r="F15" s="14"/>
      <c r="G15" s="13"/>
      <c r="H15" s="13"/>
    </row>
    <row r="16" spans="1:8" ht="27" customHeight="1" x14ac:dyDescent="0.25">
      <c r="A16" s="8" t="s">
        <v>79</v>
      </c>
      <c r="C16" s="8" t="s">
        <v>61</v>
      </c>
      <c r="D16" s="13">
        <v>1050</v>
      </c>
      <c r="E16" s="13">
        <v>0</v>
      </c>
      <c r="F16" s="14">
        <v>42359.8</v>
      </c>
      <c r="G16" s="13"/>
      <c r="H16" s="13">
        <v>42434.8</v>
      </c>
    </row>
    <row r="17" spans="1:8" ht="27" customHeight="1" x14ac:dyDescent="0.25">
      <c r="D17" s="13"/>
      <c r="E17" s="13"/>
      <c r="F17" s="13"/>
      <c r="G17" s="13"/>
      <c r="H17" s="13"/>
    </row>
    <row r="18" spans="1:8" ht="27" customHeight="1" x14ac:dyDescent="0.25">
      <c r="A18" s="8" t="s">
        <v>57</v>
      </c>
      <c r="C18" s="8" t="s">
        <v>61</v>
      </c>
      <c r="D18" s="13">
        <v>1350</v>
      </c>
      <c r="E18" s="13">
        <v>0</v>
      </c>
      <c r="F18" s="13">
        <v>51214.07</v>
      </c>
      <c r="G18" s="13"/>
      <c r="H18" s="13">
        <v>51289.07</v>
      </c>
    </row>
    <row r="19" spans="1:8" ht="27" customHeight="1" x14ac:dyDescent="0.25">
      <c r="A19" s="8" t="s">
        <v>57</v>
      </c>
      <c r="C19" s="8" t="s">
        <v>53</v>
      </c>
      <c r="D19" s="13">
        <v>750</v>
      </c>
      <c r="E19" s="13">
        <v>0</v>
      </c>
      <c r="F19" s="13">
        <v>28504.51</v>
      </c>
      <c r="G19" s="14">
        <f>SUM(F18:F19)</f>
        <v>79718.58</v>
      </c>
      <c r="H19" s="13">
        <v>28579.51</v>
      </c>
    </row>
    <row r="20" spans="1:8" ht="27" customHeight="1" x14ac:dyDescent="0.25">
      <c r="D20" s="13"/>
      <c r="E20" s="13"/>
      <c r="F20" s="13"/>
      <c r="G20" s="13"/>
      <c r="H20" s="13"/>
    </row>
    <row r="21" spans="1:8" ht="27" customHeight="1" x14ac:dyDescent="0.25">
      <c r="A21" s="8" t="s">
        <v>52</v>
      </c>
      <c r="C21" s="8" t="s">
        <v>53</v>
      </c>
      <c r="D21" s="13">
        <v>1150</v>
      </c>
      <c r="E21" s="13">
        <v>0</v>
      </c>
      <c r="F21" s="14">
        <v>45302.879999999997</v>
      </c>
      <c r="G21" s="13"/>
      <c r="H21" s="13">
        <v>45377.88</v>
      </c>
    </row>
    <row r="22" spans="1:8" ht="27" customHeight="1" x14ac:dyDescent="0.25">
      <c r="D22" s="13"/>
      <c r="E22" s="13"/>
      <c r="F22" s="14"/>
      <c r="G22" s="13"/>
      <c r="H22" s="13"/>
    </row>
    <row r="23" spans="1:8" ht="27" customHeight="1" x14ac:dyDescent="0.25">
      <c r="A23" s="8" t="s">
        <v>46</v>
      </c>
      <c r="C23" s="8" t="s">
        <v>18</v>
      </c>
      <c r="D23" s="13">
        <v>750</v>
      </c>
      <c r="E23" s="13">
        <v>0</v>
      </c>
      <c r="F23" s="14">
        <v>28925</v>
      </c>
      <c r="G23" s="13"/>
      <c r="H23" s="13">
        <v>29000</v>
      </c>
    </row>
    <row r="24" spans="1:8" ht="27" customHeight="1" x14ac:dyDescent="0.25">
      <c r="D24" s="13"/>
      <c r="E24" s="13"/>
      <c r="F24" s="14"/>
      <c r="G24" s="13"/>
      <c r="H24" s="13"/>
    </row>
    <row r="25" spans="1:8" ht="27" customHeight="1" x14ac:dyDescent="0.25">
      <c r="A25" s="8" t="s">
        <v>42</v>
      </c>
      <c r="C25" s="8" t="s">
        <v>18</v>
      </c>
      <c r="D25" s="13">
        <v>650</v>
      </c>
      <c r="E25" s="13">
        <v>0</v>
      </c>
      <c r="F25" s="14">
        <v>22520.11</v>
      </c>
      <c r="G25" s="13"/>
      <c r="H25" s="13">
        <v>22595.11</v>
      </c>
    </row>
    <row r="26" spans="1:8" ht="27" customHeight="1" x14ac:dyDescent="0.25">
      <c r="D26" s="13"/>
      <c r="E26" s="13"/>
      <c r="F26" s="13"/>
      <c r="G26" s="13"/>
      <c r="H26" s="13"/>
    </row>
    <row r="27" spans="1:8" ht="27" customHeight="1" x14ac:dyDescent="0.25">
      <c r="A27" s="8" t="s">
        <v>37</v>
      </c>
      <c r="C27" s="8" t="s">
        <v>18</v>
      </c>
      <c r="D27" s="13">
        <v>950</v>
      </c>
      <c r="E27" s="13">
        <v>0</v>
      </c>
      <c r="F27" s="13">
        <v>38421.19</v>
      </c>
      <c r="G27" s="13"/>
      <c r="H27" s="13">
        <v>38496.19</v>
      </c>
    </row>
    <row r="28" spans="1:8" ht="27" customHeight="1" x14ac:dyDescent="0.25">
      <c r="A28" s="8" t="s">
        <v>37</v>
      </c>
      <c r="C28" s="8" t="s">
        <v>61</v>
      </c>
      <c r="D28" s="13">
        <v>850</v>
      </c>
      <c r="E28" s="13">
        <v>0</v>
      </c>
      <c r="F28" s="13">
        <v>32219.4</v>
      </c>
      <c r="G28" s="14">
        <f>SUM(F27:F28)</f>
        <v>70640.59</v>
      </c>
      <c r="H28" s="13">
        <v>32294.400000000001</v>
      </c>
    </row>
    <row r="29" spans="1:8" ht="27" customHeight="1" x14ac:dyDescent="0.25">
      <c r="D29" s="13"/>
      <c r="E29" s="13"/>
      <c r="F29" s="13"/>
      <c r="G29" s="13"/>
      <c r="H29" s="13"/>
    </row>
    <row r="30" spans="1:8" ht="27" customHeight="1" x14ac:dyDescent="0.25">
      <c r="A30" s="8" t="s">
        <v>83</v>
      </c>
      <c r="C30" s="8" t="s">
        <v>18</v>
      </c>
      <c r="D30" s="13">
        <v>950</v>
      </c>
      <c r="E30" s="13">
        <v>0</v>
      </c>
      <c r="F30" s="14">
        <v>38195.879999999997</v>
      </c>
      <c r="G30" s="13"/>
      <c r="H30" s="13">
        <v>38270.879999999997</v>
      </c>
    </row>
    <row r="31" spans="1:8" ht="27" customHeight="1" x14ac:dyDescent="0.25">
      <c r="D31" s="13"/>
      <c r="E31" s="13"/>
      <c r="F31" s="13"/>
      <c r="G31" s="13"/>
      <c r="H31" s="13"/>
    </row>
    <row r="32" spans="1:8" ht="27" customHeight="1" x14ac:dyDescent="0.25">
      <c r="A32" s="8" t="s">
        <v>17</v>
      </c>
      <c r="C32" s="8" t="s">
        <v>18</v>
      </c>
      <c r="D32" s="13">
        <v>950</v>
      </c>
      <c r="E32" s="13">
        <v>0</v>
      </c>
      <c r="F32" s="13">
        <v>37167.480000000003</v>
      </c>
      <c r="G32" s="14"/>
      <c r="H32" s="13">
        <v>37242.480000000003</v>
      </c>
    </row>
    <row r="33" spans="1:8" ht="27" customHeight="1" x14ac:dyDescent="0.25">
      <c r="A33" s="8" t="s">
        <v>17</v>
      </c>
      <c r="C33" s="8" t="s">
        <v>61</v>
      </c>
      <c r="D33" s="13">
        <v>750</v>
      </c>
      <c r="E33" s="13">
        <v>0</v>
      </c>
      <c r="F33" s="13">
        <v>26970.95</v>
      </c>
      <c r="G33" s="14">
        <f>SUM(F32:F33)</f>
        <v>64138.430000000008</v>
      </c>
      <c r="H33" s="13">
        <v>27045.95</v>
      </c>
    </row>
    <row r="34" spans="1:8" ht="27" customHeight="1" x14ac:dyDescent="0.25">
      <c r="D34" s="13"/>
      <c r="E34" s="13"/>
      <c r="F34" s="13"/>
      <c r="G34" s="13"/>
      <c r="H34" s="13"/>
    </row>
    <row r="35" spans="1:8" ht="27" customHeight="1" x14ac:dyDescent="0.25">
      <c r="A35" s="8" t="s">
        <v>72</v>
      </c>
      <c r="B35" s="17" t="s">
        <v>116</v>
      </c>
      <c r="C35" s="8" t="s">
        <v>61</v>
      </c>
      <c r="D35" s="13">
        <v>950</v>
      </c>
      <c r="E35" s="13">
        <v>0</v>
      </c>
      <c r="F35" s="14">
        <v>37664.559999999998</v>
      </c>
      <c r="G35" s="13"/>
      <c r="H35" s="13">
        <v>37739.56</v>
      </c>
    </row>
    <row r="36" spans="1:8" ht="27" customHeight="1" x14ac:dyDescent="0.25">
      <c r="D36" s="13"/>
      <c r="E36" s="13"/>
      <c r="F36" s="14"/>
      <c r="G36" s="13"/>
      <c r="H36" s="13"/>
    </row>
    <row r="37" spans="1:8" ht="27" customHeight="1" x14ac:dyDescent="0.25">
      <c r="A37" s="8" t="s">
        <v>23</v>
      </c>
      <c r="C37" s="8" t="s">
        <v>18</v>
      </c>
      <c r="D37" s="13">
        <v>650</v>
      </c>
      <c r="E37" s="13">
        <v>0</v>
      </c>
      <c r="F37" s="14">
        <v>20175.48</v>
      </c>
      <c r="G37" s="13"/>
      <c r="H37" s="13">
        <v>20250.48</v>
      </c>
    </row>
    <row r="38" spans="1:8" x14ac:dyDescent="0.25">
      <c r="D38" s="13"/>
      <c r="E38" s="13"/>
      <c r="F38" s="13"/>
      <c r="G38" s="13"/>
      <c r="H38" s="13"/>
    </row>
    <row r="39" spans="1:8" x14ac:dyDescent="0.25">
      <c r="A39" s="15"/>
      <c r="B39" s="15"/>
      <c r="C39" s="15"/>
      <c r="D39" s="16">
        <f>SUM(D4:D37)</f>
        <v>17050</v>
      </c>
      <c r="E39" s="16">
        <f>SUM(E4:E37)</f>
        <v>0</v>
      </c>
      <c r="F39" s="16">
        <f>SUM(F4:F37)</f>
        <v>649937.10999999987</v>
      </c>
      <c r="G39" s="16"/>
      <c r="H39" s="16">
        <f>SUM(H4:H37)</f>
        <v>651362.10999999987</v>
      </c>
    </row>
  </sheetData>
  <mergeCells count="2">
    <mergeCell ref="A2:D2"/>
    <mergeCell ref="E2:H2"/>
  </mergeCells>
  <pageMargins left="0.7" right="0.2" top="0.75" bottom="0.75" header="0.3" footer="0.3"/>
  <pageSetup scale="86" fitToHeight="0" orientation="landscape" r:id="rId1"/>
  <headerFooter>
    <oddFooter>Page &amp;P of &amp;N</oddFoot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ABF2A-57C4-4153-832F-D9AEC08D4E3B}">
  <sheetPr>
    <pageSetUpPr fitToPage="1"/>
  </sheetPr>
  <dimension ref="A1:E20"/>
  <sheetViews>
    <sheetView zoomScaleNormal="100" workbookViewId="0">
      <selection activeCell="R18" sqref="R18"/>
    </sheetView>
  </sheetViews>
  <sheetFormatPr defaultRowHeight="15" x14ac:dyDescent="0.25"/>
  <cols>
    <col min="1" max="1" width="14.42578125" customWidth="1"/>
    <col min="2" max="2" width="14.85546875" customWidth="1"/>
    <col min="3" max="3" width="19.140625" customWidth="1"/>
    <col min="4" max="4" width="14" customWidth="1"/>
    <col min="5" max="5" width="32.28515625" customWidth="1"/>
  </cols>
  <sheetData>
    <row r="1" spans="1:5" ht="24.95" customHeight="1" x14ac:dyDescent="0.25">
      <c r="A1" t="s">
        <v>110</v>
      </c>
      <c r="D1" s="2"/>
      <c r="E1" s="6">
        <v>45811</v>
      </c>
    </row>
    <row r="2" spans="1:5" ht="24.95" customHeight="1" x14ac:dyDescent="0.25">
      <c r="A2" s="3" t="s">
        <v>0</v>
      </c>
      <c r="B2" s="4"/>
      <c r="C2" s="4"/>
      <c r="D2" s="5" t="s">
        <v>108</v>
      </c>
      <c r="E2" s="4"/>
    </row>
    <row r="3" spans="1:5" ht="24.95" customHeight="1" x14ac:dyDescent="0.25">
      <c r="A3" t="s">
        <v>2</v>
      </c>
      <c r="B3" t="s">
        <v>4</v>
      </c>
      <c r="C3" t="s">
        <v>5</v>
      </c>
      <c r="D3" t="s">
        <v>6</v>
      </c>
      <c r="E3" t="s">
        <v>7</v>
      </c>
    </row>
    <row r="4" spans="1:5" ht="24.95" customHeight="1" x14ac:dyDescent="0.25">
      <c r="A4" t="s">
        <v>49</v>
      </c>
      <c r="B4" t="s">
        <v>50</v>
      </c>
      <c r="C4" t="s">
        <v>51</v>
      </c>
      <c r="E4" t="s">
        <v>52</v>
      </c>
    </row>
    <row r="5" spans="1:5" ht="24.95" customHeight="1" x14ac:dyDescent="0.25">
      <c r="A5" t="s">
        <v>86</v>
      </c>
      <c r="B5" t="s">
        <v>50</v>
      </c>
      <c r="C5" t="s">
        <v>87</v>
      </c>
      <c r="E5" t="s">
        <v>88</v>
      </c>
    </row>
    <row r="6" spans="1:5" ht="24.95" customHeight="1" x14ac:dyDescent="0.25">
      <c r="A6" s="1"/>
      <c r="B6" s="1"/>
      <c r="C6" s="1" t="s">
        <v>109</v>
      </c>
      <c r="D6" s="1"/>
      <c r="E6" s="1"/>
    </row>
    <row r="11" spans="1:5" x14ac:dyDescent="0.25">
      <c r="A11" t="s">
        <v>111</v>
      </c>
      <c r="B11" s="7"/>
      <c r="C11" s="7"/>
      <c r="D11" s="7"/>
    </row>
    <row r="15" spans="1:5" x14ac:dyDescent="0.25">
      <c r="A15" t="s">
        <v>112</v>
      </c>
      <c r="B15" s="7"/>
      <c r="C15" s="7"/>
      <c r="D15" s="7"/>
    </row>
    <row r="20" spans="1:3" x14ac:dyDescent="0.25">
      <c r="A20" t="s">
        <v>113</v>
      </c>
      <c r="B20" s="7"/>
      <c r="C20" s="7"/>
    </row>
  </sheetData>
  <mergeCells count="2">
    <mergeCell ref="A2:C2"/>
    <mergeCell ref="D2:E2"/>
  </mergeCells>
  <pageMargins left="0.7" right="0.7" top="0.75" bottom="0.75" header="0.3" footer="0.3"/>
  <pageSetup scale="95"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Funding Worksheet - Folder Vers</vt:lpstr>
      <vt:lpstr>Funding Worksheet - ACH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Rachel Gorham</cp:lastModifiedBy>
  <cp:lastPrinted>2025-06-03T18:39:35Z</cp:lastPrinted>
  <dcterms:created xsi:type="dcterms:W3CDTF">2025-06-03T18:24:41Z</dcterms:created>
  <dcterms:modified xsi:type="dcterms:W3CDTF">2025-06-03T19:00:24Z</dcterms:modified>
</cp:coreProperties>
</file>