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J:\Alex\Funding Worksheets\"/>
    </mc:Choice>
  </mc:AlternateContent>
  <xr:revisionPtr revIDLastSave="0" documentId="13_ncr:1_{A2EBC727-ED3C-4E52-A5EC-6D28A356BDF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unding Worksheet - ACH Version" sheetId="1" r:id="rId1"/>
    <sheet name="Funding Worksheet - Folder Vers" sheetId="2" r:id="rId2"/>
    <sheet name="Funding Worksheet - Signoff Ver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0" i="2" l="1"/>
  <c r="F18" i="1"/>
  <c r="F21" i="1"/>
  <c r="F28" i="1"/>
  <c r="H31" i="1"/>
  <c r="E31" i="1"/>
  <c r="D31" i="1"/>
  <c r="C31" i="1"/>
</calcChain>
</file>

<file path=xl/sharedStrings.xml><?xml version="1.0" encoding="utf-8"?>
<sst xmlns="http://schemas.openxmlformats.org/spreadsheetml/2006/main" count="223" uniqueCount="110">
  <si>
    <t>Bristol County Savings Bank</t>
  </si>
  <si>
    <t>Funding Worksheet - ACH Version</t>
  </si>
  <si>
    <t>To</t>
  </si>
  <si>
    <t>From</t>
  </si>
  <si>
    <t>Dealer Name</t>
  </si>
  <si>
    <t>Funded by</t>
  </si>
  <si>
    <t>Dealer Flat</t>
  </si>
  <si>
    <t>Dealer Split</t>
  </si>
  <si>
    <t>Net to Dealer</t>
  </si>
  <si>
    <t>Contracted Amount Financed</t>
  </si>
  <si>
    <t>Alden Buick Pontiac GMC</t>
  </si>
  <si>
    <t>Neli Oliveira</t>
  </si>
  <si>
    <t>Bailey's Motor Sales Inc</t>
  </si>
  <si>
    <t>Marlene Braganca</t>
  </si>
  <si>
    <t>Gesner Auto Inc</t>
  </si>
  <si>
    <t>Grieco Enterprises, LLC d/b/a</t>
  </si>
  <si>
    <t>Grieco Toyota</t>
  </si>
  <si>
    <t>Herb Chambers Boston Turnpike Inc d/b/a</t>
  </si>
  <si>
    <t>Patriot Auto Group Inc d/b/a</t>
  </si>
  <si>
    <t>Planet Automotive Sales LLC</t>
  </si>
  <si>
    <t>Priority Automotive LLC</t>
  </si>
  <si>
    <t>Saccucci Honda</t>
  </si>
  <si>
    <t>Salvadore Chevrolet</t>
  </si>
  <si>
    <t>Tasca Chevrolet</t>
  </si>
  <si>
    <t>Column1</t>
  </si>
  <si>
    <t>Column2</t>
  </si>
  <si>
    <t># 16</t>
  </si>
  <si>
    <t>DEVINE</t>
  </si>
  <si>
    <t>hafhap@verizon.net</t>
  </si>
  <si>
    <t>HAPP, AMY</t>
  </si>
  <si>
    <t>E Contract</t>
  </si>
  <si>
    <t>Route One</t>
  </si>
  <si>
    <t>151199827e</t>
  </si>
  <si>
    <t>ROUTE 28 COLLISION CENTER INC</t>
  </si>
  <si>
    <t>JOHANSEN</t>
  </si>
  <si>
    <t>MCLAUGHLIN, JAMES</t>
  </si>
  <si>
    <t>Paper</t>
  </si>
  <si>
    <t>DealerTrack</t>
  </si>
  <si>
    <t>151199819</t>
  </si>
  <si>
    <t>PERRON</t>
  </si>
  <si>
    <t>CGAREAU111@GMAIL.COM</t>
  </si>
  <si>
    <t>GAREAU, CHRISTOPHER</t>
  </si>
  <si>
    <t>151199801</t>
  </si>
  <si>
    <t>GATARZ</t>
  </si>
  <si>
    <t>NALEPA.M@GMAIL.COM</t>
  </si>
  <si>
    <t>NALEPA, MONIKA</t>
  </si>
  <si>
    <t>151199794e</t>
  </si>
  <si>
    <t>DIVITO</t>
  </si>
  <si>
    <t>debenedictis.work@gmail.com</t>
  </si>
  <si>
    <t>DEBENEDICTIS, LORENZO</t>
  </si>
  <si>
    <t>151199786</t>
  </si>
  <si>
    <t>WERMERS</t>
  </si>
  <si>
    <t>mcguirekyle117@gmail.com</t>
  </si>
  <si>
    <t>MCGUIRE, KYLE</t>
  </si>
  <si>
    <t>151199752e</t>
  </si>
  <si>
    <t>CHAFFEE</t>
  </si>
  <si>
    <t>JEFFMCKEE17@GMAIL.COM</t>
  </si>
  <si>
    <t>MCKEE, JEFFREY</t>
  </si>
  <si>
    <t>151199744</t>
  </si>
  <si>
    <t>JOHNSON</t>
  </si>
  <si>
    <t>kylejohnson10@yahoo.com</t>
  </si>
  <si>
    <t>Johnson, Kyle</t>
  </si>
  <si>
    <t>151199736e</t>
  </si>
  <si>
    <t>OLIVEIRA</t>
  </si>
  <si>
    <t>DHORSE104@GMAIL.COM</t>
  </si>
  <si>
    <t>HORSEMAN, DEREK</t>
  </si>
  <si>
    <t>151199728e</t>
  </si>
  <si>
    <t>ALL PHASE CONTRACTING LLC</t>
  </si>
  <si>
    <t>Blackwell</t>
  </si>
  <si>
    <t>DAVID, SAMUEL</t>
  </si>
  <si>
    <t>151199710</t>
  </si>
  <si>
    <t>CATALONI</t>
  </si>
  <si>
    <t>markstewart197@live.com</t>
  </si>
  <si>
    <t>STEWART, MARK</t>
  </si>
  <si>
    <t>151199695e</t>
  </si>
  <si>
    <t>Cuzzi</t>
  </si>
  <si>
    <t>DCUZZI@COMCAST.NET</t>
  </si>
  <si>
    <t>CUZZI, DONATO</t>
  </si>
  <si>
    <t>151199570e</t>
  </si>
  <si>
    <t>Tomassone</t>
  </si>
  <si>
    <t>mocchionero@verizon.net</t>
  </si>
  <si>
    <t>OCCHIONERO, MARK</t>
  </si>
  <si>
    <t>151199562e</t>
  </si>
  <si>
    <t>CYGANIEWICZ</t>
  </si>
  <si>
    <t>musiclover10045@yahoo.com</t>
  </si>
  <si>
    <t>Moulton, Lloyd</t>
  </si>
  <si>
    <t>151199554e</t>
  </si>
  <si>
    <t>Hall</t>
  </si>
  <si>
    <t>courtney.e.doherty@gmail.com</t>
  </si>
  <si>
    <t>DOHERTY, COURTNEY</t>
  </si>
  <si>
    <t>151199520e</t>
  </si>
  <si>
    <t>Kennedy</t>
  </si>
  <si>
    <t>OWEN, SCOTT</t>
  </si>
  <si>
    <t>151199497e</t>
  </si>
  <si>
    <t>Co-App MMN</t>
  </si>
  <si>
    <t>App MMN</t>
  </si>
  <si>
    <t>Co-Applicant Email</t>
  </si>
  <si>
    <t>Applicant Email</t>
  </si>
  <si>
    <t>Amount Financed</t>
  </si>
  <si>
    <t>Co-Applicant Name</t>
  </si>
  <si>
    <t>Applicant Name</t>
  </si>
  <si>
    <t>Contract Type</t>
  </si>
  <si>
    <t>Portal</t>
  </si>
  <si>
    <t>Account Number</t>
  </si>
  <si>
    <t>Funding Worksheet - Folder Version</t>
  </si>
  <si>
    <t>Date Signed___________________________</t>
  </si>
  <si>
    <t>Received By_______________________________________________________________________</t>
  </si>
  <si>
    <t>Delivered By_______________________________________________________________________</t>
  </si>
  <si>
    <t># 5</t>
  </si>
  <si>
    <t>Funding Worksheet - Signoff Version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</si>
</sst>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7" formatCode="&quot;$&quot;#,##0.00_);\(&quot;$&quot;#,##0.00\)"/>
    <numFmt numFmtId="164" formatCode="[$-409]mmmm\ d\,\ yyyy;@"/>
  </numFmts>
  <fonts count="4" x14ac:knownFonts="1">
    <font>
      <sz val="11"/>
      <color indexed="8"/>
      <name val="Aptos Narrow"/>
      <family val="2"/>
      <scheme val="minor"/>
    </font>
    <font>
      <b/>
      <sz val="11"/>
      <name val="Calibri"/>
    </font>
    <font>
      <sz val="11"/>
      <color indexed="8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none">
        <fgColor indexed="22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2" borderId="0"/>
  </cellStyleXfs>
  <cellXfs count="17">
    <xf numFmtId="0" fontId="0" fillId="0" borderId="0" xfId="0"/>
    <xf numFmtId="0" fontId="1" fillId="0" borderId="0" xfId="0" applyFont="1"/>
    <xf numFmtId="7" fontId="0" fillId="0" borderId="0" xfId="0" applyNumberFormat="1"/>
    <xf numFmtId="7" fontId="1" fillId="0" borderId="0" xfId="0" applyNumberFormat="1" applyFont="1"/>
    <xf numFmtId="164" fontId="0" fillId="0" borderId="0" xfId="0" applyNumberFormat="1" applyAlignment="1">
      <alignment horizontal="right"/>
    </xf>
    <xf numFmtId="0" fontId="1" fillId="0" borderId="0" xfId="0" applyFont="1" applyAlignment="1">
      <alignment horizontal="left"/>
    </xf>
    <xf numFmtId="0" fontId="0" fillId="0" borderId="0" xfId="0"/>
    <xf numFmtId="0" fontId="1" fillId="0" borderId="0" xfId="0" applyFont="1" applyAlignment="1">
      <alignment horizontal="right"/>
    </xf>
    <xf numFmtId="0" fontId="2" fillId="2" borderId="0" xfId="1"/>
    <xf numFmtId="0" fontId="2" fillId="0" borderId="0" xfId="1" applyFill="1"/>
    <xf numFmtId="164" fontId="2" fillId="0" borderId="0" xfId="1" applyNumberFormat="1" applyFill="1" applyAlignment="1">
      <alignment horizontal="right"/>
    </xf>
    <xf numFmtId="0" fontId="1" fillId="0" borderId="0" xfId="1" applyFont="1" applyFill="1" applyAlignment="1">
      <alignment horizontal="left"/>
    </xf>
    <xf numFmtId="0" fontId="2" fillId="0" borderId="0" xfId="1" applyFill="1"/>
    <xf numFmtId="0" fontId="1" fillId="0" borderId="0" xfId="1" applyFont="1" applyFill="1" applyAlignment="1">
      <alignment horizontal="right"/>
    </xf>
    <xf numFmtId="7" fontId="2" fillId="0" borderId="0" xfId="1" applyNumberFormat="1" applyFill="1"/>
    <xf numFmtId="0" fontId="1" fillId="0" borderId="0" xfId="1" applyFont="1" applyFill="1"/>
    <xf numFmtId="7" fontId="1" fillId="0" borderId="0" xfId="1" applyNumberFormat="1" applyFont="1" applyFill="1"/>
  </cellXfs>
  <cellStyles count="2">
    <cellStyle name="Normal" xfId="0" builtinId="0"/>
    <cellStyle name="Normal 2" xfId="1" xr:uid="{2E7BE780-D479-431F-931A-22C59F2088F2}"/>
  </cellStyles>
  <dxfs count="25"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11" formatCode="&quot;$&quot;#,##0.00_);\(&quot;$&quot;#,##0.00\)"/>
    </dxf>
    <dxf>
      <numFmt numFmtId="11" formatCode="&quot;$&quot;#,##0.00_);\(&quot;$&quot;#,##0.00\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_1" ref="A3:H31">
  <tableColumns count="8">
    <tableColumn id="1" xr3:uid="{00000000-0010-0000-0000-000001000000}" name="Dealer Name"/>
    <tableColumn id="2" xr3:uid="{00000000-0010-0000-0000-000002000000}" name="Funded by"/>
    <tableColumn id="3" xr3:uid="{00000000-0010-0000-0000-000003000000}" name="Dealer Flat"/>
    <tableColumn id="4" xr3:uid="{00000000-0010-0000-0000-000004000000}" name="Dealer Split"/>
    <tableColumn id="5" xr3:uid="{00000000-0010-0000-0000-000005000000}" name="Net to Dealer"/>
    <tableColumn id="7" xr3:uid="{98D555E6-1C27-44E7-9676-4F08A36B9A2F}" name="Column1" dataDxfId="23"/>
    <tableColumn id="8" xr3:uid="{D3512260-7266-40AD-BE70-544D25D0FAFB}" name="Column2" dataDxfId="24"/>
    <tableColumn id="6" xr3:uid="{00000000-0010-0000-0000-000006000000}" name="Contracted Amount Financed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B3AE18F-DFA3-478D-9651-D092555305BB}" name="Table_13" displayName="Table_13" ref="A3:L20" headerRowDxfId="10" dataDxfId="8" totalsRowDxfId="9">
  <tableColumns count="12">
    <tableColumn id="1" xr3:uid="{00000000-0010-0000-0000-000001000000}" name="Account Number" dataDxfId="22"/>
    <tableColumn id="2" xr3:uid="{00000000-0010-0000-0000-000002000000}" name="Portal" dataDxfId="21"/>
    <tableColumn id="3" xr3:uid="{00000000-0010-0000-0000-000003000000}" name="Contract Type" dataDxfId="20"/>
    <tableColumn id="4" xr3:uid="{00000000-0010-0000-0000-000004000000}" name="Applicant Name" dataDxfId="19"/>
    <tableColumn id="5" xr3:uid="{00000000-0010-0000-0000-000005000000}" name="Co-Applicant Name" dataDxfId="18"/>
    <tableColumn id="6" xr3:uid="{00000000-0010-0000-0000-000006000000}" name="Dealer Name" dataDxfId="17"/>
    <tableColumn id="7" xr3:uid="{00000000-0010-0000-0000-000007000000}" name="Funded by" dataDxfId="16"/>
    <tableColumn id="8" xr3:uid="{00000000-0010-0000-0000-000008000000}" name="Amount Financed" dataDxfId="15"/>
    <tableColumn id="9" xr3:uid="{00000000-0010-0000-0000-000009000000}" name="Applicant Email" dataDxfId="14"/>
    <tableColumn id="10" xr3:uid="{00000000-0010-0000-0000-00000A000000}" name="Co-Applicant Email" dataDxfId="13"/>
    <tableColumn id="11" xr3:uid="{00000000-0010-0000-0000-00000B000000}" name="App MMN" dataDxfId="12"/>
    <tableColumn id="12" xr3:uid="{00000000-0010-0000-0000-00000C000000}" name="Co-App MMN" dataDxfId="11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3D01C24-D9B9-4C06-A2FD-8FDF91E2A4EF}" name="Table_14" displayName="Table_14" ref="A3:E9" headerRowDxfId="2" dataDxfId="0" totalsRowDxfId="1">
  <tableColumns count="5">
    <tableColumn id="1" xr3:uid="{00000000-0010-0000-0000-000001000000}" name="Account Number" dataDxfId="7"/>
    <tableColumn id="2" xr3:uid="{00000000-0010-0000-0000-000002000000}" name="Contract Type" dataDxfId="6"/>
    <tableColumn id="3" xr3:uid="{00000000-0010-0000-0000-000003000000}" name="Applicant Name" dataDxfId="5"/>
    <tableColumn id="4" xr3:uid="{00000000-0010-0000-0000-000004000000}" name="Co-Applicant Name" dataDxfId="4"/>
    <tableColumn id="5" xr3:uid="{00000000-0010-0000-0000-000005000000}" name="Dealer Name" dataDxfId="3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31"/>
  <sheetViews>
    <sheetView tabSelected="1" workbookViewId="0">
      <pane ySplit="3" topLeftCell="A4" activePane="bottomLeft" state="frozen"/>
      <selection pane="bottomLeft" activeCell="M20" sqref="M20"/>
    </sheetView>
  </sheetViews>
  <sheetFormatPr defaultRowHeight="15" x14ac:dyDescent="0.25"/>
  <cols>
    <col min="1" max="1" width="39.5703125" bestFit="1" customWidth="1"/>
    <col min="2" max="2" width="17.7109375" bestFit="1" customWidth="1"/>
    <col min="3" max="3" width="11.140625" bestFit="1" customWidth="1"/>
    <col min="4" max="4" width="11.85546875" bestFit="1" customWidth="1"/>
    <col min="5" max="5" width="13.28515625" bestFit="1" customWidth="1"/>
    <col min="6" max="7" width="13.28515625" customWidth="1"/>
    <col min="8" max="8" width="27.85546875" bestFit="1" customWidth="1"/>
  </cols>
  <sheetData>
    <row r="1" spans="1:8" x14ac:dyDescent="0.25">
      <c r="C1" t="s">
        <v>3</v>
      </c>
      <c r="D1" s="4">
        <v>45845</v>
      </c>
      <c r="E1" t="s">
        <v>2</v>
      </c>
      <c r="H1" s="4">
        <v>45845.999988425923</v>
      </c>
    </row>
    <row r="2" spans="1:8" x14ac:dyDescent="0.25">
      <c r="A2" s="5" t="s">
        <v>0</v>
      </c>
      <c r="B2" s="6"/>
      <c r="C2" s="6"/>
      <c r="D2" s="7" t="s">
        <v>1</v>
      </c>
      <c r="E2" s="6"/>
      <c r="F2" s="6"/>
      <c r="G2" s="6"/>
      <c r="H2" s="6"/>
    </row>
    <row r="3" spans="1:8" x14ac:dyDescent="0.25">
      <c r="A3" t="s">
        <v>4</v>
      </c>
      <c r="B3" t="s">
        <v>5</v>
      </c>
      <c r="C3" t="s">
        <v>6</v>
      </c>
      <c r="D3" t="s">
        <v>7</v>
      </c>
      <c r="E3" t="s">
        <v>8</v>
      </c>
      <c r="F3" t="s">
        <v>24</v>
      </c>
      <c r="G3" t="s">
        <v>25</v>
      </c>
      <c r="H3" t="s">
        <v>9</v>
      </c>
    </row>
    <row r="4" spans="1:8" x14ac:dyDescent="0.25">
      <c r="A4" t="s">
        <v>10</v>
      </c>
      <c r="B4" t="s">
        <v>11</v>
      </c>
      <c r="C4" s="2">
        <v>1350</v>
      </c>
      <c r="D4" s="2">
        <v>0</v>
      </c>
      <c r="E4" s="2">
        <v>54330.19</v>
      </c>
      <c r="F4" s="2"/>
      <c r="G4" s="2"/>
      <c r="H4" s="2">
        <v>54405.19</v>
      </c>
    </row>
    <row r="5" spans="1:8" x14ac:dyDescent="0.25">
      <c r="C5" s="2"/>
      <c r="D5" s="2"/>
      <c r="E5" s="2"/>
      <c r="F5" s="2"/>
      <c r="G5" s="2"/>
      <c r="H5" s="2"/>
    </row>
    <row r="6" spans="1:8" x14ac:dyDescent="0.25">
      <c r="A6" t="s">
        <v>12</v>
      </c>
      <c r="B6" t="s">
        <v>13</v>
      </c>
      <c r="C6" s="2">
        <v>1050</v>
      </c>
      <c r="D6" s="2">
        <v>0</v>
      </c>
      <c r="E6" s="2">
        <v>43311.08</v>
      </c>
      <c r="F6" s="2"/>
      <c r="G6" s="2"/>
      <c r="H6" s="2">
        <v>43386.080000000002</v>
      </c>
    </row>
    <row r="7" spans="1:8" x14ac:dyDescent="0.25">
      <c r="C7" s="2"/>
      <c r="D7" s="2"/>
      <c r="E7" s="2"/>
      <c r="F7" s="2"/>
      <c r="G7" s="2"/>
      <c r="H7" s="2"/>
    </row>
    <row r="8" spans="1:8" x14ac:dyDescent="0.25">
      <c r="A8" t="s">
        <v>14</v>
      </c>
      <c r="B8" t="s">
        <v>11</v>
      </c>
      <c r="C8" s="2">
        <v>300</v>
      </c>
      <c r="D8" s="2">
        <v>0</v>
      </c>
      <c r="E8" s="2">
        <v>12608.75</v>
      </c>
      <c r="F8" s="2"/>
      <c r="G8" s="2"/>
      <c r="H8" s="2">
        <v>12683.75</v>
      </c>
    </row>
    <row r="9" spans="1:8" x14ac:dyDescent="0.25">
      <c r="C9" s="2"/>
      <c r="D9" s="2"/>
      <c r="E9" s="2"/>
      <c r="F9" s="2"/>
      <c r="G9" s="2"/>
      <c r="H9" s="2"/>
    </row>
    <row r="10" spans="1:8" x14ac:dyDescent="0.25">
      <c r="A10" t="s">
        <v>15</v>
      </c>
      <c r="B10" t="s">
        <v>13</v>
      </c>
      <c r="C10" s="2">
        <v>1050</v>
      </c>
      <c r="D10" s="2">
        <v>0</v>
      </c>
      <c r="E10" s="2">
        <v>39976.75</v>
      </c>
      <c r="F10" s="2"/>
      <c r="G10" s="2"/>
      <c r="H10" s="2">
        <v>40051.75</v>
      </c>
    </row>
    <row r="11" spans="1:8" x14ac:dyDescent="0.25">
      <c r="C11" s="2"/>
      <c r="D11" s="2"/>
      <c r="E11" s="2"/>
      <c r="F11" s="2"/>
      <c r="G11" s="2"/>
      <c r="H11" s="2"/>
    </row>
    <row r="12" spans="1:8" x14ac:dyDescent="0.25">
      <c r="A12" t="s">
        <v>16</v>
      </c>
      <c r="B12" t="s">
        <v>13</v>
      </c>
      <c r="C12" s="2">
        <v>850</v>
      </c>
      <c r="D12" s="2">
        <v>0</v>
      </c>
      <c r="E12" s="2">
        <v>30146.98</v>
      </c>
      <c r="F12" s="2"/>
      <c r="G12" s="2"/>
      <c r="H12" s="2">
        <v>30221.98</v>
      </c>
    </row>
    <row r="13" spans="1:8" x14ac:dyDescent="0.25">
      <c r="C13" s="2"/>
      <c r="D13" s="2"/>
      <c r="E13" s="2"/>
      <c r="F13" s="2"/>
      <c r="G13" s="2"/>
      <c r="H13" s="2"/>
    </row>
    <row r="14" spans="1:8" x14ac:dyDescent="0.25">
      <c r="A14" t="s">
        <v>17</v>
      </c>
      <c r="B14" t="s">
        <v>11</v>
      </c>
      <c r="C14" s="2">
        <v>850</v>
      </c>
      <c r="D14" s="2">
        <v>0</v>
      </c>
      <c r="E14" s="2">
        <v>30019.01</v>
      </c>
      <c r="F14" s="2"/>
      <c r="G14" s="2"/>
      <c r="H14" s="2">
        <v>30094.01</v>
      </c>
    </row>
    <row r="15" spans="1:8" x14ac:dyDescent="0.25">
      <c r="C15" s="2"/>
      <c r="D15" s="2"/>
      <c r="E15" s="2"/>
      <c r="F15" s="2"/>
      <c r="G15" s="2"/>
      <c r="H15" s="2"/>
    </row>
    <row r="16" spans="1:8" x14ac:dyDescent="0.25">
      <c r="A16" t="s">
        <v>18</v>
      </c>
      <c r="B16" t="s">
        <v>13</v>
      </c>
      <c r="C16" s="2">
        <v>750</v>
      </c>
      <c r="D16" s="2">
        <v>0</v>
      </c>
      <c r="E16" s="2">
        <v>25134</v>
      </c>
      <c r="F16" s="2"/>
      <c r="G16" s="2"/>
      <c r="H16" s="2">
        <v>25209</v>
      </c>
    </row>
    <row r="17" spans="1:8" x14ac:dyDescent="0.25">
      <c r="A17" t="s">
        <v>18</v>
      </c>
      <c r="B17" t="s">
        <v>13</v>
      </c>
      <c r="C17" s="2">
        <v>650</v>
      </c>
      <c r="D17" s="2">
        <v>0</v>
      </c>
      <c r="E17" s="2">
        <v>22564.880000000001</v>
      </c>
      <c r="F17" s="2"/>
      <c r="G17" s="2"/>
      <c r="H17" s="2">
        <v>22639.88</v>
      </c>
    </row>
    <row r="18" spans="1:8" x14ac:dyDescent="0.25">
      <c r="A18" t="s">
        <v>18</v>
      </c>
      <c r="B18" t="s">
        <v>11</v>
      </c>
      <c r="C18" s="2">
        <v>1050</v>
      </c>
      <c r="D18" s="2">
        <v>0</v>
      </c>
      <c r="E18" s="2">
        <v>44642.63</v>
      </c>
      <c r="F18" s="2">
        <f>SUM(E16:E18)</f>
        <v>92341.510000000009</v>
      </c>
      <c r="G18" s="2"/>
      <c r="H18" s="2">
        <v>44717.63</v>
      </c>
    </row>
    <row r="19" spans="1:8" x14ac:dyDescent="0.25">
      <c r="C19" s="2"/>
      <c r="D19" s="2"/>
      <c r="E19" s="2"/>
      <c r="F19" s="2"/>
      <c r="G19" s="2"/>
      <c r="H19" s="2"/>
    </row>
    <row r="20" spans="1:8" x14ac:dyDescent="0.25">
      <c r="A20" t="s">
        <v>19</v>
      </c>
      <c r="B20" t="s">
        <v>11</v>
      </c>
      <c r="C20" s="2">
        <v>650</v>
      </c>
      <c r="D20" s="2">
        <v>0</v>
      </c>
      <c r="E20" s="2">
        <v>20607.189999999999</v>
      </c>
      <c r="F20" s="2"/>
      <c r="G20" s="2"/>
      <c r="H20" s="2">
        <v>20682.189999999999</v>
      </c>
    </row>
    <row r="21" spans="1:8" x14ac:dyDescent="0.25">
      <c r="A21" t="s">
        <v>19</v>
      </c>
      <c r="B21" t="s">
        <v>11</v>
      </c>
      <c r="C21" s="2">
        <v>1050</v>
      </c>
      <c r="D21" s="2">
        <v>0</v>
      </c>
      <c r="E21" s="2">
        <v>42213.760000000002</v>
      </c>
      <c r="F21" s="2">
        <f>SUM(E20:E21)</f>
        <v>62820.95</v>
      </c>
      <c r="G21" s="2"/>
      <c r="H21" s="2">
        <v>42288.76</v>
      </c>
    </row>
    <row r="22" spans="1:8" x14ac:dyDescent="0.25">
      <c r="C22" s="2"/>
      <c r="D22" s="2"/>
      <c r="E22" s="2"/>
      <c r="F22" s="2"/>
      <c r="G22" s="2"/>
      <c r="H22" s="2"/>
    </row>
    <row r="23" spans="1:8" x14ac:dyDescent="0.25">
      <c r="A23" t="s">
        <v>20</v>
      </c>
      <c r="B23" t="s">
        <v>13</v>
      </c>
      <c r="C23" s="2">
        <v>950</v>
      </c>
      <c r="D23" s="2">
        <v>0</v>
      </c>
      <c r="E23" s="2">
        <v>39791.870000000003</v>
      </c>
      <c r="F23" s="2"/>
      <c r="G23" s="2"/>
      <c r="H23" s="2">
        <v>39866.870000000003</v>
      </c>
    </row>
    <row r="24" spans="1:8" x14ac:dyDescent="0.25">
      <c r="C24" s="2"/>
      <c r="D24" s="2"/>
      <c r="E24" s="2"/>
      <c r="F24" s="2"/>
      <c r="G24" s="2"/>
      <c r="H24" s="2"/>
    </row>
    <row r="25" spans="1:8" x14ac:dyDescent="0.25">
      <c r="A25" t="s">
        <v>21</v>
      </c>
      <c r="B25" t="s">
        <v>11</v>
      </c>
      <c r="C25" s="2">
        <v>650</v>
      </c>
      <c r="D25" s="2">
        <v>0</v>
      </c>
      <c r="E25" s="2">
        <v>21895.279999999999</v>
      </c>
      <c r="F25" s="2"/>
      <c r="G25" s="2"/>
      <c r="H25" s="2">
        <v>21970.28</v>
      </c>
    </row>
    <row r="26" spans="1:8" x14ac:dyDescent="0.25">
      <c r="C26" s="2"/>
      <c r="D26" s="2"/>
      <c r="E26" s="2"/>
      <c r="F26" s="2"/>
      <c r="G26" s="2"/>
      <c r="H26" s="2"/>
    </row>
    <row r="27" spans="1:8" x14ac:dyDescent="0.25">
      <c r="A27" t="s">
        <v>22</v>
      </c>
      <c r="B27" t="s">
        <v>11</v>
      </c>
      <c r="C27" s="2">
        <v>850</v>
      </c>
      <c r="D27" s="2">
        <v>0</v>
      </c>
      <c r="E27" s="2">
        <v>31916.19</v>
      </c>
      <c r="F27" s="2"/>
      <c r="G27" s="2"/>
      <c r="H27" s="2">
        <v>31991.19</v>
      </c>
    </row>
    <row r="28" spans="1:8" x14ac:dyDescent="0.25">
      <c r="A28" t="s">
        <v>22</v>
      </c>
      <c r="B28" t="s">
        <v>11</v>
      </c>
      <c r="C28" s="2">
        <v>650</v>
      </c>
      <c r="D28" s="2">
        <v>0</v>
      </c>
      <c r="E28" s="2">
        <v>23251.439999999999</v>
      </c>
      <c r="F28" s="2">
        <f>SUM(E27:E28)</f>
        <v>55167.63</v>
      </c>
      <c r="G28" s="2"/>
      <c r="H28" s="2">
        <v>23326.44</v>
      </c>
    </row>
    <row r="29" spans="1:8" x14ac:dyDescent="0.25">
      <c r="C29" s="2"/>
      <c r="D29" s="2"/>
      <c r="E29" s="2"/>
      <c r="F29" s="2"/>
      <c r="G29" s="2"/>
      <c r="H29" s="2"/>
    </row>
    <row r="30" spans="1:8" x14ac:dyDescent="0.25">
      <c r="A30" t="s">
        <v>23</v>
      </c>
      <c r="B30" t="s">
        <v>13</v>
      </c>
      <c r="C30" s="2">
        <v>1350</v>
      </c>
      <c r="D30" s="2">
        <v>0</v>
      </c>
      <c r="E30" s="2">
        <v>57830.1</v>
      </c>
      <c r="F30" s="2"/>
      <c r="G30" s="2"/>
      <c r="H30" s="2">
        <v>57905.1</v>
      </c>
    </row>
    <row r="31" spans="1:8" x14ac:dyDescent="0.25">
      <c r="A31" s="1"/>
      <c r="B31" s="1"/>
      <c r="C31" s="3">
        <f>SUM(C4:C30)</f>
        <v>14050</v>
      </c>
      <c r="D31" s="3">
        <f>SUM(D4:D30)</f>
        <v>0</v>
      </c>
      <c r="E31" s="3">
        <f>SUM(E4:E30)</f>
        <v>540240.1</v>
      </c>
      <c r="F31" s="3"/>
      <c r="G31" s="3"/>
      <c r="H31" s="3">
        <f>SUM(H4:H30)</f>
        <v>541440.1</v>
      </c>
    </row>
  </sheetData>
  <mergeCells count="2">
    <mergeCell ref="A2:C2"/>
    <mergeCell ref="D2:H2"/>
  </mergeCells>
  <phoneticPr fontId="3" type="noConversion"/>
  <pageMargins left="0.7" right="0.7" top="0.75" bottom="0.75" header="0.3" footer="0.3"/>
  <pageSetup paperSize="5" fitToHeight="0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FB800-0F1E-4FFF-80B1-3BFF4293E07D}">
  <sheetPr>
    <pageSetUpPr fitToPage="1"/>
  </sheetPr>
  <dimension ref="A1:L22"/>
  <sheetViews>
    <sheetView workbookViewId="0">
      <pane ySplit="3" topLeftCell="A10" activePane="bottomLeft" state="frozen"/>
      <selection pane="bottomLeft" activeCell="A4" sqref="A4:A19"/>
    </sheetView>
  </sheetViews>
  <sheetFormatPr defaultRowHeight="15" x14ac:dyDescent="0.25"/>
  <cols>
    <col min="1" max="1" width="16.42578125" style="8" bestFit="1" customWidth="1"/>
    <col min="2" max="2" width="12.140625" style="8" bestFit="1" customWidth="1"/>
    <col min="3" max="3" width="14" style="8" bestFit="1" customWidth="1"/>
    <col min="4" max="4" width="24.7109375" style="8" bestFit="1" customWidth="1"/>
    <col min="5" max="5" width="18.7109375" style="8" bestFit="1" customWidth="1"/>
    <col min="6" max="6" width="39.5703125" style="8" bestFit="1" customWidth="1"/>
    <col min="7" max="7" width="17.7109375" style="8" bestFit="1" customWidth="1"/>
    <col min="8" max="8" width="17.140625" style="8" bestFit="1" customWidth="1"/>
    <col min="9" max="9" width="30" style="8" bestFit="1" customWidth="1"/>
    <col min="10" max="10" width="18.42578125" style="8" bestFit="1" customWidth="1"/>
    <col min="11" max="11" width="14.140625" style="8" bestFit="1" customWidth="1"/>
    <col min="12" max="12" width="12.85546875" style="8" bestFit="1" customWidth="1"/>
    <col min="13" max="16384" width="9.140625" style="8"/>
  </cols>
  <sheetData>
    <row r="1" spans="1:12" ht="35.1" customHeight="1" x14ac:dyDescent="0.25">
      <c r="A1" s="9"/>
      <c r="B1" s="9"/>
      <c r="C1" s="9"/>
      <c r="D1" s="9"/>
      <c r="E1" s="9"/>
      <c r="F1" s="9"/>
      <c r="G1" s="9"/>
      <c r="H1" s="9"/>
      <c r="I1" s="9"/>
      <c r="J1" s="9" t="s">
        <v>3</v>
      </c>
      <c r="K1" s="10">
        <v>45845</v>
      </c>
      <c r="L1" s="9" t="s">
        <v>2</v>
      </c>
    </row>
    <row r="2" spans="1:12" ht="35.1" customHeight="1" x14ac:dyDescent="0.25">
      <c r="A2" s="11" t="s">
        <v>0</v>
      </c>
      <c r="B2" s="12"/>
      <c r="C2" s="12"/>
      <c r="D2" s="12"/>
      <c r="E2" s="12"/>
      <c r="F2" s="12"/>
      <c r="G2" s="13" t="s">
        <v>104</v>
      </c>
      <c r="H2" s="12"/>
      <c r="I2" s="12"/>
      <c r="J2" s="12"/>
      <c r="K2" s="12"/>
      <c r="L2" s="12"/>
    </row>
    <row r="3" spans="1:12" ht="35.1" customHeight="1" x14ac:dyDescent="0.25">
      <c r="A3" s="9" t="s">
        <v>103</v>
      </c>
      <c r="B3" s="9" t="s">
        <v>102</v>
      </c>
      <c r="C3" s="9" t="s">
        <v>101</v>
      </c>
      <c r="D3" s="9" t="s">
        <v>100</v>
      </c>
      <c r="E3" s="9" t="s">
        <v>99</v>
      </c>
      <c r="F3" s="9" t="s">
        <v>4</v>
      </c>
      <c r="G3" s="9" t="s">
        <v>5</v>
      </c>
      <c r="H3" s="9" t="s">
        <v>98</v>
      </c>
      <c r="I3" s="9" t="s">
        <v>97</v>
      </c>
      <c r="J3" s="9" t="s">
        <v>96</v>
      </c>
      <c r="K3" s="9" t="s">
        <v>95</v>
      </c>
      <c r="L3" s="9" t="s">
        <v>94</v>
      </c>
    </row>
    <row r="4" spans="1:12" ht="35.1" customHeight="1" x14ac:dyDescent="0.25">
      <c r="A4" s="9" t="s">
        <v>93</v>
      </c>
      <c r="B4" s="9" t="s">
        <v>31</v>
      </c>
      <c r="C4" s="9" t="s">
        <v>30</v>
      </c>
      <c r="D4" s="9" t="s">
        <v>92</v>
      </c>
      <c r="E4" s="9"/>
      <c r="F4" s="9" t="s">
        <v>16</v>
      </c>
      <c r="G4" s="9" t="s">
        <v>13</v>
      </c>
      <c r="H4" s="14">
        <v>30221.98</v>
      </c>
      <c r="I4" s="9"/>
      <c r="J4" s="9"/>
      <c r="K4" s="9" t="s">
        <v>91</v>
      </c>
      <c r="L4" s="9"/>
    </row>
    <row r="5" spans="1:12" ht="35.1" customHeight="1" x14ac:dyDescent="0.25">
      <c r="A5" s="9" t="s">
        <v>90</v>
      </c>
      <c r="B5" s="9" t="s">
        <v>31</v>
      </c>
      <c r="C5" s="9" t="s">
        <v>30</v>
      </c>
      <c r="D5" s="9" t="s">
        <v>89</v>
      </c>
      <c r="E5" s="9"/>
      <c r="F5" s="9" t="s">
        <v>18</v>
      </c>
      <c r="G5" s="9" t="s">
        <v>13</v>
      </c>
      <c r="H5" s="14">
        <v>22639.88</v>
      </c>
      <c r="I5" s="9" t="s">
        <v>88</v>
      </c>
      <c r="J5" s="9"/>
      <c r="K5" s="9" t="s">
        <v>87</v>
      </c>
      <c r="L5" s="9"/>
    </row>
    <row r="6" spans="1:12" ht="35.1" customHeight="1" x14ac:dyDescent="0.25">
      <c r="A6" s="9" t="s">
        <v>86</v>
      </c>
      <c r="B6" s="9" t="s">
        <v>31</v>
      </c>
      <c r="C6" s="9" t="s">
        <v>30</v>
      </c>
      <c r="D6" s="9" t="s">
        <v>85</v>
      </c>
      <c r="E6" s="9"/>
      <c r="F6" s="9" t="s">
        <v>22</v>
      </c>
      <c r="G6" s="9" t="s">
        <v>11</v>
      </c>
      <c r="H6" s="14">
        <v>23326.44</v>
      </c>
      <c r="I6" s="9" t="s">
        <v>84</v>
      </c>
      <c r="J6" s="9"/>
      <c r="K6" s="9" t="s">
        <v>83</v>
      </c>
      <c r="L6" s="9"/>
    </row>
    <row r="7" spans="1:12" ht="35.1" customHeight="1" x14ac:dyDescent="0.25">
      <c r="A7" s="9" t="s">
        <v>82</v>
      </c>
      <c r="B7" s="9" t="s">
        <v>31</v>
      </c>
      <c r="C7" s="9" t="s">
        <v>30</v>
      </c>
      <c r="D7" s="9" t="s">
        <v>81</v>
      </c>
      <c r="E7" s="9"/>
      <c r="F7" s="9" t="s">
        <v>18</v>
      </c>
      <c r="G7" s="9" t="s">
        <v>13</v>
      </c>
      <c r="H7" s="14">
        <v>25209</v>
      </c>
      <c r="I7" s="9" t="s">
        <v>80</v>
      </c>
      <c r="J7" s="9"/>
      <c r="K7" s="9" t="s">
        <v>79</v>
      </c>
      <c r="L7" s="9"/>
    </row>
    <row r="8" spans="1:12" ht="35.1" customHeight="1" x14ac:dyDescent="0.25">
      <c r="A8" s="9" t="s">
        <v>78</v>
      </c>
      <c r="B8" s="9" t="s">
        <v>37</v>
      </c>
      <c r="C8" s="9" t="s">
        <v>30</v>
      </c>
      <c r="D8" s="9" t="s">
        <v>77</v>
      </c>
      <c r="E8" s="9"/>
      <c r="F8" s="9" t="s">
        <v>15</v>
      </c>
      <c r="G8" s="9" t="s">
        <v>13</v>
      </c>
      <c r="H8" s="14">
        <v>40051.75</v>
      </c>
      <c r="I8" s="9" t="s">
        <v>76</v>
      </c>
      <c r="J8" s="9"/>
      <c r="K8" s="9" t="s">
        <v>75</v>
      </c>
      <c r="L8" s="9"/>
    </row>
    <row r="9" spans="1:12" ht="35.1" customHeight="1" x14ac:dyDescent="0.25">
      <c r="A9" s="9" t="s">
        <v>74</v>
      </c>
      <c r="B9" s="9" t="s">
        <v>31</v>
      </c>
      <c r="C9" s="9" t="s">
        <v>30</v>
      </c>
      <c r="D9" s="9" t="s">
        <v>73</v>
      </c>
      <c r="E9" s="9"/>
      <c r="F9" s="9" t="s">
        <v>23</v>
      </c>
      <c r="G9" s="9" t="s">
        <v>13</v>
      </c>
      <c r="H9" s="14">
        <v>57905.1</v>
      </c>
      <c r="I9" s="9" t="s">
        <v>72</v>
      </c>
      <c r="J9" s="9"/>
      <c r="K9" s="9" t="s">
        <v>71</v>
      </c>
      <c r="L9" s="9"/>
    </row>
    <row r="10" spans="1:12" ht="35.1" customHeight="1" x14ac:dyDescent="0.25">
      <c r="A10" s="9" t="s">
        <v>70</v>
      </c>
      <c r="B10" s="9" t="s">
        <v>31</v>
      </c>
      <c r="C10" s="9" t="s">
        <v>36</v>
      </c>
      <c r="D10" s="9" t="s">
        <v>67</v>
      </c>
      <c r="E10" s="9" t="s">
        <v>69</v>
      </c>
      <c r="F10" s="9" t="s">
        <v>12</v>
      </c>
      <c r="G10" s="9" t="s">
        <v>13</v>
      </c>
      <c r="H10" s="14">
        <v>43386.080000000002</v>
      </c>
      <c r="I10" s="9"/>
      <c r="J10" s="9"/>
      <c r="K10" s="9" t="s">
        <v>68</v>
      </c>
      <c r="L10" s="9"/>
    </row>
    <row r="11" spans="1:12" ht="35.1" customHeight="1" x14ac:dyDescent="0.25">
      <c r="A11" s="9" t="s">
        <v>66</v>
      </c>
      <c r="B11" s="9" t="s">
        <v>31</v>
      </c>
      <c r="C11" s="9" t="s">
        <v>30</v>
      </c>
      <c r="D11" s="9" t="s">
        <v>65</v>
      </c>
      <c r="E11" s="9"/>
      <c r="F11" s="9" t="s">
        <v>10</v>
      </c>
      <c r="G11" s="9" t="s">
        <v>11</v>
      </c>
      <c r="H11" s="14">
        <v>54405.19</v>
      </c>
      <c r="I11" s="9" t="s">
        <v>64</v>
      </c>
      <c r="J11" s="9"/>
      <c r="K11" s="9" t="s">
        <v>63</v>
      </c>
      <c r="L11" s="9"/>
    </row>
    <row r="12" spans="1:12" ht="35.1" customHeight="1" x14ac:dyDescent="0.25">
      <c r="A12" s="9" t="s">
        <v>62</v>
      </c>
      <c r="B12" s="9" t="s">
        <v>31</v>
      </c>
      <c r="C12" s="9" t="s">
        <v>30</v>
      </c>
      <c r="D12" s="9" t="s">
        <v>61</v>
      </c>
      <c r="E12" s="9"/>
      <c r="F12" s="9" t="s">
        <v>22</v>
      </c>
      <c r="G12" s="9" t="s">
        <v>11</v>
      </c>
      <c r="H12" s="14">
        <v>31991.19</v>
      </c>
      <c r="I12" s="9" t="s">
        <v>60</v>
      </c>
      <c r="J12" s="9"/>
      <c r="K12" s="9" t="s">
        <v>59</v>
      </c>
      <c r="L12" s="9"/>
    </row>
    <row r="13" spans="1:12" ht="35.1" customHeight="1" x14ac:dyDescent="0.25">
      <c r="A13" s="9" t="s">
        <v>58</v>
      </c>
      <c r="B13" s="9" t="s">
        <v>37</v>
      </c>
      <c r="C13" s="9" t="s">
        <v>36</v>
      </c>
      <c r="D13" s="9" t="s">
        <v>57</v>
      </c>
      <c r="E13" s="9"/>
      <c r="F13" s="9" t="s">
        <v>19</v>
      </c>
      <c r="G13" s="9" t="s">
        <v>11</v>
      </c>
      <c r="H13" s="14">
        <v>20682.189999999999</v>
      </c>
      <c r="I13" s="9" t="s">
        <v>56</v>
      </c>
      <c r="J13" s="9"/>
      <c r="K13" s="9" t="s">
        <v>55</v>
      </c>
      <c r="L13" s="9"/>
    </row>
    <row r="14" spans="1:12" ht="35.1" customHeight="1" x14ac:dyDescent="0.25">
      <c r="A14" s="9" t="s">
        <v>54</v>
      </c>
      <c r="B14" s="9" t="s">
        <v>37</v>
      </c>
      <c r="C14" s="9" t="s">
        <v>30</v>
      </c>
      <c r="D14" s="9" t="s">
        <v>53</v>
      </c>
      <c r="E14" s="9"/>
      <c r="F14" s="9" t="s">
        <v>14</v>
      </c>
      <c r="G14" s="9" t="s">
        <v>11</v>
      </c>
      <c r="H14" s="14">
        <v>12683.75</v>
      </c>
      <c r="I14" s="9" t="s">
        <v>52</v>
      </c>
      <c r="J14" s="9"/>
      <c r="K14" s="9" t="s">
        <v>51</v>
      </c>
      <c r="L14" s="9"/>
    </row>
    <row r="15" spans="1:12" ht="35.1" customHeight="1" x14ac:dyDescent="0.25">
      <c r="A15" s="9" t="s">
        <v>50</v>
      </c>
      <c r="B15" s="9" t="s">
        <v>37</v>
      </c>
      <c r="C15" s="9" t="s">
        <v>36</v>
      </c>
      <c r="D15" s="9" t="s">
        <v>49</v>
      </c>
      <c r="E15" s="9"/>
      <c r="F15" s="9" t="s">
        <v>19</v>
      </c>
      <c r="G15" s="9" t="s">
        <v>11</v>
      </c>
      <c r="H15" s="14">
        <v>42288.76</v>
      </c>
      <c r="I15" s="9" t="s">
        <v>48</v>
      </c>
      <c r="J15" s="9"/>
      <c r="K15" s="9" t="s">
        <v>47</v>
      </c>
      <c r="L15" s="9"/>
    </row>
    <row r="16" spans="1:12" ht="35.1" customHeight="1" x14ac:dyDescent="0.25">
      <c r="A16" s="9" t="s">
        <v>46</v>
      </c>
      <c r="B16" s="9" t="s">
        <v>37</v>
      </c>
      <c r="C16" s="9" t="s">
        <v>30</v>
      </c>
      <c r="D16" s="9" t="s">
        <v>45</v>
      </c>
      <c r="E16" s="9"/>
      <c r="F16" s="9" t="s">
        <v>17</v>
      </c>
      <c r="G16" s="9" t="s">
        <v>11</v>
      </c>
      <c r="H16" s="14">
        <v>30094.01</v>
      </c>
      <c r="I16" s="9" t="s">
        <v>44</v>
      </c>
      <c r="J16" s="9"/>
      <c r="K16" s="9" t="s">
        <v>43</v>
      </c>
      <c r="L16" s="9"/>
    </row>
    <row r="17" spans="1:12" ht="35.1" customHeight="1" x14ac:dyDescent="0.25">
      <c r="A17" s="9" t="s">
        <v>42</v>
      </c>
      <c r="B17" s="9" t="s">
        <v>37</v>
      </c>
      <c r="C17" s="9" t="s">
        <v>36</v>
      </c>
      <c r="D17" s="9" t="s">
        <v>41</v>
      </c>
      <c r="E17" s="9"/>
      <c r="F17" s="9" t="s">
        <v>21</v>
      </c>
      <c r="G17" s="9" t="s">
        <v>11</v>
      </c>
      <c r="H17" s="14">
        <v>21970.28</v>
      </c>
      <c r="I17" s="9" t="s">
        <v>40</v>
      </c>
      <c r="J17" s="9"/>
      <c r="K17" s="9" t="s">
        <v>39</v>
      </c>
      <c r="L17" s="9"/>
    </row>
    <row r="18" spans="1:12" ht="35.1" customHeight="1" x14ac:dyDescent="0.25">
      <c r="A18" s="9" t="s">
        <v>38</v>
      </c>
      <c r="B18" s="9" t="s">
        <v>37</v>
      </c>
      <c r="C18" s="9" t="s">
        <v>36</v>
      </c>
      <c r="D18" s="9" t="s">
        <v>33</v>
      </c>
      <c r="E18" s="9" t="s">
        <v>35</v>
      </c>
      <c r="F18" s="9" t="s">
        <v>20</v>
      </c>
      <c r="G18" s="9" t="s">
        <v>13</v>
      </c>
      <c r="H18" s="14">
        <v>39866.870000000003</v>
      </c>
      <c r="I18" s="9"/>
      <c r="J18" s="9"/>
      <c r="K18" s="9" t="s">
        <v>34</v>
      </c>
      <c r="L18" s="9"/>
    </row>
    <row r="19" spans="1:12" ht="35.1" customHeight="1" x14ac:dyDescent="0.25">
      <c r="A19" s="9" t="s">
        <v>32</v>
      </c>
      <c r="B19" s="9" t="s">
        <v>31</v>
      </c>
      <c r="C19" s="9" t="s">
        <v>30</v>
      </c>
      <c r="D19" s="9" t="s">
        <v>29</v>
      </c>
      <c r="E19" s="9"/>
      <c r="F19" s="9" t="s">
        <v>18</v>
      </c>
      <c r="G19" s="9" t="s">
        <v>11</v>
      </c>
      <c r="H19" s="14">
        <v>44717.63</v>
      </c>
      <c r="I19" s="9" t="s">
        <v>28</v>
      </c>
      <c r="J19" s="9"/>
      <c r="K19" s="9" t="s">
        <v>27</v>
      </c>
      <c r="L19" s="9"/>
    </row>
    <row r="20" spans="1:12" ht="35.1" customHeight="1" x14ac:dyDescent="0.25">
      <c r="A20" s="15"/>
      <c r="B20" s="15"/>
      <c r="C20" s="15"/>
      <c r="D20" s="15" t="s">
        <v>26</v>
      </c>
      <c r="E20" s="15"/>
      <c r="F20" s="15"/>
      <c r="G20" s="15"/>
      <c r="H20" s="16">
        <f>SUM(H4:H19)</f>
        <v>541440.1</v>
      </c>
      <c r="I20" s="15"/>
      <c r="J20" s="15"/>
      <c r="K20" s="15"/>
      <c r="L20" s="15"/>
    </row>
    <row r="21" spans="1:12" ht="35.1" customHeight="1" x14ac:dyDescent="0.25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</row>
    <row r="22" spans="1:12" ht="35.1" customHeight="1" x14ac:dyDescent="0.25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</row>
  </sheetData>
  <mergeCells count="2">
    <mergeCell ref="A2:F2"/>
    <mergeCell ref="G2:L2"/>
  </mergeCells>
  <pageMargins left="0.7" right="0.7" top="0.75" bottom="0.75" header="0.3" footer="0.3"/>
  <pageSetup paperSize="5" scale="68" fitToHeight="0" orientation="landscape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17478-92C1-460B-998E-4819EAC9E3A3}">
  <sheetPr>
    <pageSetUpPr fitToPage="1"/>
  </sheetPr>
  <dimension ref="A1:E29"/>
  <sheetViews>
    <sheetView workbookViewId="0">
      <pane ySplit="3" topLeftCell="A4" activePane="bottomLeft" state="frozen"/>
      <selection pane="bottomLeft" activeCell="D36" sqref="D36"/>
    </sheetView>
  </sheetViews>
  <sheetFormatPr defaultRowHeight="15" x14ac:dyDescent="0.25"/>
  <cols>
    <col min="1" max="1" width="16.42578125" style="8" bestFit="1" customWidth="1"/>
    <col min="2" max="2" width="14" style="8" bestFit="1" customWidth="1"/>
    <col min="3" max="3" width="24.7109375" style="8" bestFit="1" customWidth="1"/>
    <col min="4" max="4" width="18.7109375" style="8" bestFit="1" customWidth="1"/>
    <col min="5" max="5" width="39.5703125" style="8" bestFit="1" customWidth="1"/>
    <col min="6" max="16384" width="9.140625" style="8"/>
  </cols>
  <sheetData>
    <row r="1" spans="1:5" x14ac:dyDescent="0.25">
      <c r="A1" s="9"/>
      <c r="B1" s="9"/>
      <c r="C1" s="9" t="s">
        <v>3</v>
      </c>
      <c r="D1" s="10">
        <v>45845</v>
      </c>
      <c r="E1" s="9" t="s">
        <v>2</v>
      </c>
    </row>
    <row r="2" spans="1:5" x14ac:dyDescent="0.25">
      <c r="A2" s="11" t="s">
        <v>0</v>
      </c>
      <c r="B2" s="12"/>
      <c r="C2" s="12"/>
      <c r="D2" s="13" t="s">
        <v>109</v>
      </c>
      <c r="E2" s="12"/>
    </row>
    <row r="3" spans="1:5" x14ac:dyDescent="0.25">
      <c r="A3" s="9" t="s">
        <v>103</v>
      </c>
      <c r="B3" s="9" t="s">
        <v>101</v>
      </c>
      <c r="C3" s="9" t="s">
        <v>100</v>
      </c>
      <c r="D3" s="9" t="s">
        <v>99</v>
      </c>
      <c r="E3" s="9" t="s">
        <v>4</v>
      </c>
    </row>
    <row r="4" spans="1:5" x14ac:dyDescent="0.25">
      <c r="A4" s="9" t="s">
        <v>70</v>
      </c>
      <c r="B4" s="9" t="s">
        <v>36</v>
      </c>
      <c r="C4" s="9" t="s">
        <v>67</v>
      </c>
      <c r="D4" s="9" t="s">
        <v>69</v>
      </c>
      <c r="E4" s="9" t="s">
        <v>12</v>
      </c>
    </row>
    <row r="5" spans="1:5" x14ac:dyDescent="0.25">
      <c r="A5" s="9" t="s">
        <v>58</v>
      </c>
      <c r="B5" s="9" t="s">
        <v>36</v>
      </c>
      <c r="C5" s="9" t="s">
        <v>57</v>
      </c>
      <c r="D5" s="9"/>
      <c r="E5" s="9" t="s">
        <v>19</v>
      </c>
    </row>
    <row r="6" spans="1:5" x14ac:dyDescent="0.25">
      <c r="A6" s="9" t="s">
        <v>50</v>
      </c>
      <c r="B6" s="9" t="s">
        <v>36</v>
      </c>
      <c r="C6" s="9" t="s">
        <v>49</v>
      </c>
      <c r="D6" s="9"/>
      <c r="E6" s="9" t="s">
        <v>19</v>
      </c>
    </row>
    <row r="7" spans="1:5" x14ac:dyDescent="0.25">
      <c r="A7" s="9" t="s">
        <v>42</v>
      </c>
      <c r="B7" s="9" t="s">
        <v>36</v>
      </c>
      <c r="C7" s="9" t="s">
        <v>41</v>
      </c>
      <c r="D7" s="9"/>
      <c r="E7" s="9" t="s">
        <v>21</v>
      </c>
    </row>
    <row r="8" spans="1:5" x14ac:dyDescent="0.25">
      <c r="A8" s="9" t="s">
        <v>38</v>
      </c>
      <c r="B8" s="9" t="s">
        <v>36</v>
      </c>
      <c r="C8" s="9" t="s">
        <v>33</v>
      </c>
      <c r="D8" s="9" t="s">
        <v>35</v>
      </c>
      <c r="E8" s="9" t="s">
        <v>20</v>
      </c>
    </row>
    <row r="9" spans="1:5" x14ac:dyDescent="0.25">
      <c r="A9" s="15"/>
      <c r="B9" s="15"/>
      <c r="C9" s="15" t="s">
        <v>108</v>
      </c>
      <c r="D9" s="15"/>
      <c r="E9" s="15"/>
    </row>
    <row r="10" spans="1:5" x14ac:dyDescent="0.25">
      <c r="A10" s="9"/>
      <c r="B10" s="9"/>
      <c r="C10" s="9"/>
      <c r="D10" s="9"/>
      <c r="E10" s="9"/>
    </row>
    <row r="11" spans="1:5" x14ac:dyDescent="0.25">
      <c r="A11" s="9"/>
      <c r="B11" s="9"/>
      <c r="C11" s="9"/>
      <c r="D11" s="9"/>
      <c r="E11" s="9"/>
    </row>
    <row r="12" spans="1:5" x14ac:dyDescent="0.25">
      <c r="A12" s="9"/>
      <c r="B12" s="9"/>
      <c r="C12" s="9"/>
      <c r="D12" s="9"/>
      <c r="E12" s="9"/>
    </row>
    <row r="13" spans="1:5" x14ac:dyDescent="0.25">
      <c r="A13" s="9"/>
      <c r="B13" s="9"/>
      <c r="C13" s="9"/>
      <c r="D13" s="9"/>
      <c r="E13" s="9"/>
    </row>
    <row r="14" spans="1:5" x14ac:dyDescent="0.25">
      <c r="A14" s="9" t="s">
        <v>107</v>
      </c>
      <c r="B14" s="9"/>
      <c r="C14" s="9"/>
      <c r="D14" s="9"/>
      <c r="E14" s="9"/>
    </row>
    <row r="15" spans="1:5" x14ac:dyDescent="0.25">
      <c r="A15" s="9"/>
      <c r="B15" s="9"/>
      <c r="C15" s="9"/>
      <c r="D15" s="9"/>
      <c r="E15" s="9"/>
    </row>
    <row r="16" spans="1:5" x14ac:dyDescent="0.25">
      <c r="A16" s="9"/>
      <c r="B16" s="9"/>
      <c r="C16" s="9"/>
      <c r="D16" s="9"/>
      <c r="E16" s="9"/>
    </row>
    <row r="17" spans="1:5" x14ac:dyDescent="0.25">
      <c r="A17" s="9"/>
      <c r="B17" s="9"/>
      <c r="C17" s="9"/>
      <c r="D17" s="9"/>
      <c r="E17" s="9"/>
    </row>
    <row r="18" spans="1:5" x14ac:dyDescent="0.25">
      <c r="A18" s="9" t="s">
        <v>106</v>
      </c>
      <c r="B18" s="9"/>
      <c r="C18" s="9"/>
      <c r="D18" s="9"/>
      <c r="E18" s="9"/>
    </row>
    <row r="19" spans="1:5" x14ac:dyDescent="0.25">
      <c r="A19" s="9"/>
      <c r="B19" s="9"/>
      <c r="C19" s="9"/>
      <c r="D19" s="9"/>
      <c r="E19" s="9"/>
    </row>
    <row r="20" spans="1:5" x14ac:dyDescent="0.25">
      <c r="A20" s="9"/>
      <c r="B20" s="9"/>
      <c r="C20" s="9"/>
      <c r="D20" s="9"/>
      <c r="E20" s="9"/>
    </row>
    <row r="21" spans="1:5" x14ac:dyDescent="0.25">
      <c r="A21" s="9" t="s">
        <v>105</v>
      </c>
      <c r="B21" s="9"/>
      <c r="C21" s="9"/>
      <c r="D21" s="9"/>
      <c r="E21" s="9"/>
    </row>
    <row r="22" spans="1:5" x14ac:dyDescent="0.25">
      <c r="A22" s="9"/>
      <c r="B22" s="9"/>
      <c r="C22" s="9"/>
      <c r="D22" s="9"/>
      <c r="E22" s="9"/>
    </row>
    <row r="23" spans="1:5" x14ac:dyDescent="0.25">
      <c r="A23" s="9"/>
      <c r="B23" s="9"/>
      <c r="C23" s="9"/>
      <c r="D23" s="9"/>
      <c r="E23" s="9"/>
    </row>
    <row r="24" spans="1:5" x14ac:dyDescent="0.25">
      <c r="A24" s="9"/>
      <c r="B24" s="9"/>
      <c r="C24" s="9"/>
      <c r="D24" s="9"/>
      <c r="E24" s="9"/>
    </row>
    <row r="25" spans="1:5" x14ac:dyDescent="0.25">
      <c r="A25" s="9"/>
      <c r="B25" s="9"/>
      <c r="C25" s="9"/>
      <c r="D25" s="9"/>
      <c r="E25" s="9"/>
    </row>
    <row r="26" spans="1:5" x14ac:dyDescent="0.25">
      <c r="A26" s="9"/>
      <c r="B26" s="9"/>
      <c r="C26" s="9"/>
      <c r="D26" s="9"/>
      <c r="E26" s="9"/>
    </row>
    <row r="27" spans="1:5" x14ac:dyDescent="0.25">
      <c r="A27" s="9"/>
      <c r="B27" s="9"/>
      <c r="C27" s="9"/>
      <c r="D27" s="9"/>
      <c r="E27" s="9"/>
    </row>
    <row r="28" spans="1:5" x14ac:dyDescent="0.25">
      <c r="A28" s="9"/>
      <c r="B28" s="9"/>
      <c r="C28" s="9"/>
      <c r="D28" s="9"/>
      <c r="E28" s="9"/>
    </row>
    <row r="29" spans="1:5" x14ac:dyDescent="0.25">
      <c r="A29" s="9"/>
      <c r="B29" s="9"/>
      <c r="C29" s="9"/>
      <c r="D29" s="9"/>
      <c r="E29" s="9"/>
    </row>
  </sheetData>
  <mergeCells count="2">
    <mergeCell ref="A2:C2"/>
    <mergeCell ref="D2:E2"/>
  </mergeCells>
  <pageMargins left="0.7" right="0.7" top="0.75" bottom="0.75" header="0.3" footer="0.3"/>
  <pageSetup scale="79" fitToHeight="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Funding Worksheet - ACH Version</vt:lpstr>
      <vt:lpstr>Funding Worksheet - Folder Vers</vt:lpstr>
      <vt:lpstr>Funding Worksheet - Signoff Ver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Neli Oliveira</cp:lastModifiedBy>
  <cp:lastPrinted>2025-07-07T17:55:54Z</cp:lastPrinted>
  <dcterms:created xsi:type="dcterms:W3CDTF">2025-07-07T17:44:31Z</dcterms:created>
  <dcterms:modified xsi:type="dcterms:W3CDTF">2025-07-07T18:14:37Z</dcterms:modified>
</cp:coreProperties>
</file>