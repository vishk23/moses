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55B0ED19-73CF-4F1A-9BF5-425AE675E8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5" i="1"/>
  <c r="F10" i="1"/>
  <c r="H19" i="2"/>
  <c r="H30" i="1"/>
  <c r="E30" i="1"/>
  <c r="D30" i="1"/>
  <c r="C30" i="1"/>
</calcChain>
</file>

<file path=xl/sharedStrings.xml><?xml version="1.0" encoding="utf-8"?>
<sst xmlns="http://schemas.openxmlformats.org/spreadsheetml/2006/main" count="196" uniqueCount="106">
  <si>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</si>
  <si>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</si>
  <si>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</si>
  <si>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</si>
  <si>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</si>
  <si>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</si>
  <si>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</si>
  <si>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</si>
  <si>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</si>
  <si>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</si>
  <si>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Buick Pontiac GMC</t>
  </si>
  <si>
    <t>Rachel Gorham</t>
  </si>
  <si>
    <t>Neli Oliveira</t>
  </si>
  <si>
    <t>Bald Hill Dodge Chrysler</t>
  </si>
  <si>
    <t>Battles Nissan, LLC</t>
  </si>
  <si>
    <t>Coastal Volkswagon</t>
  </si>
  <si>
    <t>Grieco Toyota</t>
  </si>
  <si>
    <t>Herb Chambers Boston Turnpike Inc d/b/a</t>
  </si>
  <si>
    <t>Lucchettis Service Center Inc</t>
  </si>
  <si>
    <t>Mathieu Ford Sales, Inc</t>
  </si>
  <si>
    <t>Planet Automotive Sales LLC</t>
  </si>
  <si>
    <t>Salvadore Chevrolet</t>
  </si>
  <si>
    <t>T F Murphy Enterprises Inc</t>
  </si>
  <si>
    <t>Viti Mercedes</t>
  </si>
  <si>
    <t># 15</t>
  </si>
  <si>
    <t>PACHECO</t>
  </si>
  <si>
    <t>ramaral@jordans.com</t>
  </si>
  <si>
    <t>AMARAL, ANTONIO</t>
  </si>
  <si>
    <t>E Contract</t>
  </si>
  <si>
    <t>Route One</t>
  </si>
  <si>
    <t>151192904e</t>
  </si>
  <si>
    <t>FOLLAND</t>
  </si>
  <si>
    <t>MIKEMCCUNE8@GMAIL.COM</t>
  </si>
  <si>
    <t>MCCUNE, RICHARD</t>
  </si>
  <si>
    <t>DealerTrack</t>
  </si>
  <si>
    <t>151192897e</t>
  </si>
  <si>
    <t>CARDONA</t>
  </si>
  <si>
    <t>SICAJU, DAVID</t>
  </si>
  <si>
    <t>151192871e</t>
  </si>
  <si>
    <t>PINEAULT</t>
  </si>
  <si>
    <t>dblegl379@yahoo.com</t>
  </si>
  <si>
    <t>GLEASON, DOUGLAS</t>
  </si>
  <si>
    <t>151192863e</t>
  </si>
  <si>
    <t>DIPAOLA</t>
  </si>
  <si>
    <t>FRIEND, DOUGLAS</t>
  </si>
  <si>
    <t>151192855e</t>
  </si>
  <si>
    <t>BROWN</t>
  </si>
  <si>
    <t>CHRISREGAN19@GMAIL.COM</t>
  </si>
  <si>
    <t>REGAN, CHRISTOPHER</t>
  </si>
  <si>
    <t>151192847e</t>
  </si>
  <si>
    <t>PAYNE</t>
  </si>
  <si>
    <t>ERINANDSTEVE@MAC.COM</t>
  </si>
  <si>
    <t>FREEMAN, STEVEN</t>
  </si>
  <si>
    <t>151192839e</t>
  </si>
  <si>
    <t>EDMUNDSON</t>
  </si>
  <si>
    <t>dbriffett@verizon.net</t>
  </si>
  <si>
    <t>BRIFFETT, DONALD</t>
  </si>
  <si>
    <t>151192821e</t>
  </si>
  <si>
    <t>O'SULLIVAN</t>
  </si>
  <si>
    <t>MAHON</t>
  </si>
  <si>
    <t>BRENDAKEANE@GMAIL.COM</t>
  </si>
  <si>
    <t>DPD639@VERIZON.NET</t>
  </si>
  <si>
    <t>KEANE, BRENDA</t>
  </si>
  <si>
    <t>KEANE, RICHARD</t>
  </si>
  <si>
    <t>Paper</t>
  </si>
  <si>
    <t>151192813</t>
  </si>
  <si>
    <t>LAFERNIERE</t>
  </si>
  <si>
    <t>Jjcrj900@gmail.com</t>
  </si>
  <si>
    <t>CHANDLER, JAMES</t>
  </si>
  <si>
    <t>151192805e</t>
  </si>
  <si>
    <t>FEATHER</t>
  </si>
  <si>
    <t>CRUZ, JOAQUIM</t>
  </si>
  <si>
    <t>151192798e</t>
  </si>
  <si>
    <t>BURKE</t>
  </si>
  <si>
    <t>JOHNFIELD124@GMAIL.COM</t>
  </si>
  <si>
    <t>FIELD, JOHN</t>
  </si>
  <si>
    <t>151192780e</t>
  </si>
  <si>
    <t>ADAM</t>
  </si>
  <si>
    <t>olneyss@aol.com</t>
  </si>
  <si>
    <t>OLNEY, SUE</t>
  </si>
  <si>
    <t>151192772e</t>
  </si>
  <si>
    <t>WAMBOLDT</t>
  </si>
  <si>
    <t>REBECCA.L.GOLDING@GMAIL.COM</t>
  </si>
  <si>
    <t>GOLDING, REBECCA</t>
  </si>
  <si>
    <t>151192764e</t>
  </si>
  <si>
    <t>DUBOIS</t>
  </si>
  <si>
    <t>DELLAPOSTA, GARY</t>
  </si>
  <si>
    <t>151192665e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</si>
  <si>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</si>
  <si>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</si>
  <si>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</si>
  <si>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</si>
  <si>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</si>
  <si>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</si>
  <si>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</si>
  <si>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</si>
  <si>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</si>
  <si>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</si>
  <si>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</si>
  <si>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Signed________________________________________________</t>
  </si>
  <si>
    <t>Received By___________________________________________________________________</t>
  </si>
  <si>
    <t>Delivered By___________________________________________________________________</t>
  </si>
  <si>
    <t># 1</t>
  </si>
  <si>
    <t>Funding Worksheet - Signoff Version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</si>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</sst>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/>
  </cellStyleXfs>
  <cellXfs count="18">
    <xf numFmtId="0" fontId="0" fillId="0" borderId="0" xfId="0"/>
    <xf numFmtId="0" fontId="2" fillId="0" borderId="0" xfId="0" applyFont="1"/>
    <xf numFmtId="7" fontId="0" fillId="0" borderId="0" xfId="0" applyNumberFormat="1"/>
    <xf numFmtId="7" fontId="2" fillId="0" borderId="0" xfId="0" applyNumberFormat="1" applyFont="1"/>
    <xf numFmtId="164" fontId="0" fillId="0" borderId="0" xfId="0" applyNumberFormat="1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/>
    <xf numFmtId="0" fontId="2" fillId="0" borderId="0" xfId="0" applyFont="1" applyAlignment="1">
      <alignment horizontal="right"/>
    </xf>
    <xf numFmtId="0" fontId="3" fillId="2" borderId="0" xfId="1"/>
    <xf numFmtId="0" fontId="3" fillId="0" borderId="0" xfId="1" applyFill="1"/>
    <xf numFmtId="164" fontId="3" fillId="0" borderId="0" xfId="1" applyNumberFormat="1" applyFill="1" applyAlignment="1">
      <alignment horizontal="right"/>
    </xf>
    <xf numFmtId="0" fontId="2" fillId="0" borderId="0" xfId="1" applyFont="1" applyFill="1" applyAlignment="1">
      <alignment horizontal="left"/>
    </xf>
    <xf numFmtId="0" fontId="3" fillId="0" borderId="0" xfId="1" applyFill="1"/>
    <xf numFmtId="0" fontId="2" fillId="0" borderId="0" xfId="1" applyFont="1" applyFill="1" applyAlignment="1">
      <alignment horizontal="right"/>
    </xf>
    <xf numFmtId="7" fontId="3" fillId="0" borderId="0" xfId="1" applyNumberFormat="1" applyFill="1"/>
    <xf numFmtId="0" fontId="2" fillId="0" borderId="0" xfId="1" applyFont="1" applyFill="1"/>
    <xf numFmtId="7" fontId="2" fillId="0" borderId="0" xfId="1" applyNumberFormat="1" applyFont="1" applyFill="1"/>
    <xf numFmtId="7" fontId="1" fillId="0" borderId="0" xfId="0" applyNumberFormat="1" applyFont="1"/>
  </cellXfs>
  <cellStyles count="2">
    <cellStyle name="Normal" xfId="0" builtinId="0"/>
    <cellStyle name="Normal 2" xfId="1" xr:uid="{FAD55B14-6A84-4B6D-B1DD-048D60495379}"/>
  </cellStyles>
  <dxfs count="25">
    <dxf>
      <numFmt numFmtId="11" formatCode="&quot;$&quot;#,##0.00_);\(&quot;$&quot;#,##0.00\)"/>
    </dxf>
    <dxf>
      <numFmt numFmtId="11" formatCode="&quot;$&quot;#,##0.00_);\(&quot;$&quot;#,##0.00\)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30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6DDC3B02-6AF4-413B-B7E1-3507AB324E5D}" name="Column1" dataDxfId="0"/>
    <tableColumn id="8" xr3:uid="{09046626-0381-4A03-A2F4-1B030AC648E8}" name="Column2" dataDxfId="1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5339E5-7583-40A6-9CC8-26F9E940FB6E}" name="Table_13" displayName="Table_13" ref="A3:L19" headerRowDxfId="12" dataDxfId="10" totalsRowDxfId="11">
  <tableColumns count="12">
    <tableColumn id="1" xr3:uid="{00000000-0010-0000-0000-000001000000}" name="Account Number" dataDxfId="24"/>
    <tableColumn id="2" xr3:uid="{00000000-0010-0000-0000-000002000000}" name="Portal" dataDxfId="23"/>
    <tableColumn id="3" xr3:uid="{00000000-0010-0000-0000-000003000000}" name="Contract Type" dataDxfId="22"/>
    <tableColumn id="4" xr3:uid="{00000000-0010-0000-0000-000004000000}" name="Applicant Name" dataDxfId="21"/>
    <tableColumn id="5" xr3:uid="{00000000-0010-0000-0000-000005000000}" name="Co-Applicant Name" dataDxfId="20"/>
    <tableColumn id="6" xr3:uid="{00000000-0010-0000-0000-000006000000}" name="Dealer Name" dataDxfId="19"/>
    <tableColumn id="7" xr3:uid="{00000000-0010-0000-0000-000007000000}" name="Funded by" dataDxfId="18"/>
    <tableColumn id="8" xr3:uid="{00000000-0010-0000-0000-000008000000}" name="Amount Financed" dataDxfId="17"/>
    <tableColumn id="9" xr3:uid="{00000000-0010-0000-0000-000009000000}" name="Applicant Email" dataDxfId="16"/>
    <tableColumn id="10" xr3:uid="{00000000-0010-0000-0000-00000A000000}" name="Co-Applicant Email" dataDxfId="15"/>
    <tableColumn id="11" xr3:uid="{00000000-0010-0000-0000-00000B000000}" name="App MMN" dataDxfId="14"/>
    <tableColumn id="12" xr3:uid="{00000000-0010-0000-0000-00000C000000}" name="Co-App MMN" dataDxfId="1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7D770E-7F98-431D-BC5B-B85B86FC4785}" name="Table_134" displayName="Table_134" ref="A3:E5" headerRowDxfId="4" dataDxfId="2" totalsRowDxfId="3">
  <tableColumns count="5">
    <tableColumn id="1" xr3:uid="{00000000-0010-0000-0000-000001000000}" name="Account Number" dataDxfId="9"/>
    <tableColumn id="2" xr3:uid="{00000000-0010-0000-0000-000002000000}" name="Contract Type" dataDxfId="8"/>
    <tableColumn id="3" xr3:uid="{00000000-0010-0000-0000-000003000000}" name="Applicant Name" dataDxfId="7"/>
    <tableColumn id="4" xr3:uid="{00000000-0010-0000-0000-000004000000}" name="Co-Applicant Name" dataDxfId="6"/>
    <tableColumn id="5" xr3:uid="{00000000-0010-0000-0000-000005000000}" name="Dealer Name" dataDxf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0"/>
  <sheetViews>
    <sheetView tabSelected="1" workbookViewId="0">
      <pane ySplit="3" topLeftCell="A4" activePane="bottomLeft" state="frozen"/>
      <selection pane="bottomLeft" activeCell="E25" sqref="E25"/>
    </sheetView>
  </sheetViews>
  <sheetFormatPr defaultRowHeight="15" x14ac:dyDescent="0.25"/>
  <cols>
    <col min="1" max="1" width="39.5703125" bestFit="1" customWidth="1"/>
    <col min="2" max="2" width="15.140625" bestFit="1" customWidth="1"/>
    <col min="3" max="3" width="11.140625" bestFit="1" customWidth="1"/>
    <col min="4" max="4" width="13.710937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45824</v>
      </c>
      <c r="E1" t="s">
        <v>2</v>
      </c>
      <c r="H1" s="4">
        <v>45824.999988425923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104</v>
      </c>
      <c r="G3" t="s">
        <v>105</v>
      </c>
      <c r="H3" t="s">
        <v>9</v>
      </c>
    </row>
    <row r="4" spans="1:8" x14ac:dyDescent="0.25">
      <c r="A4" t="s">
        <v>10</v>
      </c>
      <c r="B4" t="s">
        <v>11</v>
      </c>
      <c r="C4" s="2">
        <v>1050</v>
      </c>
      <c r="D4" s="2">
        <v>0</v>
      </c>
      <c r="E4" s="2">
        <v>44726.7</v>
      </c>
      <c r="F4" s="2"/>
      <c r="G4" s="2"/>
      <c r="H4" s="2">
        <v>44801.7</v>
      </c>
    </row>
    <row r="5" spans="1:8" x14ac:dyDescent="0.25">
      <c r="A5" t="s">
        <v>10</v>
      </c>
      <c r="B5" t="s">
        <v>12</v>
      </c>
      <c r="C5" s="2">
        <v>1350</v>
      </c>
      <c r="D5" s="2">
        <v>0</v>
      </c>
      <c r="E5" s="2">
        <v>56100.31</v>
      </c>
      <c r="F5" s="2">
        <f>SUM(E4:E5)</f>
        <v>100827.01</v>
      </c>
      <c r="G5" s="2"/>
      <c r="H5" s="2">
        <v>56175.31</v>
      </c>
    </row>
    <row r="6" spans="1:8" x14ac:dyDescent="0.25">
      <c r="C6" s="2"/>
      <c r="D6" s="2"/>
      <c r="E6" s="2"/>
      <c r="F6" s="2"/>
      <c r="G6" s="2"/>
      <c r="H6" s="2"/>
    </row>
    <row r="7" spans="1:8" x14ac:dyDescent="0.25">
      <c r="A7" t="s">
        <v>13</v>
      </c>
      <c r="B7" t="s">
        <v>12</v>
      </c>
      <c r="C7" s="2">
        <v>950</v>
      </c>
      <c r="D7" s="2">
        <v>0</v>
      </c>
      <c r="E7" s="2">
        <v>35078.71</v>
      </c>
      <c r="F7" s="2"/>
      <c r="G7" s="2"/>
      <c r="H7" s="2">
        <v>35153.71</v>
      </c>
    </row>
    <row r="8" spans="1:8" x14ac:dyDescent="0.25">
      <c r="C8" s="2"/>
      <c r="D8" s="2"/>
      <c r="E8" s="2"/>
      <c r="F8" s="2"/>
      <c r="G8" s="2"/>
      <c r="H8" s="2"/>
    </row>
    <row r="9" spans="1:8" x14ac:dyDescent="0.25">
      <c r="A9" t="s">
        <v>14</v>
      </c>
      <c r="B9" t="s">
        <v>11</v>
      </c>
      <c r="C9" s="2">
        <v>150</v>
      </c>
      <c r="D9" s="2">
        <v>0</v>
      </c>
      <c r="E9" s="2">
        <v>9652.1299999999992</v>
      </c>
      <c r="F9" s="2"/>
      <c r="G9" s="2"/>
      <c r="H9" s="2">
        <v>9727.1299999999992</v>
      </c>
    </row>
    <row r="10" spans="1:8" x14ac:dyDescent="0.25">
      <c r="A10" t="s">
        <v>14</v>
      </c>
      <c r="B10" t="s">
        <v>12</v>
      </c>
      <c r="C10" s="2">
        <v>300</v>
      </c>
      <c r="D10" s="2">
        <v>0</v>
      </c>
      <c r="E10" s="2">
        <v>9964.34</v>
      </c>
      <c r="F10" s="2">
        <f>SUM(E9:E10)</f>
        <v>19616.47</v>
      </c>
      <c r="G10" s="2"/>
      <c r="H10" s="2">
        <v>10039.34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15</v>
      </c>
      <c r="B12" t="s">
        <v>11</v>
      </c>
      <c r="C12" s="2">
        <v>750</v>
      </c>
      <c r="D12" s="2">
        <v>0</v>
      </c>
      <c r="E12" s="17">
        <v>27017.5</v>
      </c>
      <c r="F12" s="2"/>
      <c r="G12" s="2"/>
      <c r="H12" s="2">
        <v>27092.5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16</v>
      </c>
      <c r="B14" t="s">
        <v>11</v>
      </c>
      <c r="C14" s="2">
        <v>1350</v>
      </c>
      <c r="D14" s="2">
        <v>0</v>
      </c>
      <c r="E14" s="2">
        <v>59918.1</v>
      </c>
      <c r="F14" s="2"/>
      <c r="G14" s="2"/>
      <c r="H14" s="2">
        <v>59993.1</v>
      </c>
    </row>
    <row r="15" spans="1:8" x14ac:dyDescent="0.25">
      <c r="A15" t="s">
        <v>16</v>
      </c>
      <c r="B15" t="s">
        <v>11</v>
      </c>
      <c r="C15" s="2">
        <v>750</v>
      </c>
      <c r="D15" s="2">
        <v>0</v>
      </c>
      <c r="E15" s="2">
        <v>29881.56</v>
      </c>
      <c r="F15" s="2">
        <f>SUM(E14:E15)</f>
        <v>89799.66</v>
      </c>
      <c r="G15" s="2"/>
      <c r="H15" s="2">
        <v>29956.560000000001</v>
      </c>
    </row>
    <row r="16" spans="1:8" x14ac:dyDescent="0.25">
      <c r="C16" s="2"/>
      <c r="D16" s="2"/>
      <c r="E16" s="2"/>
      <c r="F16" s="2"/>
      <c r="G16" s="2"/>
      <c r="H16" s="2"/>
    </row>
    <row r="17" spans="1:8" x14ac:dyDescent="0.25">
      <c r="A17" t="s">
        <v>17</v>
      </c>
      <c r="B17" t="s">
        <v>11</v>
      </c>
      <c r="C17" s="2">
        <v>1350</v>
      </c>
      <c r="D17" s="2">
        <v>0</v>
      </c>
      <c r="E17" s="17">
        <v>57924.63</v>
      </c>
      <c r="F17" s="2"/>
      <c r="G17" s="2"/>
      <c r="H17" s="2">
        <v>57999.63</v>
      </c>
    </row>
    <row r="18" spans="1:8" x14ac:dyDescent="0.25">
      <c r="C18" s="2"/>
      <c r="D18" s="2"/>
      <c r="E18" s="2"/>
      <c r="F18" s="2"/>
      <c r="G18" s="2"/>
      <c r="H18" s="2"/>
    </row>
    <row r="19" spans="1:8" x14ac:dyDescent="0.25">
      <c r="A19" t="s">
        <v>18</v>
      </c>
      <c r="B19" t="s">
        <v>11</v>
      </c>
      <c r="C19" s="2">
        <v>150</v>
      </c>
      <c r="D19" s="2">
        <v>0</v>
      </c>
      <c r="E19" s="2">
        <v>8425</v>
      </c>
      <c r="F19" s="2"/>
      <c r="G19" s="2"/>
      <c r="H19" s="2">
        <v>8500</v>
      </c>
    </row>
    <row r="20" spans="1:8" x14ac:dyDescent="0.25">
      <c r="C20" s="2"/>
      <c r="D20" s="2"/>
      <c r="E20" s="2"/>
      <c r="F20" s="2"/>
      <c r="G20" s="2"/>
      <c r="H20" s="2"/>
    </row>
    <row r="21" spans="1:8" x14ac:dyDescent="0.25">
      <c r="A21" t="s">
        <v>19</v>
      </c>
      <c r="B21" t="s">
        <v>11</v>
      </c>
      <c r="C21" s="2">
        <v>1350</v>
      </c>
      <c r="D21" s="2">
        <v>0</v>
      </c>
      <c r="E21" s="2">
        <v>54735.38</v>
      </c>
      <c r="F21" s="2"/>
      <c r="G21" s="2"/>
      <c r="H21" s="2">
        <v>54810.38</v>
      </c>
    </row>
    <row r="22" spans="1:8" x14ac:dyDescent="0.25">
      <c r="C22" s="2"/>
      <c r="D22" s="2"/>
      <c r="E22" s="2"/>
      <c r="F22" s="2"/>
      <c r="G22" s="2"/>
      <c r="H22" s="2"/>
    </row>
    <row r="23" spans="1:8" x14ac:dyDescent="0.25">
      <c r="A23" t="s">
        <v>20</v>
      </c>
      <c r="B23" t="s">
        <v>11</v>
      </c>
      <c r="C23" s="2">
        <v>1350</v>
      </c>
      <c r="D23" s="2">
        <v>0</v>
      </c>
      <c r="E23" s="2">
        <v>56109.38</v>
      </c>
      <c r="F23" s="2"/>
      <c r="G23" s="2"/>
      <c r="H23" s="2">
        <v>56184.38</v>
      </c>
    </row>
    <row r="24" spans="1:8" x14ac:dyDescent="0.25">
      <c r="C24" s="2"/>
      <c r="D24" s="2"/>
      <c r="E24" s="2"/>
      <c r="F24" s="2"/>
      <c r="G24" s="2"/>
      <c r="H24" s="2"/>
    </row>
    <row r="25" spans="1:8" x14ac:dyDescent="0.25">
      <c r="A25" t="s">
        <v>21</v>
      </c>
      <c r="B25" t="s">
        <v>11</v>
      </c>
      <c r="C25" s="2">
        <v>950</v>
      </c>
      <c r="D25" s="2">
        <v>0</v>
      </c>
      <c r="E25" s="17">
        <v>39785.300000000003</v>
      </c>
      <c r="F25" s="2"/>
      <c r="G25" s="2"/>
      <c r="H25" s="2">
        <v>39860.300000000003</v>
      </c>
    </row>
    <row r="26" spans="1:8" x14ac:dyDescent="0.25">
      <c r="C26" s="2"/>
      <c r="D26" s="2"/>
      <c r="E26" s="2"/>
      <c r="F26" s="2"/>
      <c r="G26" s="2"/>
      <c r="H26" s="2"/>
    </row>
    <row r="27" spans="1:8" x14ac:dyDescent="0.25">
      <c r="A27" t="s">
        <v>22</v>
      </c>
      <c r="B27" t="s">
        <v>12</v>
      </c>
      <c r="C27" s="2">
        <v>1350</v>
      </c>
      <c r="D27" s="2">
        <v>0</v>
      </c>
      <c r="E27" s="2">
        <v>50845.94</v>
      </c>
      <c r="F27" s="2"/>
      <c r="G27" s="2"/>
      <c r="H27" s="2">
        <v>50920.94</v>
      </c>
    </row>
    <row r="28" spans="1:8" x14ac:dyDescent="0.25">
      <c r="C28" s="2"/>
      <c r="D28" s="2"/>
      <c r="E28" s="2"/>
      <c r="F28" s="2"/>
      <c r="G28" s="2"/>
      <c r="H28" s="2"/>
    </row>
    <row r="29" spans="1:8" x14ac:dyDescent="0.25">
      <c r="A29" t="s">
        <v>23</v>
      </c>
      <c r="B29" t="s">
        <v>12</v>
      </c>
      <c r="C29" s="2">
        <v>750</v>
      </c>
      <c r="D29" s="2">
        <v>0</v>
      </c>
      <c r="E29" s="2">
        <v>29781.42</v>
      </c>
      <c r="F29" s="2"/>
      <c r="G29" s="2"/>
      <c r="H29" s="2">
        <v>29856.42</v>
      </c>
    </row>
    <row r="30" spans="1:8" x14ac:dyDescent="0.25">
      <c r="A30" s="1"/>
      <c r="B30" s="1"/>
      <c r="C30" s="3">
        <f>SUM(C4:C29)</f>
        <v>13900</v>
      </c>
      <c r="D30" s="3">
        <f>SUM(D4:D29)</f>
        <v>0</v>
      </c>
      <c r="E30" s="3">
        <f>SUM(E4:E29)</f>
        <v>569946.4</v>
      </c>
      <c r="F30" s="3"/>
      <c r="G30" s="3"/>
      <c r="H30" s="3">
        <f>SUM(H4:H29)</f>
        <v>571071.4</v>
      </c>
    </row>
  </sheetData>
  <mergeCells count="2">
    <mergeCell ref="A2:C2"/>
    <mergeCell ref="D2:H2"/>
  </mergeCells>
  <phoneticPr fontId="4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3E6E1-4641-4DAE-9569-E4EB5607E2A3}">
  <sheetPr>
    <pageSetUpPr fitToPage="1"/>
  </sheetPr>
  <dimension ref="A1:O21"/>
  <sheetViews>
    <sheetView workbookViewId="0">
      <pane ySplit="3" topLeftCell="A4" activePane="bottomLeft" state="frozen"/>
      <selection pane="bottomLeft" activeCell="I17" sqref="I17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1.85546875" style="8" bestFit="1" customWidth="1"/>
    <col min="5" max="5" width="18.7109375" style="8" bestFit="1" customWidth="1"/>
    <col min="6" max="6" width="39.5703125" style="8" bestFit="1" customWidth="1"/>
    <col min="7" max="7" width="15.140625" style="8" bestFit="1" customWidth="1"/>
    <col min="8" max="8" width="17.140625" style="8" bestFit="1" customWidth="1"/>
    <col min="9" max="9" width="33" style="8" bestFit="1" customWidth="1"/>
    <col min="10" max="10" width="27.42578125" style="8" bestFit="1" customWidth="1"/>
    <col min="11" max="11" width="13.7109375" style="8" bestFit="1" customWidth="1"/>
    <col min="12" max="12" width="12.85546875" style="8" bestFit="1" customWidth="1"/>
    <col min="13" max="16384" width="9.140625" style="8"/>
  </cols>
  <sheetData>
    <row r="1" spans="1:15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45824</v>
      </c>
      <c r="L1" s="9" t="s">
        <v>2</v>
      </c>
      <c r="M1" s="9"/>
      <c r="N1" s="9"/>
      <c r="O1" s="9"/>
    </row>
    <row r="2" spans="1:15" ht="35.1" customHeight="1" x14ac:dyDescent="0.25">
      <c r="A2" s="11" t="s">
        <v>0</v>
      </c>
      <c r="B2" s="12"/>
      <c r="C2" s="12"/>
      <c r="D2" s="12"/>
      <c r="E2" s="12"/>
      <c r="F2" s="12"/>
      <c r="G2" s="13" t="s">
        <v>98</v>
      </c>
      <c r="H2" s="12"/>
      <c r="I2" s="12"/>
      <c r="J2" s="12"/>
      <c r="K2" s="12"/>
      <c r="L2" s="12"/>
      <c r="M2" s="9"/>
      <c r="N2" s="9"/>
      <c r="O2" s="9"/>
    </row>
    <row r="3" spans="1:15" ht="35.1" customHeight="1" x14ac:dyDescent="0.25">
      <c r="A3" s="9" t="s">
        <v>97</v>
      </c>
      <c r="B3" s="9" t="s">
        <v>96</v>
      </c>
      <c r="C3" s="9" t="s">
        <v>95</v>
      </c>
      <c r="D3" s="9" t="s">
        <v>94</v>
      </c>
      <c r="E3" s="9" t="s">
        <v>93</v>
      </c>
      <c r="F3" s="9" t="s">
        <v>4</v>
      </c>
      <c r="G3" s="9" t="s">
        <v>5</v>
      </c>
      <c r="H3" s="9" t="s">
        <v>92</v>
      </c>
      <c r="I3" s="9" t="s">
        <v>91</v>
      </c>
      <c r="J3" s="9" t="s">
        <v>90</v>
      </c>
      <c r="K3" s="9" t="s">
        <v>89</v>
      </c>
      <c r="L3" s="9" t="s">
        <v>88</v>
      </c>
      <c r="M3" s="9"/>
      <c r="N3" s="9"/>
      <c r="O3" s="9"/>
    </row>
    <row r="4" spans="1:15" ht="35.1" customHeight="1" x14ac:dyDescent="0.25">
      <c r="A4" s="9" t="s">
        <v>87</v>
      </c>
      <c r="B4" s="9" t="s">
        <v>29</v>
      </c>
      <c r="C4" s="9" t="s">
        <v>28</v>
      </c>
      <c r="D4" s="9" t="s">
        <v>86</v>
      </c>
      <c r="E4" s="9"/>
      <c r="F4" s="9" t="s">
        <v>22</v>
      </c>
      <c r="G4" s="9" t="s">
        <v>12</v>
      </c>
      <c r="H4" s="14">
        <v>50920.94</v>
      </c>
      <c r="I4" s="9"/>
      <c r="J4" s="9"/>
      <c r="K4" s="9" t="s">
        <v>85</v>
      </c>
      <c r="L4" s="9"/>
      <c r="M4" s="9"/>
      <c r="N4" s="9"/>
      <c r="O4" s="9"/>
    </row>
    <row r="5" spans="1:15" ht="35.1" customHeight="1" x14ac:dyDescent="0.25">
      <c r="A5" s="9" t="s">
        <v>84</v>
      </c>
      <c r="B5" s="9" t="s">
        <v>34</v>
      </c>
      <c r="C5" s="9" t="s">
        <v>28</v>
      </c>
      <c r="D5" s="9" t="s">
        <v>83</v>
      </c>
      <c r="E5" s="9"/>
      <c r="F5" s="9" t="s">
        <v>23</v>
      </c>
      <c r="G5" s="9" t="s">
        <v>12</v>
      </c>
      <c r="H5" s="14">
        <v>29856.42</v>
      </c>
      <c r="I5" s="9" t="s">
        <v>82</v>
      </c>
      <c r="J5" s="9"/>
      <c r="K5" s="9" t="s">
        <v>81</v>
      </c>
      <c r="L5" s="9"/>
      <c r="M5" s="9"/>
      <c r="N5" s="9"/>
      <c r="O5" s="9"/>
    </row>
    <row r="6" spans="1:15" ht="35.1" customHeight="1" x14ac:dyDescent="0.25">
      <c r="A6" s="9" t="s">
        <v>80</v>
      </c>
      <c r="B6" s="9" t="s">
        <v>29</v>
      </c>
      <c r="C6" s="9" t="s">
        <v>28</v>
      </c>
      <c r="D6" s="9" t="s">
        <v>79</v>
      </c>
      <c r="E6" s="9"/>
      <c r="F6" s="9" t="s">
        <v>13</v>
      </c>
      <c r="G6" s="9" t="s">
        <v>12</v>
      </c>
      <c r="H6" s="14">
        <v>35153.71</v>
      </c>
      <c r="I6" s="9" t="s">
        <v>78</v>
      </c>
      <c r="J6" s="9"/>
      <c r="K6" s="9" t="s">
        <v>77</v>
      </c>
      <c r="L6" s="9"/>
      <c r="M6" s="9"/>
      <c r="N6" s="9"/>
      <c r="O6" s="9"/>
    </row>
    <row r="7" spans="1:15" ht="35.1" customHeight="1" x14ac:dyDescent="0.25">
      <c r="A7" s="9" t="s">
        <v>76</v>
      </c>
      <c r="B7" s="9" t="s">
        <v>34</v>
      </c>
      <c r="C7" s="9" t="s">
        <v>28</v>
      </c>
      <c r="D7" s="9" t="s">
        <v>75</v>
      </c>
      <c r="E7" s="9"/>
      <c r="F7" s="9" t="s">
        <v>14</v>
      </c>
      <c r="G7" s="9" t="s">
        <v>11</v>
      </c>
      <c r="H7" s="14">
        <v>9727.1299999999992</v>
      </c>
      <c r="I7" s="9" t="s">
        <v>74</v>
      </c>
      <c r="J7" s="9"/>
      <c r="K7" s="9" t="s">
        <v>73</v>
      </c>
      <c r="L7" s="9"/>
      <c r="M7" s="9"/>
      <c r="N7" s="9"/>
      <c r="O7" s="9"/>
    </row>
    <row r="8" spans="1:15" ht="35.1" customHeight="1" x14ac:dyDescent="0.25">
      <c r="A8" s="9" t="s">
        <v>72</v>
      </c>
      <c r="B8" s="9" t="s">
        <v>29</v>
      </c>
      <c r="C8" s="9" t="s">
        <v>28</v>
      </c>
      <c r="D8" s="9" t="s">
        <v>71</v>
      </c>
      <c r="E8" s="9"/>
      <c r="F8" s="9" t="s">
        <v>16</v>
      </c>
      <c r="G8" s="9" t="s">
        <v>11</v>
      </c>
      <c r="H8" s="14">
        <v>29956.560000000001</v>
      </c>
      <c r="I8" s="9"/>
      <c r="J8" s="9"/>
      <c r="K8" s="9" t="s">
        <v>70</v>
      </c>
      <c r="L8" s="9"/>
      <c r="M8" s="9"/>
      <c r="N8" s="9"/>
      <c r="O8" s="9"/>
    </row>
    <row r="9" spans="1:15" ht="35.1" customHeight="1" x14ac:dyDescent="0.25">
      <c r="A9" s="9" t="s">
        <v>69</v>
      </c>
      <c r="B9" s="9" t="s">
        <v>29</v>
      </c>
      <c r="C9" s="9" t="s">
        <v>28</v>
      </c>
      <c r="D9" s="9" t="s">
        <v>68</v>
      </c>
      <c r="E9" s="9"/>
      <c r="F9" s="9" t="s">
        <v>10</v>
      </c>
      <c r="G9" s="9" t="s">
        <v>11</v>
      </c>
      <c r="H9" s="14">
        <v>44801.7</v>
      </c>
      <c r="I9" s="9" t="s">
        <v>67</v>
      </c>
      <c r="J9" s="9"/>
      <c r="K9" s="9" t="s">
        <v>66</v>
      </c>
      <c r="L9" s="9"/>
      <c r="M9" s="9"/>
      <c r="N9" s="9"/>
      <c r="O9" s="9"/>
    </row>
    <row r="10" spans="1:15" ht="35.1" customHeight="1" x14ac:dyDescent="0.25">
      <c r="A10" s="9" t="s">
        <v>65</v>
      </c>
      <c r="B10" s="9" t="s">
        <v>34</v>
      </c>
      <c r="C10" s="9" t="s">
        <v>64</v>
      </c>
      <c r="D10" s="9" t="s">
        <v>63</v>
      </c>
      <c r="E10" s="9" t="s">
        <v>62</v>
      </c>
      <c r="F10" s="9" t="s">
        <v>20</v>
      </c>
      <c r="G10" s="9" t="s">
        <v>11</v>
      </c>
      <c r="H10" s="14">
        <v>56184.38</v>
      </c>
      <c r="I10" s="9" t="s">
        <v>61</v>
      </c>
      <c r="J10" s="9" t="s">
        <v>60</v>
      </c>
      <c r="K10" s="9" t="s">
        <v>59</v>
      </c>
      <c r="L10" s="9" t="s">
        <v>58</v>
      </c>
      <c r="M10" s="9"/>
      <c r="N10" s="9"/>
      <c r="O10" s="9"/>
    </row>
    <row r="11" spans="1:15" ht="35.1" customHeight="1" x14ac:dyDescent="0.25">
      <c r="A11" s="9" t="s">
        <v>57</v>
      </c>
      <c r="B11" s="9" t="s">
        <v>29</v>
      </c>
      <c r="C11" s="9" t="s">
        <v>28</v>
      </c>
      <c r="D11" s="9" t="s">
        <v>56</v>
      </c>
      <c r="E11" s="9"/>
      <c r="F11" s="9" t="s">
        <v>18</v>
      </c>
      <c r="G11" s="9" t="s">
        <v>11</v>
      </c>
      <c r="H11" s="14">
        <v>8500</v>
      </c>
      <c r="I11" s="9" t="s">
        <v>55</v>
      </c>
      <c r="J11" s="9"/>
      <c r="K11" s="9" t="s">
        <v>54</v>
      </c>
      <c r="L11" s="9"/>
      <c r="M11" s="9"/>
      <c r="N11" s="9"/>
      <c r="O11" s="9"/>
    </row>
    <row r="12" spans="1:15" ht="35.1" customHeight="1" x14ac:dyDescent="0.25">
      <c r="A12" s="9" t="s">
        <v>53</v>
      </c>
      <c r="B12" s="9" t="s">
        <v>34</v>
      </c>
      <c r="C12" s="9" t="s">
        <v>28</v>
      </c>
      <c r="D12" s="9" t="s">
        <v>52</v>
      </c>
      <c r="E12" s="9"/>
      <c r="F12" s="9" t="s">
        <v>15</v>
      </c>
      <c r="G12" s="9" t="s">
        <v>11</v>
      </c>
      <c r="H12" s="14">
        <v>27092.5</v>
      </c>
      <c r="I12" s="9" t="s">
        <v>51</v>
      </c>
      <c r="J12" s="9"/>
      <c r="K12" s="9" t="s">
        <v>50</v>
      </c>
      <c r="L12" s="9"/>
      <c r="M12" s="9"/>
      <c r="N12" s="9"/>
      <c r="O12" s="9"/>
    </row>
    <row r="13" spans="1:15" ht="35.1" customHeight="1" x14ac:dyDescent="0.25">
      <c r="A13" s="9" t="s">
        <v>49</v>
      </c>
      <c r="B13" s="9" t="s">
        <v>34</v>
      </c>
      <c r="C13" s="9" t="s">
        <v>28</v>
      </c>
      <c r="D13" s="9" t="s">
        <v>48</v>
      </c>
      <c r="E13" s="9"/>
      <c r="F13" s="9" t="s">
        <v>17</v>
      </c>
      <c r="G13" s="9" t="s">
        <v>11</v>
      </c>
      <c r="H13" s="14">
        <v>57999.63</v>
      </c>
      <c r="I13" s="9" t="s">
        <v>47</v>
      </c>
      <c r="J13" s="9"/>
      <c r="K13" s="9" t="s">
        <v>46</v>
      </c>
      <c r="L13" s="9"/>
      <c r="M13" s="9"/>
      <c r="N13" s="9"/>
      <c r="O13" s="9"/>
    </row>
    <row r="14" spans="1:15" ht="35.1" customHeight="1" x14ac:dyDescent="0.25">
      <c r="A14" s="9" t="s">
        <v>45</v>
      </c>
      <c r="B14" s="9" t="s">
        <v>29</v>
      </c>
      <c r="C14" s="9" t="s">
        <v>28</v>
      </c>
      <c r="D14" s="9" t="s">
        <v>44</v>
      </c>
      <c r="E14" s="9"/>
      <c r="F14" s="9" t="s">
        <v>21</v>
      </c>
      <c r="G14" s="9" t="s">
        <v>11</v>
      </c>
      <c r="H14" s="14">
        <v>39860.300000000003</v>
      </c>
      <c r="I14" s="9"/>
      <c r="J14" s="9"/>
      <c r="K14" s="9" t="s">
        <v>43</v>
      </c>
      <c r="L14" s="9"/>
      <c r="M14" s="9"/>
      <c r="N14" s="9"/>
      <c r="O14" s="9"/>
    </row>
    <row r="15" spans="1:15" ht="35.1" customHeight="1" x14ac:dyDescent="0.25">
      <c r="A15" s="9" t="s">
        <v>42</v>
      </c>
      <c r="B15" s="9" t="s">
        <v>29</v>
      </c>
      <c r="C15" s="9" t="s">
        <v>28</v>
      </c>
      <c r="D15" s="9" t="s">
        <v>41</v>
      </c>
      <c r="E15" s="9"/>
      <c r="F15" s="9" t="s">
        <v>19</v>
      </c>
      <c r="G15" s="9" t="s">
        <v>11</v>
      </c>
      <c r="H15" s="14">
        <v>54810.38</v>
      </c>
      <c r="I15" s="9" t="s">
        <v>40</v>
      </c>
      <c r="J15" s="9"/>
      <c r="K15" s="9" t="s">
        <v>39</v>
      </c>
      <c r="L15" s="9"/>
      <c r="M15" s="9"/>
      <c r="N15" s="9"/>
      <c r="O15" s="9"/>
    </row>
    <row r="16" spans="1:15" ht="35.1" customHeight="1" x14ac:dyDescent="0.25">
      <c r="A16" s="9" t="s">
        <v>38</v>
      </c>
      <c r="B16" s="9" t="s">
        <v>29</v>
      </c>
      <c r="C16" s="9" t="s">
        <v>28</v>
      </c>
      <c r="D16" s="9" t="s">
        <v>37</v>
      </c>
      <c r="E16" s="9"/>
      <c r="F16" s="9" t="s">
        <v>16</v>
      </c>
      <c r="G16" s="9" t="s">
        <v>11</v>
      </c>
      <c r="H16" s="14">
        <v>59993.1</v>
      </c>
      <c r="I16" s="9"/>
      <c r="J16" s="9"/>
      <c r="K16" s="9" t="s">
        <v>36</v>
      </c>
      <c r="L16" s="9"/>
      <c r="M16" s="9"/>
      <c r="N16" s="9"/>
      <c r="O16" s="9"/>
    </row>
    <row r="17" spans="1:15" ht="35.1" customHeight="1" x14ac:dyDescent="0.25">
      <c r="A17" s="9" t="s">
        <v>35</v>
      </c>
      <c r="B17" s="9" t="s">
        <v>34</v>
      </c>
      <c r="C17" s="9" t="s">
        <v>28</v>
      </c>
      <c r="D17" s="9" t="s">
        <v>33</v>
      </c>
      <c r="E17" s="9"/>
      <c r="F17" s="9" t="s">
        <v>14</v>
      </c>
      <c r="G17" s="9" t="s">
        <v>12</v>
      </c>
      <c r="H17" s="14">
        <v>10039.34</v>
      </c>
      <c r="I17" s="9" t="s">
        <v>32</v>
      </c>
      <c r="J17" s="9"/>
      <c r="K17" s="9" t="s">
        <v>31</v>
      </c>
      <c r="L17" s="9"/>
      <c r="M17" s="9"/>
      <c r="N17" s="9"/>
      <c r="O17" s="9"/>
    </row>
    <row r="18" spans="1:15" ht="35.1" customHeight="1" x14ac:dyDescent="0.25">
      <c r="A18" s="9" t="s">
        <v>30</v>
      </c>
      <c r="B18" s="9" t="s">
        <v>29</v>
      </c>
      <c r="C18" s="9" t="s">
        <v>28</v>
      </c>
      <c r="D18" s="9" t="s">
        <v>27</v>
      </c>
      <c r="E18" s="9"/>
      <c r="F18" s="9" t="s">
        <v>10</v>
      </c>
      <c r="G18" s="9" t="s">
        <v>12</v>
      </c>
      <c r="H18" s="14">
        <v>56175.31</v>
      </c>
      <c r="I18" s="9" t="s">
        <v>26</v>
      </c>
      <c r="J18" s="9"/>
      <c r="K18" s="9" t="s">
        <v>25</v>
      </c>
      <c r="L18" s="9"/>
      <c r="M18" s="9"/>
      <c r="N18" s="9"/>
      <c r="O18" s="9"/>
    </row>
    <row r="19" spans="1:15" ht="35.1" customHeight="1" x14ac:dyDescent="0.25">
      <c r="A19" s="15"/>
      <c r="B19" s="15"/>
      <c r="C19" s="15"/>
      <c r="D19" s="15" t="s">
        <v>24</v>
      </c>
      <c r="E19" s="15"/>
      <c r="F19" s="15"/>
      <c r="G19" s="15"/>
      <c r="H19" s="16">
        <f>SUM(H4:H18)</f>
        <v>571071.4</v>
      </c>
      <c r="I19" s="15"/>
      <c r="J19" s="15"/>
      <c r="K19" s="15"/>
      <c r="L19" s="15"/>
      <c r="M19" s="9"/>
      <c r="N19" s="9"/>
      <c r="O19" s="9"/>
    </row>
    <row r="20" spans="1:15" ht="35.1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 ht="35.1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</sheetData>
  <mergeCells count="2">
    <mergeCell ref="A2:F2"/>
    <mergeCell ref="G2:L2"/>
  </mergeCells>
  <pageMargins left="0.7" right="0.7" top="0.75" bottom="0.75" header="0.3" footer="0.3"/>
  <pageSetup paperSize="5" scale="66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C6928-8114-4A30-98BE-3BC0FB3B55E4}">
  <sheetPr>
    <pageSetUpPr fitToPage="1"/>
  </sheetPr>
  <dimension ref="A1:H34"/>
  <sheetViews>
    <sheetView workbookViewId="0">
      <pane ySplit="3" topLeftCell="A4" activePane="bottomLeft" state="frozen"/>
      <selection pane="bottomLeft" activeCell="E19" sqref="E19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1.85546875" style="8" bestFit="1" customWidth="1"/>
    <col min="4" max="4" width="18.7109375" style="8" bestFit="1" customWidth="1"/>
    <col min="5" max="5" width="39.5703125" style="8" bestFit="1" customWidth="1"/>
    <col min="6" max="16384" width="9.140625" style="8"/>
  </cols>
  <sheetData>
    <row r="1" spans="1:8" x14ac:dyDescent="0.25">
      <c r="A1" s="9"/>
      <c r="B1" s="9"/>
      <c r="C1" s="9" t="s">
        <v>3</v>
      </c>
      <c r="D1" s="10">
        <v>45824</v>
      </c>
      <c r="E1" s="9" t="s">
        <v>2</v>
      </c>
      <c r="F1" s="9"/>
      <c r="G1" s="9"/>
      <c r="H1" s="9"/>
    </row>
    <row r="2" spans="1:8" x14ac:dyDescent="0.25">
      <c r="A2" s="11" t="s">
        <v>0</v>
      </c>
      <c r="B2" s="12"/>
      <c r="C2" s="12"/>
      <c r="D2" s="13" t="s">
        <v>103</v>
      </c>
      <c r="E2" s="12"/>
      <c r="F2" s="9"/>
      <c r="G2" s="9"/>
      <c r="H2" s="9"/>
    </row>
    <row r="3" spans="1:8" x14ac:dyDescent="0.25">
      <c r="A3" s="9" t="s">
        <v>97</v>
      </c>
      <c r="B3" s="9" t="s">
        <v>95</v>
      </c>
      <c r="C3" s="9" t="s">
        <v>94</v>
      </c>
      <c r="D3" s="9" t="s">
        <v>93</v>
      </c>
      <c r="E3" s="9" t="s">
        <v>4</v>
      </c>
      <c r="F3" s="9"/>
      <c r="G3" s="9"/>
      <c r="H3" s="9"/>
    </row>
    <row r="4" spans="1:8" x14ac:dyDescent="0.25">
      <c r="A4" s="9" t="s">
        <v>65</v>
      </c>
      <c r="B4" s="9" t="s">
        <v>64</v>
      </c>
      <c r="C4" s="9" t="s">
        <v>63</v>
      </c>
      <c r="D4" s="9" t="s">
        <v>62</v>
      </c>
      <c r="E4" s="9" t="s">
        <v>20</v>
      </c>
      <c r="F4" s="9"/>
      <c r="G4" s="9"/>
      <c r="H4" s="9"/>
    </row>
    <row r="5" spans="1:8" x14ac:dyDescent="0.25">
      <c r="A5" s="15"/>
      <c r="B5" s="15"/>
      <c r="C5" s="15" t="s">
        <v>102</v>
      </c>
      <c r="D5" s="15"/>
      <c r="E5" s="15"/>
      <c r="F5" s="9"/>
      <c r="G5" s="9"/>
      <c r="H5" s="9"/>
    </row>
    <row r="6" spans="1:8" x14ac:dyDescent="0.25">
      <c r="A6" s="9"/>
      <c r="B6" s="9"/>
      <c r="C6" s="9"/>
      <c r="D6" s="9"/>
      <c r="E6" s="9"/>
      <c r="F6" s="9"/>
      <c r="G6" s="9"/>
      <c r="H6" s="9"/>
    </row>
    <row r="7" spans="1:8" x14ac:dyDescent="0.25">
      <c r="A7" s="9"/>
      <c r="B7" s="9"/>
      <c r="C7" s="9"/>
      <c r="D7" s="9"/>
      <c r="E7" s="9"/>
      <c r="F7" s="9"/>
      <c r="G7" s="9"/>
      <c r="H7" s="9"/>
    </row>
    <row r="8" spans="1:8" x14ac:dyDescent="0.25">
      <c r="A8" s="9"/>
      <c r="B8" s="9"/>
      <c r="C8" s="9"/>
      <c r="D8" s="9"/>
      <c r="E8" s="9"/>
      <c r="F8" s="9"/>
      <c r="G8" s="9"/>
      <c r="H8" s="9"/>
    </row>
    <row r="9" spans="1:8" x14ac:dyDescent="0.25">
      <c r="A9" s="9" t="s">
        <v>101</v>
      </c>
      <c r="B9" s="9"/>
      <c r="C9" s="9"/>
      <c r="D9" s="9"/>
      <c r="E9" s="9"/>
      <c r="F9" s="9"/>
      <c r="G9" s="9"/>
      <c r="H9" s="9"/>
    </row>
    <row r="10" spans="1:8" x14ac:dyDescent="0.25">
      <c r="A10" s="9"/>
      <c r="B10" s="9"/>
      <c r="C10" s="9"/>
      <c r="D10" s="9"/>
      <c r="E10" s="9"/>
      <c r="F10" s="9"/>
      <c r="G10" s="9"/>
      <c r="H10" s="9"/>
    </row>
    <row r="11" spans="1:8" x14ac:dyDescent="0.25">
      <c r="A11" s="9"/>
      <c r="B11" s="9"/>
      <c r="C11" s="9"/>
      <c r="D11" s="9"/>
      <c r="E11" s="9"/>
      <c r="F11" s="9"/>
      <c r="G11" s="9"/>
      <c r="H11" s="9"/>
    </row>
    <row r="12" spans="1:8" x14ac:dyDescent="0.25">
      <c r="A12" s="9" t="s">
        <v>100</v>
      </c>
      <c r="B12" s="9"/>
      <c r="C12" s="9"/>
      <c r="D12" s="9"/>
      <c r="E12" s="9"/>
      <c r="F12" s="9"/>
      <c r="G12" s="9"/>
      <c r="H12" s="9"/>
    </row>
    <row r="13" spans="1:8" x14ac:dyDescent="0.25">
      <c r="A13" s="9"/>
      <c r="B13" s="9"/>
      <c r="C13" s="9"/>
      <c r="D13" s="9"/>
      <c r="E13" s="9"/>
      <c r="F13" s="9"/>
      <c r="G13" s="9"/>
      <c r="H13" s="9"/>
    </row>
    <row r="14" spans="1:8" x14ac:dyDescent="0.25">
      <c r="A14" s="9"/>
      <c r="B14" s="9"/>
      <c r="C14" s="9"/>
      <c r="D14" s="9"/>
      <c r="E14" s="9"/>
      <c r="F14" s="9"/>
      <c r="G14" s="9"/>
      <c r="H14" s="9"/>
    </row>
    <row r="15" spans="1:8" x14ac:dyDescent="0.25">
      <c r="A15" s="9" t="s">
        <v>99</v>
      </c>
      <c r="B15" s="9"/>
      <c r="C15" s="9"/>
      <c r="D15" s="9"/>
      <c r="E15" s="9"/>
      <c r="F15" s="9"/>
      <c r="G15" s="9"/>
      <c r="H15" s="9"/>
    </row>
    <row r="16" spans="1:8" x14ac:dyDescent="0.25">
      <c r="A16" s="9"/>
      <c r="B16" s="9"/>
      <c r="C16" s="9"/>
      <c r="D16" s="9"/>
      <c r="E16" s="9"/>
      <c r="F16" s="9"/>
      <c r="G16" s="9"/>
      <c r="H16" s="9"/>
    </row>
    <row r="17" spans="1:8" x14ac:dyDescent="0.25">
      <c r="A17" s="9"/>
      <c r="B17" s="9"/>
      <c r="C17" s="9"/>
      <c r="D17" s="9"/>
      <c r="E17" s="9"/>
      <c r="F17" s="9"/>
      <c r="G17" s="9"/>
      <c r="H17" s="9"/>
    </row>
    <row r="18" spans="1:8" x14ac:dyDescent="0.25">
      <c r="A18" s="9"/>
      <c r="B18" s="9"/>
      <c r="C18" s="9"/>
      <c r="D18" s="9"/>
      <c r="E18" s="9"/>
      <c r="F18" s="9"/>
      <c r="G18" s="9"/>
      <c r="H18" s="9"/>
    </row>
    <row r="19" spans="1:8" x14ac:dyDescent="0.25">
      <c r="A19" s="9"/>
      <c r="B19" s="9"/>
      <c r="C19" s="9"/>
      <c r="D19" s="9"/>
      <c r="E19" s="9"/>
      <c r="F19" s="9"/>
      <c r="G19" s="9"/>
      <c r="H19" s="9"/>
    </row>
    <row r="20" spans="1:8" x14ac:dyDescent="0.25">
      <c r="A20" s="9"/>
      <c r="B20" s="9"/>
      <c r="C20" s="9"/>
      <c r="D20" s="9"/>
      <c r="E20" s="9"/>
      <c r="F20" s="9"/>
      <c r="G20" s="9"/>
      <c r="H20" s="9"/>
    </row>
    <row r="21" spans="1:8" x14ac:dyDescent="0.25">
      <c r="A21" s="9"/>
      <c r="B21" s="9"/>
      <c r="C21" s="9"/>
      <c r="D21" s="9"/>
      <c r="E21" s="9"/>
      <c r="F21" s="9"/>
      <c r="G21" s="9"/>
      <c r="H21" s="9"/>
    </row>
    <row r="22" spans="1:8" x14ac:dyDescent="0.25">
      <c r="A22" s="9"/>
      <c r="B22" s="9"/>
      <c r="C22" s="9"/>
      <c r="D22" s="9"/>
      <c r="E22" s="9"/>
      <c r="F22" s="9"/>
      <c r="G22" s="9"/>
      <c r="H22" s="9"/>
    </row>
    <row r="23" spans="1:8" x14ac:dyDescent="0.25">
      <c r="A23" s="9"/>
      <c r="B23" s="9"/>
      <c r="C23" s="9"/>
      <c r="D23" s="9"/>
      <c r="E23" s="9"/>
      <c r="F23" s="9"/>
      <c r="G23" s="9"/>
      <c r="H23" s="9"/>
    </row>
    <row r="24" spans="1:8" x14ac:dyDescent="0.25">
      <c r="A24" s="9"/>
      <c r="B24" s="9"/>
      <c r="C24" s="9"/>
      <c r="D24" s="9"/>
      <c r="E24" s="9"/>
      <c r="F24" s="9"/>
      <c r="G24" s="9"/>
      <c r="H24" s="9"/>
    </row>
    <row r="25" spans="1:8" x14ac:dyDescent="0.25">
      <c r="A25" s="9"/>
      <c r="B25" s="9"/>
      <c r="C25" s="9"/>
      <c r="D25" s="9"/>
      <c r="E25" s="9"/>
      <c r="F25" s="9"/>
      <c r="G25" s="9"/>
      <c r="H25" s="9"/>
    </row>
    <row r="26" spans="1:8" x14ac:dyDescent="0.25">
      <c r="A26" s="9"/>
      <c r="B26" s="9"/>
      <c r="C26" s="9"/>
      <c r="D26" s="9"/>
      <c r="E26" s="9"/>
      <c r="F26" s="9"/>
      <c r="G26" s="9"/>
      <c r="H26" s="9"/>
    </row>
    <row r="27" spans="1:8" x14ac:dyDescent="0.25">
      <c r="A27" s="9"/>
      <c r="B27" s="9"/>
      <c r="C27" s="9"/>
      <c r="D27" s="9"/>
      <c r="E27" s="9"/>
      <c r="F27" s="9"/>
      <c r="G27" s="9"/>
      <c r="H27" s="9"/>
    </row>
    <row r="28" spans="1:8" x14ac:dyDescent="0.25">
      <c r="A28" s="9"/>
      <c r="B28" s="9"/>
      <c r="C28" s="9"/>
      <c r="D28" s="9"/>
      <c r="E28" s="9"/>
      <c r="F28" s="9"/>
      <c r="G28" s="9"/>
      <c r="H28" s="9"/>
    </row>
    <row r="29" spans="1:8" x14ac:dyDescent="0.25">
      <c r="A29" s="9"/>
      <c r="B29" s="9"/>
      <c r="C29" s="9"/>
      <c r="D29" s="9"/>
      <c r="E29" s="9"/>
      <c r="F29" s="9"/>
      <c r="G29" s="9"/>
      <c r="H29" s="9"/>
    </row>
    <row r="30" spans="1:8" x14ac:dyDescent="0.25">
      <c r="A30" s="9"/>
      <c r="B30" s="9"/>
      <c r="C30" s="9"/>
      <c r="D30" s="9"/>
      <c r="E30" s="9"/>
      <c r="F30" s="9"/>
      <c r="G30" s="9"/>
      <c r="H30" s="9"/>
    </row>
    <row r="31" spans="1:8" x14ac:dyDescent="0.25">
      <c r="A31" s="9"/>
      <c r="B31" s="9"/>
      <c r="C31" s="9"/>
      <c r="D31" s="9"/>
      <c r="E31" s="9"/>
      <c r="F31" s="9"/>
      <c r="G31" s="9"/>
      <c r="H31" s="9"/>
    </row>
    <row r="32" spans="1:8" x14ac:dyDescent="0.25">
      <c r="A32" s="9"/>
      <c r="B32" s="9"/>
      <c r="C32" s="9"/>
      <c r="D32" s="9"/>
      <c r="E32" s="9"/>
      <c r="F32" s="9"/>
      <c r="G32" s="9"/>
      <c r="H32" s="9"/>
    </row>
    <row r="33" spans="1:8" x14ac:dyDescent="0.25">
      <c r="A33" s="9"/>
      <c r="B33" s="9"/>
      <c r="C33" s="9"/>
      <c r="D33" s="9"/>
      <c r="E33" s="9"/>
      <c r="F33" s="9"/>
      <c r="G33" s="9"/>
      <c r="H33" s="9"/>
    </row>
    <row r="34" spans="1:8" x14ac:dyDescent="0.25">
      <c r="A34" s="9"/>
      <c r="B34" s="9"/>
      <c r="C34" s="9"/>
      <c r="D34" s="9"/>
      <c r="E34" s="9"/>
      <c r="F34" s="9"/>
      <c r="G34" s="9"/>
      <c r="H34" s="9"/>
    </row>
  </sheetData>
  <mergeCells count="2">
    <mergeCell ref="A2:C2"/>
    <mergeCell ref="D2:E2"/>
  </mergeCells>
  <pageMargins left="0.7" right="0.7" top="0.75" bottom="0.75" header="0.3" footer="0.3"/>
  <pageSetup scale="81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2025-06-16T18:40:59Z</cp:lastPrinted>
  <dcterms:created xsi:type="dcterms:W3CDTF">2025-06-16T18:24:34Z</dcterms:created>
  <dcterms:modified xsi:type="dcterms:W3CDTF">2025-06-16T18:56:20Z</dcterms:modified>
</cp:coreProperties>
</file>