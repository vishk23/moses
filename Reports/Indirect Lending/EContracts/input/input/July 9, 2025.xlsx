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25F123D4-AC1E-4647-9951-A77DD1E86CF1}" xr6:coauthVersionLast="47" xr6:coauthVersionMax="47" xr10:uidLastSave="{00000000-0000-0000-0000-000000000000}"/>
  <bookViews>
    <workbookView xWindow="705" yWindow="510" windowWidth="29040" windowHeight="1560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H9" i="2"/>
  <c r="H12" i="1"/>
  <c r="E12" i="1"/>
  <c r="D12" i="1"/>
  <c r="C12" i="1"/>
</calcChain>
</file>

<file path=xl/sharedStrings.xml><?xml version="1.0" encoding="utf-8"?>
<sst xmlns="http://schemas.openxmlformats.org/spreadsheetml/2006/main" count="110" uniqueCount="64">
  <si>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</si>
  <si>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</si>
  <si>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</si>
  <si>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</si>
  <si>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</si>
  <si>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</si>
  <si>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</si>
  <si>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</si>
  <si>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</si>
  <si>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</si>
  <si>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Grieco Enterprises, LLC d/b/a</t>
  </si>
  <si>
    <t>Marlene Braganca</t>
  </si>
  <si>
    <t>Hylan Auto Sales</t>
  </si>
  <si>
    <t>Planet Subaru</t>
  </si>
  <si>
    <t>Rachel Gorham</t>
  </si>
  <si>
    <t>T F Murphy Enterprises Inc</t>
  </si>
  <si>
    <t>Neli Oliveira</t>
  </si>
  <si>
    <t># 5</t>
  </si>
  <si>
    <t>ANDREATTA</t>
  </si>
  <si>
    <t>NICHOLASDBOULGER@GMAIL.COM</t>
  </si>
  <si>
    <t>BOULGER, NICHOLAS</t>
  </si>
  <si>
    <t>E Contract</t>
  </si>
  <si>
    <t>DealerTrack</t>
  </si>
  <si>
    <t>Lawrence</t>
  </si>
  <si>
    <t>Hylan</t>
  </si>
  <si>
    <t>BJWAL@COMCAST.NET</t>
  </si>
  <si>
    <t>JOHN@HYLANAUTO.COM</t>
  </si>
  <si>
    <t>WALANTIS, BRENDA</t>
  </si>
  <si>
    <t>WALANTIS, JOHN</t>
  </si>
  <si>
    <t>Paper</t>
  </si>
  <si>
    <t>151200583</t>
  </si>
  <si>
    <t>Terry</t>
  </si>
  <si>
    <t>DAVID.PURPRA@GMAIL.COM</t>
  </si>
  <si>
    <t>PURPURA, DAVID</t>
  </si>
  <si>
    <t>151200541</t>
  </si>
  <si>
    <t>BENOIT</t>
  </si>
  <si>
    <t>GAUTHIER</t>
  </si>
  <si>
    <t>REZENDES, ANN</t>
  </si>
  <si>
    <t>FLEURENT, RANDALL</t>
  </si>
  <si>
    <t>Route One</t>
  </si>
  <si>
    <t>151200533</t>
  </si>
  <si>
    <t>Ronanki</t>
  </si>
  <si>
    <t>RONANKI.SANTOSH@GMAIL.COM</t>
  </si>
  <si>
    <t>RONANKI, SANTOSH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</si>
  <si>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</si>
  <si>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</si>
  <si>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</si>
  <si>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</si>
  <si>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</si>
  <si>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</si>
  <si>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</si>
  <si>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</si>
  <si>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</si>
  <si>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</si>
  <si>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</si>
  <si>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</t>
  </si>
  <si>
    <t>Date Received________________________________________________________________________</t>
  </si>
  <si>
    <t>Date Delivered________________________________________________________________________</t>
  </si>
  <si>
    <t># 3</t>
  </si>
  <si>
    <t>Funding Worksheet - Signoff Version</t>
  </si>
  <si>
    <t>151200369e</t>
  </si>
  <si>
    <t>151200723e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</si>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</sst>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3EC5C9FE-E058-435E-87AD-944CD09A6EEE}"/>
  </cellStyles>
  <dxfs count="25">
    <dxf>
      <numFmt numFmtId="11" formatCode="&quot;$&quot;#,##0.00_);\(&quot;$&quot;#,##0.00\)"/>
    </dxf>
    <dxf>
      <numFmt numFmtId="11" formatCode="&quot;$&quot;#,##0.00_);\(&quot;$&quot;#,##0.00\)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2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401FD50D-5DC9-48B7-9C19-779FB7A1E94C}" name="Column1" dataDxfId="0"/>
    <tableColumn id="8" xr3:uid="{3417AC71-4979-4236-A74E-A11B2CE79147}" name="Column2" dataDxfId="1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C879F5-71A0-484D-92EC-7D6A382CA3AD}" name="Table_13" displayName="Table_13" ref="A3:L9" headerRowDxfId="12" dataDxfId="10" totalsRowDxfId="11">
  <tableColumns count="12">
    <tableColumn id="1" xr3:uid="{00000000-0010-0000-0000-000001000000}" name="Account Number" dataDxfId="24"/>
    <tableColumn id="2" xr3:uid="{00000000-0010-0000-0000-000002000000}" name="Portal" dataDxfId="23"/>
    <tableColumn id="3" xr3:uid="{00000000-0010-0000-0000-000003000000}" name="Contract Type" dataDxfId="22"/>
    <tableColumn id="4" xr3:uid="{00000000-0010-0000-0000-000004000000}" name="Applicant Name" dataDxfId="21"/>
    <tableColumn id="5" xr3:uid="{00000000-0010-0000-0000-000005000000}" name="Co-Applicant Name" dataDxfId="20"/>
    <tableColumn id="6" xr3:uid="{00000000-0010-0000-0000-000006000000}" name="Dealer Name" dataDxfId="19"/>
    <tableColumn id="7" xr3:uid="{00000000-0010-0000-0000-000007000000}" name="Funded by" dataDxfId="18"/>
    <tableColumn id="8" xr3:uid="{00000000-0010-0000-0000-000008000000}" name="Amount Financed" dataDxfId="17"/>
    <tableColumn id="9" xr3:uid="{00000000-0010-0000-0000-000009000000}" name="Applicant Email" dataDxfId="16"/>
    <tableColumn id="10" xr3:uid="{00000000-0010-0000-0000-00000A000000}" name="Co-Applicant Email" dataDxfId="15"/>
    <tableColumn id="11" xr3:uid="{00000000-0010-0000-0000-00000B000000}" name="App MMN" dataDxfId="14"/>
    <tableColumn id="12" xr3:uid="{00000000-0010-0000-0000-00000C000000}" name="Co-App MMN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AB0B7D-2A67-460C-B562-CCE5E4FEB9CE}" name="Table_14" displayName="Table_14" ref="A3:E7" headerRowDxfId="4" dataDxfId="2" totalsRowDxfId="3">
  <tableColumns count="5">
    <tableColumn id="1" xr3:uid="{00000000-0010-0000-0000-000001000000}" name="Account Number" dataDxfId="9"/>
    <tableColumn id="2" xr3:uid="{00000000-0010-0000-0000-000002000000}" name="Contract Type" dataDxfId="8"/>
    <tableColumn id="3" xr3:uid="{00000000-0010-0000-0000-000003000000}" name="Applicant Name" dataDxfId="7"/>
    <tableColumn id="4" xr3:uid="{00000000-0010-0000-0000-000004000000}" name="Co-Applicant Name" dataDxfId="6"/>
    <tableColumn id="5" xr3:uid="{00000000-0010-0000-0000-000005000000}" name="Dealer Name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tabSelected="1" workbookViewId="0">
      <pane ySplit="3" topLeftCell="A4" activePane="bottomLeft" state="frozen"/>
      <selection pane="bottomLeft" activeCell="K21" sqref="K20:K21"/>
    </sheetView>
  </sheetViews>
  <sheetFormatPr defaultRowHeight="15" x14ac:dyDescent="0.25"/>
  <cols>
    <col min="1" max="1" width="27.7109375" bestFit="1" customWidth="1"/>
    <col min="2" max="2" width="17.7109375" bestFit="1" customWidth="1"/>
    <col min="3" max="3" width="11.140625" bestFit="1" customWidth="1"/>
    <col min="4" max="4" width="11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45847</v>
      </c>
      <c r="E1" t="s">
        <v>2</v>
      </c>
      <c r="H1" s="4">
        <v>45847.999988425923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62</v>
      </c>
      <c r="G3" t="s">
        <v>63</v>
      </c>
      <c r="H3" t="s">
        <v>9</v>
      </c>
    </row>
    <row r="4" spans="1:8" x14ac:dyDescent="0.25">
      <c r="A4" t="s">
        <v>10</v>
      </c>
      <c r="B4" t="s">
        <v>11</v>
      </c>
      <c r="C4" s="2">
        <v>950</v>
      </c>
      <c r="D4" s="2">
        <v>0</v>
      </c>
      <c r="E4" s="2">
        <v>36390.19</v>
      </c>
      <c r="F4" s="2"/>
      <c r="G4" s="2"/>
      <c r="H4" s="2">
        <v>36465.19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750</v>
      </c>
      <c r="D6" s="2">
        <v>0</v>
      </c>
      <c r="E6" s="2">
        <v>28000</v>
      </c>
      <c r="F6" s="2"/>
      <c r="G6" s="2"/>
      <c r="H6" s="2">
        <v>28075</v>
      </c>
    </row>
    <row r="7" spans="1:8" x14ac:dyDescent="0.25">
      <c r="A7" t="s">
        <v>12</v>
      </c>
      <c r="B7" t="s">
        <v>11</v>
      </c>
      <c r="C7" s="2">
        <v>950</v>
      </c>
      <c r="D7" s="2">
        <v>0</v>
      </c>
      <c r="E7" s="2">
        <v>36785.879999999997</v>
      </c>
      <c r="F7" s="2">
        <f>SUM(E6:E7)</f>
        <v>64785.88</v>
      </c>
      <c r="G7" s="2"/>
      <c r="H7" s="2">
        <v>36860.879999999997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13</v>
      </c>
      <c r="B9" t="s">
        <v>14</v>
      </c>
      <c r="C9" s="2">
        <v>650</v>
      </c>
      <c r="D9" s="2">
        <v>0</v>
      </c>
      <c r="E9" s="2">
        <v>22407.37</v>
      </c>
      <c r="F9" s="2"/>
      <c r="G9" s="2"/>
      <c r="H9" s="2">
        <v>22482.37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16</v>
      </c>
      <c r="C11" s="2">
        <v>950</v>
      </c>
      <c r="D11" s="2">
        <v>0</v>
      </c>
      <c r="E11" s="2">
        <v>35883.31</v>
      </c>
      <c r="F11" s="2"/>
      <c r="G11" s="2"/>
      <c r="H11" s="2">
        <v>35958.31</v>
      </c>
    </row>
    <row r="12" spans="1:8" x14ac:dyDescent="0.25">
      <c r="A12" s="1"/>
      <c r="B12" s="1"/>
      <c r="C12" s="3">
        <f>SUM(C4:C11)</f>
        <v>4250</v>
      </c>
      <c r="D12" s="3">
        <f>SUM(D4:D11)</f>
        <v>0</v>
      </c>
      <c r="E12" s="3">
        <f>SUM(E4:E11)</f>
        <v>159466.75</v>
      </c>
      <c r="F12" s="3"/>
      <c r="G12" s="3"/>
      <c r="H12" s="3">
        <f>SUM(H4:H11)</f>
        <v>159841.75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27BC-60F5-46E6-A745-089DAFF499F0}">
  <sheetPr>
    <pageSetUpPr fitToPage="1"/>
  </sheetPr>
  <dimension ref="A1:L19"/>
  <sheetViews>
    <sheetView workbookViewId="0">
      <pane ySplit="3" topLeftCell="A4" activePane="bottomLeft" state="frozen"/>
      <selection pane="bottomLeft" activeCell="G10" sqref="G10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0.5703125" style="8" bestFit="1" customWidth="1"/>
    <col min="5" max="5" width="19.42578125" style="8" bestFit="1" customWidth="1"/>
    <col min="6" max="6" width="27.7109375" style="8" bestFit="1" customWidth="1"/>
    <col min="7" max="7" width="17.7109375" style="8" bestFit="1" customWidth="1"/>
    <col min="8" max="8" width="17.140625" style="8" bestFit="1" customWidth="1"/>
    <col min="9" max="9" width="33.42578125" style="8" bestFit="1" customWidth="1"/>
    <col min="10" max="10" width="22.140625" style="8" bestFit="1" customWidth="1"/>
    <col min="11" max="11" width="12.285156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45847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54</v>
      </c>
      <c r="H2" s="12"/>
      <c r="I2" s="12"/>
      <c r="J2" s="12"/>
      <c r="K2" s="12"/>
      <c r="L2" s="12"/>
    </row>
    <row r="3" spans="1:12" ht="35.1" customHeight="1" x14ac:dyDescent="0.25">
      <c r="A3" s="9" t="s">
        <v>53</v>
      </c>
      <c r="B3" s="9" t="s">
        <v>52</v>
      </c>
      <c r="C3" s="9" t="s">
        <v>51</v>
      </c>
      <c r="D3" s="9" t="s">
        <v>50</v>
      </c>
      <c r="E3" s="9" t="s">
        <v>49</v>
      </c>
      <c r="F3" s="9" t="s">
        <v>4</v>
      </c>
      <c r="G3" s="9" t="s">
        <v>5</v>
      </c>
      <c r="H3" s="9" t="s">
        <v>48</v>
      </c>
      <c r="I3" s="9" t="s">
        <v>47</v>
      </c>
      <c r="J3" s="9" t="s">
        <v>46</v>
      </c>
      <c r="K3" s="9" t="s">
        <v>45</v>
      </c>
      <c r="L3" s="9" t="s">
        <v>44</v>
      </c>
    </row>
    <row r="4" spans="1:12" ht="35.1" customHeight="1" x14ac:dyDescent="0.25">
      <c r="A4" s="9" t="s">
        <v>60</v>
      </c>
      <c r="B4" s="9" t="s">
        <v>22</v>
      </c>
      <c r="C4" s="9" t="s">
        <v>21</v>
      </c>
      <c r="D4" s="9" t="s">
        <v>43</v>
      </c>
      <c r="E4" s="9"/>
      <c r="F4" s="9" t="s">
        <v>10</v>
      </c>
      <c r="G4" s="9" t="s">
        <v>11</v>
      </c>
      <c r="H4" s="14">
        <v>36465.19</v>
      </c>
      <c r="I4" s="9" t="s">
        <v>42</v>
      </c>
      <c r="J4" s="9"/>
      <c r="K4" s="9" t="s">
        <v>41</v>
      </c>
      <c r="L4" s="9"/>
    </row>
    <row r="5" spans="1:12" ht="35.1" customHeight="1" x14ac:dyDescent="0.25">
      <c r="A5" s="9" t="s">
        <v>40</v>
      </c>
      <c r="B5" s="9" t="s">
        <v>39</v>
      </c>
      <c r="C5" s="9" t="s">
        <v>29</v>
      </c>
      <c r="D5" s="9" t="s">
        <v>38</v>
      </c>
      <c r="E5" s="9" t="s">
        <v>37</v>
      </c>
      <c r="F5" s="9" t="s">
        <v>15</v>
      </c>
      <c r="G5" s="9" t="s">
        <v>16</v>
      </c>
      <c r="H5" s="14">
        <v>35958.31</v>
      </c>
      <c r="I5" s="9"/>
      <c r="J5" s="9"/>
      <c r="K5" s="9" t="s">
        <v>36</v>
      </c>
      <c r="L5" s="9" t="s">
        <v>35</v>
      </c>
    </row>
    <row r="6" spans="1:12" ht="35.1" customHeight="1" x14ac:dyDescent="0.25">
      <c r="A6" s="9" t="s">
        <v>34</v>
      </c>
      <c r="B6" s="9" t="s">
        <v>22</v>
      </c>
      <c r="C6" s="9" t="s">
        <v>29</v>
      </c>
      <c r="D6" s="9" t="s">
        <v>33</v>
      </c>
      <c r="E6" s="9"/>
      <c r="F6" s="9" t="s">
        <v>12</v>
      </c>
      <c r="G6" s="9" t="s">
        <v>11</v>
      </c>
      <c r="H6" s="14">
        <v>36860.879999999997</v>
      </c>
      <c r="I6" s="9" t="s">
        <v>32</v>
      </c>
      <c r="J6" s="9"/>
      <c r="K6" s="9" t="s">
        <v>31</v>
      </c>
      <c r="L6" s="9"/>
    </row>
    <row r="7" spans="1:12" ht="35.1" customHeight="1" x14ac:dyDescent="0.25">
      <c r="A7" s="9" t="s">
        <v>30</v>
      </c>
      <c r="B7" s="9" t="s">
        <v>22</v>
      </c>
      <c r="C7" s="9" t="s">
        <v>29</v>
      </c>
      <c r="D7" s="9" t="s">
        <v>28</v>
      </c>
      <c r="E7" s="9" t="s">
        <v>27</v>
      </c>
      <c r="F7" s="9" t="s">
        <v>12</v>
      </c>
      <c r="G7" s="9" t="s">
        <v>11</v>
      </c>
      <c r="H7" s="14">
        <v>28075</v>
      </c>
      <c r="I7" s="9" t="s">
        <v>26</v>
      </c>
      <c r="J7" s="9" t="s">
        <v>25</v>
      </c>
      <c r="K7" s="9" t="s">
        <v>24</v>
      </c>
      <c r="L7" s="9" t="s">
        <v>23</v>
      </c>
    </row>
    <row r="8" spans="1:12" ht="35.1" customHeight="1" x14ac:dyDescent="0.25">
      <c r="A8" s="9" t="s">
        <v>61</v>
      </c>
      <c r="B8" s="9" t="s">
        <v>22</v>
      </c>
      <c r="C8" s="9" t="s">
        <v>21</v>
      </c>
      <c r="D8" s="9" t="s">
        <v>20</v>
      </c>
      <c r="E8" s="9"/>
      <c r="F8" s="9" t="s">
        <v>13</v>
      </c>
      <c r="G8" s="9" t="s">
        <v>14</v>
      </c>
      <c r="H8" s="14">
        <v>22482.37</v>
      </c>
      <c r="I8" s="9" t="s">
        <v>19</v>
      </c>
      <c r="J8" s="9"/>
      <c r="K8" s="9" t="s">
        <v>18</v>
      </c>
      <c r="L8" s="9"/>
    </row>
    <row r="9" spans="1:12" ht="35.1" customHeight="1" x14ac:dyDescent="0.25">
      <c r="A9" s="15"/>
      <c r="B9" s="15"/>
      <c r="C9" s="15"/>
      <c r="D9" s="15" t="s">
        <v>17</v>
      </c>
      <c r="E9" s="15"/>
      <c r="F9" s="15"/>
      <c r="G9" s="15"/>
      <c r="H9" s="16">
        <f>SUM(H4:H8)</f>
        <v>159841.75</v>
      </c>
      <c r="I9" s="15"/>
      <c r="J9" s="15"/>
      <c r="K9" s="15"/>
      <c r="L9" s="15"/>
    </row>
    <row r="10" spans="1:12" ht="35.1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35.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35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5.1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5.1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</sheetData>
  <mergeCells count="2">
    <mergeCell ref="A2:F2"/>
    <mergeCell ref="G2:L2"/>
  </mergeCells>
  <pageMargins left="0.7" right="0.7" top="0.75" bottom="0.75" header="0.3" footer="0.3"/>
  <pageSetup paperSize="5" scale="71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E9D9-FD14-414E-95B5-C7D9493ED5D4}">
  <sheetPr>
    <pageSetUpPr fitToPage="1"/>
  </sheetPr>
  <dimension ref="A1:H25"/>
  <sheetViews>
    <sheetView workbookViewId="0">
      <pane ySplit="3" topLeftCell="A4" activePane="bottomLeft" state="frozen"/>
      <selection pane="bottomLeft" activeCell="D22" sqref="D22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0.5703125" style="8" bestFit="1" customWidth="1"/>
    <col min="4" max="4" width="19.42578125" style="8" bestFit="1" customWidth="1"/>
    <col min="5" max="5" width="27.7109375" style="8" bestFit="1" customWidth="1"/>
    <col min="6" max="16384" width="9.140625" style="8"/>
  </cols>
  <sheetData>
    <row r="1" spans="1:8" x14ac:dyDescent="0.25">
      <c r="A1" s="9"/>
      <c r="B1" s="9"/>
      <c r="C1" s="9" t="s">
        <v>3</v>
      </c>
      <c r="D1" s="10">
        <v>45847</v>
      </c>
      <c r="E1" s="9" t="s">
        <v>2</v>
      </c>
      <c r="F1" s="9"/>
      <c r="G1" s="9"/>
      <c r="H1" s="9"/>
    </row>
    <row r="2" spans="1:8" x14ac:dyDescent="0.25">
      <c r="A2" s="11" t="s">
        <v>0</v>
      </c>
      <c r="B2" s="12"/>
      <c r="C2" s="12"/>
      <c r="D2" s="13" t="s">
        <v>59</v>
      </c>
      <c r="E2" s="12"/>
      <c r="F2" s="9"/>
      <c r="G2" s="9"/>
      <c r="H2" s="9"/>
    </row>
    <row r="3" spans="1:8" x14ac:dyDescent="0.25">
      <c r="A3" s="9" t="s">
        <v>53</v>
      </c>
      <c r="B3" s="9" t="s">
        <v>51</v>
      </c>
      <c r="C3" s="9" t="s">
        <v>50</v>
      </c>
      <c r="D3" s="9" t="s">
        <v>49</v>
      </c>
      <c r="E3" s="9" t="s">
        <v>4</v>
      </c>
      <c r="F3" s="9"/>
      <c r="G3" s="9"/>
      <c r="H3" s="9"/>
    </row>
    <row r="4" spans="1:8" x14ac:dyDescent="0.25">
      <c r="A4" s="9" t="s">
        <v>40</v>
      </c>
      <c r="B4" s="9" t="s">
        <v>29</v>
      </c>
      <c r="C4" s="9" t="s">
        <v>38</v>
      </c>
      <c r="D4" s="9" t="s">
        <v>37</v>
      </c>
      <c r="E4" s="9" t="s">
        <v>15</v>
      </c>
      <c r="F4" s="9"/>
      <c r="G4" s="9"/>
      <c r="H4" s="9"/>
    </row>
    <row r="5" spans="1:8" x14ac:dyDescent="0.25">
      <c r="A5" s="9" t="s">
        <v>34</v>
      </c>
      <c r="B5" s="9" t="s">
        <v>29</v>
      </c>
      <c r="C5" s="9" t="s">
        <v>33</v>
      </c>
      <c r="D5" s="9"/>
      <c r="E5" s="9" t="s">
        <v>12</v>
      </c>
      <c r="F5" s="9"/>
      <c r="G5" s="9"/>
      <c r="H5" s="9"/>
    </row>
    <row r="6" spans="1:8" x14ac:dyDescent="0.25">
      <c r="A6" s="9" t="s">
        <v>30</v>
      </c>
      <c r="B6" s="9" t="s">
        <v>29</v>
      </c>
      <c r="C6" s="9" t="s">
        <v>28</v>
      </c>
      <c r="D6" s="9" t="s">
        <v>27</v>
      </c>
      <c r="E6" s="9" t="s">
        <v>12</v>
      </c>
      <c r="F6" s="9"/>
      <c r="G6" s="9"/>
      <c r="H6" s="9"/>
    </row>
    <row r="7" spans="1:8" x14ac:dyDescent="0.25">
      <c r="A7" s="15"/>
      <c r="B7" s="15"/>
      <c r="C7" s="15" t="s">
        <v>58</v>
      </c>
      <c r="D7" s="15"/>
      <c r="E7" s="15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  <row r="10" spans="1:8" x14ac:dyDescent="0.25">
      <c r="A10" s="9" t="s">
        <v>57</v>
      </c>
      <c r="B10" s="9"/>
      <c r="C10" s="9"/>
      <c r="D10" s="9"/>
      <c r="E10" s="9"/>
      <c r="F10" s="9"/>
      <c r="G10" s="9"/>
      <c r="H10" s="9"/>
    </row>
    <row r="11" spans="1:8" x14ac:dyDescent="0.25">
      <c r="A11" s="9"/>
      <c r="B11" s="9"/>
      <c r="C11" s="9"/>
      <c r="D11" s="9"/>
      <c r="E11" s="9"/>
      <c r="F11" s="9"/>
      <c r="G11" s="9"/>
      <c r="H11" s="9"/>
    </row>
    <row r="12" spans="1:8" x14ac:dyDescent="0.25">
      <c r="A12" s="9"/>
      <c r="B12" s="9"/>
      <c r="C12" s="9"/>
      <c r="D12" s="9"/>
      <c r="E12" s="9"/>
      <c r="F12" s="9"/>
      <c r="G12" s="9"/>
      <c r="H12" s="9"/>
    </row>
    <row r="13" spans="1:8" x14ac:dyDescent="0.25">
      <c r="A13" s="9" t="s">
        <v>56</v>
      </c>
      <c r="B13" s="9"/>
      <c r="C13" s="9"/>
      <c r="D13" s="9"/>
      <c r="E13" s="9"/>
      <c r="F13" s="9"/>
      <c r="G13" s="9"/>
      <c r="H13" s="9"/>
    </row>
    <row r="14" spans="1:8" x14ac:dyDescent="0.25">
      <c r="A14" s="9"/>
      <c r="B14" s="9"/>
      <c r="C14" s="9"/>
      <c r="D14" s="9"/>
      <c r="E14" s="9"/>
      <c r="F14" s="9"/>
      <c r="G14" s="9"/>
      <c r="H14" s="9"/>
    </row>
    <row r="15" spans="1:8" x14ac:dyDescent="0.25">
      <c r="A15" s="9"/>
      <c r="B15" s="9"/>
      <c r="C15" s="9"/>
      <c r="D15" s="9"/>
      <c r="E15" s="9"/>
      <c r="F15" s="9"/>
      <c r="G15" s="9"/>
      <c r="H15" s="9"/>
    </row>
    <row r="16" spans="1:8" x14ac:dyDescent="0.25">
      <c r="A16" s="9"/>
      <c r="B16" s="9"/>
      <c r="C16" s="9"/>
      <c r="D16" s="9"/>
      <c r="E16" s="9"/>
      <c r="F16" s="9"/>
      <c r="G16" s="9"/>
      <c r="H16" s="9"/>
    </row>
    <row r="17" spans="1:8" x14ac:dyDescent="0.25">
      <c r="A17" s="9" t="s">
        <v>55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  <row r="20" spans="1:8" x14ac:dyDescent="0.25">
      <c r="A20" s="9"/>
      <c r="B20" s="9"/>
      <c r="C20" s="9"/>
      <c r="D20" s="9"/>
      <c r="E20" s="9"/>
      <c r="F20" s="9"/>
      <c r="G20" s="9"/>
      <c r="H20" s="9"/>
    </row>
    <row r="21" spans="1:8" x14ac:dyDescent="0.25">
      <c r="A21" s="9"/>
      <c r="B21" s="9"/>
      <c r="C21" s="9"/>
      <c r="D21" s="9"/>
      <c r="E21" s="9"/>
      <c r="F21" s="9"/>
      <c r="G21" s="9"/>
      <c r="H21" s="9"/>
    </row>
    <row r="22" spans="1:8" x14ac:dyDescent="0.25">
      <c r="A22" s="9"/>
      <c r="B22" s="9"/>
      <c r="C22" s="9"/>
      <c r="D22" s="9"/>
      <c r="E22" s="9"/>
      <c r="F22" s="9"/>
      <c r="G22" s="9"/>
      <c r="H22" s="9"/>
    </row>
    <row r="23" spans="1:8" x14ac:dyDescent="0.25">
      <c r="A23" s="9"/>
      <c r="B23" s="9"/>
      <c r="C23" s="9"/>
      <c r="D23" s="9"/>
      <c r="E23" s="9"/>
      <c r="F23" s="9"/>
      <c r="G23" s="9"/>
      <c r="H23" s="9"/>
    </row>
    <row r="24" spans="1:8" x14ac:dyDescent="0.25">
      <c r="A24" s="9"/>
      <c r="B24" s="9"/>
      <c r="C24" s="9"/>
      <c r="D24" s="9"/>
      <c r="E24" s="9"/>
      <c r="F24" s="9"/>
      <c r="G24" s="9"/>
      <c r="H24" s="9"/>
    </row>
    <row r="25" spans="1:8" x14ac:dyDescent="0.25">
      <c r="A25" s="9"/>
      <c r="B25" s="9"/>
      <c r="C25" s="9"/>
      <c r="D25" s="9"/>
      <c r="E25" s="9"/>
      <c r="F25" s="9"/>
      <c r="G25" s="9"/>
      <c r="H25" s="9"/>
    </row>
  </sheetData>
  <mergeCells count="2">
    <mergeCell ref="A2:C2"/>
    <mergeCell ref="D2:E2"/>
  </mergeCells>
  <pageMargins left="0.7" right="0.7" top="0.75" bottom="0.75" header="0.3" footer="0.3"/>
  <pageSetup scale="9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2025-07-09T18:09:05Z</cp:lastPrinted>
  <dcterms:created xsi:type="dcterms:W3CDTF">2025-07-09T17:52:55Z</dcterms:created>
  <dcterms:modified xsi:type="dcterms:W3CDTF">2025-07-09T18:09:09Z</dcterms:modified>
</cp:coreProperties>
</file>