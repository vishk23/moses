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38A3A5A0-F365-4D3B-9AEA-4C14C7DF0E4B}" xr6:coauthVersionLast="47" xr6:coauthVersionMax="47" xr10:uidLastSave="{00000000-0000-0000-0000-000000000000}"/>
  <bookViews>
    <workbookView xWindow="39675" yWindow="2370" windowWidth="17865" windowHeight="1264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H17" i="2"/>
  <c r="F17" i="2"/>
  <c r="E17" i="2"/>
  <c r="D17" i="2"/>
  <c r="H11" i="1"/>
</calcChain>
</file>

<file path=xl/sharedStrings.xml><?xml version="1.0" encoding="utf-8"?>
<sst xmlns="http://schemas.openxmlformats.org/spreadsheetml/2006/main" count="118" uniqueCount="67">
  <si>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</si>
  <si>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</si>
  <si>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</si>
  <si>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</si>
  <si>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</si>
  <si>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</si>
  <si>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</si>
  <si>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</si>
  <si>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</si>
  <si>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</si>
  <si>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</si>
  <si>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</si>
  <si>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</si>
  <si>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</si>
  <si>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</si>
  <si>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151134956</t>
  </si>
  <si>
    <t>DealerTrack</t>
  </si>
  <si>
    <t>Paper</t>
  </si>
  <si>
    <t>Xavier, Jackson</t>
  </si>
  <si>
    <t>NARSA AMC LLC d/b/a</t>
  </si>
  <si>
    <t>Neli Oliveira</t>
  </si>
  <si>
    <t>xjackson88@yahoo.com</t>
  </si>
  <si>
    <t>Christian</t>
  </si>
  <si>
    <t>Route One</t>
  </si>
  <si>
    <t>E Contract</t>
  </si>
  <si>
    <t>CESARD, TASHA</t>
  </si>
  <si>
    <t>T F Murphy Enterprises Inc</t>
  </si>
  <si>
    <t>MARTIAL</t>
  </si>
  <si>
    <t>IVINS, SANDRA</t>
  </si>
  <si>
    <t>Richard Lundgren, Inc. d/b/a</t>
  </si>
  <si>
    <t>IVINS98@CHARTER.NET</t>
  </si>
  <si>
    <t>GRANLAND</t>
  </si>
  <si>
    <t>CLARKE, EVAN</t>
  </si>
  <si>
    <t>Toyota of Dartmouth</t>
  </si>
  <si>
    <t>ROACH</t>
  </si>
  <si>
    <t>151135079</t>
  </si>
  <si>
    <t>SWANSON, CHARLES</t>
  </si>
  <si>
    <t>Lucchettis Service Center Inc</t>
  </si>
  <si>
    <t>SMITH</t>
  </si>
  <si>
    <t>151135087</t>
  </si>
  <si>
    <t>Turley, Anne</t>
  </si>
  <si>
    <t>ANNE.E.TURLEY@GMAIL.COM</t>
  </si>
  <si>
    <t>SURATT</t>
  </si>
  <si>
    <t>LOPEZ, RAFAEL</t>
  </si>
  <si>
    <t>Metro Honda</t>
  </si>
  <si>
    <t>Rachel Gorham</t>
  </si>
  <si>
    <t>MARTINEZ</t>
  </si>
  <si>
    <t># 7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</si>
  <si>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</si>
  <si>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</si>
  <si>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</si>
  <si>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</si>
  <si>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</si>
  <si>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</si>
  <si>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3</t>
  </si>
  <si>
    <t>Column1</t>
  </si>
  <si>
    <t>Column2</t>
  </si>
  <si>
    <t>Auto Mall -NARSA AMC LLC d/b/a</t>
  </si>
  <si>
    <t>3376-3754</t>
  </si>
  <si>
    <t>151134972 E</t>
  </si>
  <si>
    <t>151135029 E</t>
  </si>
  <si>
    <t>151135045 E</t>
  </si>
  <si>
    <t>151135110 E</t>
  </si>
  <si>
    <t>Delivered by:</t>
  </si>
  <si>
    <t>Received by:</t>
  </si>
  <si>
    <t>Date Signed: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</si>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</sst>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-409]mmmm\ d\,\ yyyy;@"/>
    <numFmt numFmtId="169" formatCode="[$-F800]dddd\,\ mmmm\ dd\,\ yyyy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69" fontId="0" fillId="0" borderId="0" xfId="0" applyNumberFormat="1" applyAlignme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  <xf numFmtId="14" fontId="0" fillId="0" borderId="0" xfId="0" applyNumberFormat="1" applyAlignment="1">
      <alignment horizontal="left"/>
    </xf>
    <xf numFmtId="0" fontId="0" fillId="0" borderId="1" xfId="0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1">
  <tableColumns count="13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  <tableColumn id="13" xr3:uid="{00000000-0010-0000-0000-00000D000000}" name="Business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F1B24E-3972-4381-80E8-487C1D0F2818}" name="Table_14" displayName="Table_14" ref="A3:H17" headerRowDxfId="2" dataDxfId="0" totalsRowDxfId="1">
  <sortState xmlns:xlrd2="http://schemas.microsoft.com/office/spreadsheetml/2017/richdata2" ref="A4:H17">
    <sortCondition ref="A4:A17"/>
  </sortState>
  <tableColumns count="8">
    <tableColumn id="1" xr3:uid="{9E0DE4DA-743E-4890-B91F-82B95CF08441}" name="Dealer Name" dataDxfId="10"/>
    <tableColumn id="8" xr3:uid="{92D5B6D9-7B8E-44AC-823A-BAD3EF5E374C}" name="Column2" dataDxfId="9"/>
    <tableColumn id="2" xr3:uid="{516FA599-106B-431F-BFA1-0AC78FFAF189}" name="Funded by" dataDxfId="8"/>
    <tableColumn id="3" xr3:uid="{95C88CC5-B82D-456D-BDF0-FF324E530F29}" name="Dealer Flat" dataDxfId="7"/>
    <tableColumn id="4" xr3:uid="{7EA29E47-3AF5-4DD1-AEA1-3C5FAA49A083}" name="Dealer Split" dataDxfId="6"/>
    <tableColumn id="5" xr3:uid="{A8C3E007-972C-4E2C-9A78-0CA5BBAF2CF6}" name="Net to Dealer" dataDxfId="5"/>
    <tableColumn id="7" xr3:uid="{86EE42DF-5FF0-436E-A203-1857497195DF}" name="Column1" dataDxfId="4"/>
    <tableColumn id="6" xr3:uid="{AD5B33A5-8CED-4746-8ED4-DD9174A31DE5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D0E896-632D-4ED4-9AC5-889309DBA7DF}" name="Table_16" displayName="Table_16" ref="A3:F7">
  <tableColumns count="6">
    <tableColumn id="1" xr3:uid="{2FE9764C-3B25-4C2F-A237-39FE1260AFE5}" name="Account Number"/>
    <tableColumn id="2" xr3:uid="{0AD0EE14-8125-4403-9F8E-98EA17F8FDCC}" name="Contract Type"/>
    <tableColumn id="3" xr3:uid="{AE145D8F-A0BA-46B5-A664-DED12E7F6E7F}" name="Applicant Name"/>
    <tableColumn id="4" xr3:uid="{DE928F69-8466-4BFD-A4E0-2D5C877AFB7A}" name="Co-Applicant Name"/>
    <tableColumn id="5" xr3:uid="{14FF9F29-69DE-48D2-B28E-DADB82352686}" name="Dealer Name"/>
    <tableColumn id="6" xr3:uid="{5E2F0D29-B710-47A4-9EC9-260CEEF88D0B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"/>
  <sheetViews>
    <sheetView tabSelected="1" workbookViewId="0">
      <pane ySplit="3" topLeftCell="A4" activePane="bottomLeft" state="frozen"/>
      <selection pane="bottomLeft" activeCell="B15" sqref="B15"/>
    </sheetView>
  </sheetViews>
  <sheetFormatPr defaultRowHeight="15" x14ac:dyDescent="0.25"/>
  <cols>
    <col min="1" max="1" width="12.5703125" customWidth="1"/>
    <col min="2" max="2" width="12.140625" bestFit="1" customWidth="1"/>
    <col min="3" max="3" width="14" bestFit="1" customWidth="1"/>
    <col min="4" max="4" width="20.28515625" bestFit="1" customWidth="1"/>
    <col min="5" max="5" width="5.42578125" customWidth="1"/>
    <col min="6" max="6" width="27.85546875" bestFit="1" customWidth="1"/>
    <col min="7" max="7" width="15.140625" bestFit="1" customWidth="1"/>
    <col min="8" max="8" width="17.140625" bestFit="1" customWidth="1"/>
    <col min="9" max="9" width="25.7109375" customWidth="1"/>
    <col min="10" max="10" width="3.140625" customWidth="1"/>
    <col min="11" max="11" width="15.5703125" bestFit="1" customWidth="1"/>
    <col min="12" max="12" width="12.85546875" hidden="1" customWidth="1"/>
    <col min="13" max="13" width="15.5703125" hidden="1" customWidth="1"/>
  </cols>
  <sheetData>
    <row r="1" spans="1:13" x14ac:dyDescent="0.25">
      <c r="A1" s="18">
        <v>45666</v>
      </c>
      <c r="K1" s="4">
        <v>45666</v>
      </c>
      <c r="M1" s="4"/>
    </row>
    <row r="2" spans="1:13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ht="30" customHeight="1" x14ac:dyDescent="0.25">
      <c r="A4" t="s">
        <v>15</v>
      </c>
      <c r="B4" t="s">
        <v>16</v>
      </c>
      <c r="C4" t="s">
        <v>17</v>
      </c>
      <c r="D4" t="s">
        <v>18</v>
      </c>
      <c r="F4" t="s">
        <v>19</v>
      </c>
      <c r="G4" t="s">
        <v>20</v>
      </c>
      <c r="H4" s="2">
        <v>44800.69</v>
      </c>
      <c r="I4" t="s">
        <v>21</v>
      </c>
      <c r="K4" t="s">
        <v>22</v>
      </c>
    </row>
    <row r="5" spans="1:13" ht="30" customHeight="1" x14ac:dyDescent="0.25">
      <c r="A5" t="s">
        <v>59</v>
      </c>
      <c r="B5" t="s">
        <v>23</v>
      </c>
      <c r="C5" t="s">
        <v>24</v>
      </c>
      <c r="D5" t="s">
        <v>25</v>
      </c>
      <c r="F5" t="s">
        <v>26</v>
      </c>
      <c r="G5" t="s">
        <v>20</v>
      </c>
      <c r="H5" s="2">
        <v>45979.93</v>
      </c>
      <c r="K5" t="s">
        <v>27</v>
      </c>
    </row>
    <row r="6" spans="1:13" ht="30" customHeight="1" x14ac:dyDescent="0.25">
      <c r="A6" t="s">
        <v>60</v>
      </c>
      <c r="B6" t="s">
        <v>16</v>
      </c>
      <c r="C6" t="s">
        <v>24</v>
      </c>
      <c r="D6" t="s">
        <v>28</v>
      </c>
      <c r="F6" t="s">
        <v>29</v>
      </c>
      <c r="G6" t="s">
        <v>20</v>
      </c>
      <c r="H6" s="2">
        <v>29877.75</v>
      </c>
      <c r="I6" t="s">
        <v>30</v>
      </c>
      <c r="K6" t="s">
        <v>31</v>
      </c>
    </row>
    <row r="7" spans="1:13" ht="30" customHeight="1" x14ac:dyDescent="0.25">
      <c r="A7" t="s">
        <v>61</v>
      </c>
      <c r="B7" t="s">
        <v>23</v>
      </c>
      <c r="C7" t="s">
        <v>24</v>
      </c>
      <c r="D7" t="s">
        <v>32</v>
      </c>
      <c r="F7" t="s">
        <v>33</v>
      </c>
      <c r="G7" t="s">
        <v>20</v>
      </c>
      <c r="H7" s="2">
        <v>52371.3</v>
      </c>
      <c r="K7" t="s">
        <v>34</v>
      </c>
    </row>
    <row r="8" spans="1:13" ht="30" customHeight="1" x14ac:dyDescent="0.25">
      <c r="A8" t="s">
        <v>35</v>
      </c>
      <c r="B8" t="s">
        <v>23</v>
      </c>
      <c r="C8" t="s">
        <v>17</v>
      </c>
      <c r="D8" t="s">
        <v>36</v>
      </c>
      <c r="F8" t="s">
        <v>37</v>
      </c>
      <c r="G8" t="s">
        <v>20</v>
      </c>
      <c r="H8" s="2">
        <v>11927.63</v>
      </c>
      <c r="K8" t="s">
        <v>38</v>
      </c>
    </row>
    <row r="9" spans="1:13" ht="30" customHeight="1" x14ac:dyDescent="0.25">
      <c r="A9" t="s">
        <v>39</v>
      </c>
      <c r="B9" t="s">
        <v>23</v>
      </c>
      <c r="C9" t="s">
        <v>17</v>
      </c>
      <c r="D9" t="s">
        <v>40</v>
      </c>
      <c r="F9" t="s">
        <v>37</v>
      </c>
      <c r="G9" t="s">
        <v>20</v>
      </c>
      <c r="H9" s="2">
        <v>18277.5</v>
      </c>
      <c r="I9" t="s">
        <v>41</v>
      </c>
      <c r="K9" t="s">
        <v>42</v>
      </c>
    </row>
    <row r="10" spans="1:13" ht="30" customHeight="1" x14ac:dyDescent="0.25">
      <c r="A10" t="s">
        <v>62</v>
      </c>
      <c r="B10" t="s">
        <v>16</v>
      </c>
      <c r="C10" t="s">
        <v>24</v>
      </c>
      <c r="D10" t="s">
        <v>43</v>
      </c>
      <c r="F10" t="s">
        <v>44</v>
      </c>
      <c r="G10" t="s">
        <v>45</v>
      </c>
      <c r="H10" s="2">
        <v>48983.83</v>
      </c>
      <c r="K10" t="s">
        <v>46</v>
      </c>
    </row>
    <row r="11" spans="1:13" x14ac:dyDescent="0.25">
      <c r="A11" s="1"/>
      <c r="B11" s="1"/>
      <c r="C11" s="1"/>
      <c r="D11" s="1" t="s">
        <v>47</v>
      </c>
      <c r="E11" s="1"/>
      <c r="F11" s="1"/>
      <c r="G11" s="1"/>
      <c r="H11" s="3">
        <f>SUM(H4:H10)</f>
        <v>252218.63</v>
      </c>
      <c r="I11" s="1"/>
      <c r="J11" s="1"/>
      <c r="K11" s="1"/>
      <c r="L11" s="1"/>
      <c r="M11" s="1"/>
    </row>
  </sheetData>
  <mergeCells count="2">
    <mergeCell ref="A2:F2"/>
    <mergeCell ref="G2:M2"/>
  </mergeCells>
  <pageMargins left="0.7" right="0.7" top="0.75" bottom="0.75" header="0.3" footer="0.3"/>
  <pageSetup paperSize="5" scale="9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E6CB-3E98-4A6E-A374-27B83C592D92}">
  <sheetPr>
    <pageSetUpPr fitToPage="1"/>
  </sheetPr>
  <dimension ref="A1:H17"/>
  <sheetViews>
    <sheetView topLeftCell="A7" workbookViewId="0">
      <selection activeCell="B21" sqref="B21"/>
    </sheetView>
  </sheetViews>
  <sheetFormatPr defaultRowHeight="15.75" x14ac:dyDescent="0.25"/>
  <cols>
    <col min="1" max="1" width="25.5703125" style="9" customWidth="1"/>
    <col min="2" max="2" width="12.7109375" style="9" customWidth="1"/>
    <col min="3" max="3" width="15.28515625" style="9" customWidth="1"/>
    <col min="4" max="4" width="15.7109375" style="9" customWidth="1"/>
    <col min="5" max="5" width="14.28515625" style="9" customWidth="1"/>
    <col min="6" max="7" width="13" style="9" customWidth="1"/>
    <col min="8" max="8" width="15.85546875" style="9" customWidth="1"/>
    <col min="9" max="16384" width="9.140625" style="9"/>
  </cols>
  <sheetData>
    <row r="1" spans="1:8" x14ac:dyDescent="0.25">
      <c r="E1" s="10"/>
      <c r="H1" s="10">
        <v>45666.999988425923</v>
      </c>
    </row>
    <row r="2" spans="1:8" x14ac:dyDescent="0.25">
      <c r="A2" s="11" t="s">
        <v>0</v>
      </c>
      <c r="B2" s="11"/>
      <c r="C2" s="12"/>
      <c r="D2" s="12"/>
      <c r="E2" s="13" t="s">
        <v>48</v>
      </c>
      <c r="F2" s="12"/>
      <c r="G2" s="12"/>
      <c r="H2" s="12"/>
    </row>
    <row r="3" spans="1:8" x14ac:dyDescent="0.25">
      <c r="A3" s="9" t="s">
        <v>7</v>
      </c>
      <c r="B3" s="9" t="s">
        <v>56</v>
      </c>
      <c r="C3" s="9" t="s">
        <v>8</v>
      </c>
      <c r="D3" s="9" t="s">
        <v>49</v>
      </c>
      <c r="E3" s="9" t="s">
        <v>50</v>
      </c>
      <c r="F3" s="9" t="s">
        <v>51</v>
      </c>
      <c r="G3" s="9" t="s">
        <v>55</v>
      </c>
      <c r="H3" s="9" t="s">
        <v>52</v>
      </c>
    </row>
    <row r="4" spans="1:8" ht="30" customHeight="1" x14ac:dyDescent="0.25">
      <c r="A4" s="9" t="s">
        <v>57</v>
      </c>
      <c r="C4" s="9" t="s">
        <v>20</v>
      </c>
      <c r="D4" s="14">
        <v>700</v>
      </c>
      <c r="E4" s="14">
        <v>0</v>
      </c>
      <c r="F4" s="15">
        <v>44725.69</v>
      </c>
      <c r="G4" s="14"/>
      <c r="H4" s="14">
        <v>44800.69</v>
      </c>
    </row>
    <row r="5" spans="1:8" ht="30" customHeight="1" x14ac:dyDescent="0.25">
      <c r="D5" s="14"/>
      <c r="E5" s="14"/>
      <c r="F5" s="14"/>
      <c r="G5" s="14"/>
      <c r="H5" s="14"/>
    </row>
    <row r="6" spans="1:8" ht="30" customHeight="1" x14ac:dyDescent="0.25">
      <c r="A6" s="9" t="s">
        <v>37</v>
      </c>
      <c r="C6" s="9" t="s">
        <v>20</v>
      </c>
      <c r="D6" s="14">
        <v>200</v>
      </c>
      <c r="E6" s="14">
        <v>0</v>
      </c>
      <c r="F6" s="14">
        <v>11852.63</v>
      </c>
      <c r="G6" s="14"/>
      <c r="H6" s="14">
        <v>11927.63</v>
      </c>
    </row>
    <row r="7" spans="1:8" ht="30" customHeight="1" x14ac:dyDescent="0.25">
      <c r="A7" s="9" t="s">
        <v>37</v>
      </c>
      <c r="C7" s="9" t="s">
        <v>20</v>
      </c>
      <c r="D7" s="14">
        <v>350</v>
      </c>
      <c r="E7" s="14">
        <v>0</v>
      </c>
      <c r="F7" s="14">
        <v>18202.5</v>
      </c>
      <c r="G7" s="15">
        <f>SUM(F6:F7)</f>
        <v>30055.129999999997</v>
      </c>
      <c r="H7" s="14">
        <v>18277.5</v>
      </c>
    </row>
    <row r="8" spans="1:8" ht="30" customHeight="1" x14ac:dyDescent="0.25">
      <c r="D8" s="14"/>
      <c r="E8" s="14"/>
      <c r="F8" s="14"/>
      <c r="G8" s="14"/>
      <c r="H8" s="14"/>
    </row>
    <row r="9" spans="1:8" ht="30" customHeight="1" x14ac:dyDescent="0.25">
      <c r="A9" s="9" t="s">
        <v>29</v>
      </c>
      <c r="C9" s="9" t="s">
        <v>20</v>
      </c>
      <c r="D9" s="14">
        <v>500</v>
      </c>
      <c r="E9" s="14">
        <v>0</v>
      </c>
      <c r="F9" s="15">
        <v>29802.75</v>
      </c>
      <c r="G9" s="14"/>
      <c r="H9" s="14">
        <v>29877.75</v>
      </c>
    </row>
    <row r="10" spans="1:8" ht="30" customHeight="1" x14ac:dyDescent="0.25">
      <c r="D10" s="14"/>
      <c r="E10" s="14"/>
      <c r="F10" s="15"/>
      <c r="G10" s="14"/>
      <c r="H10" s="14"/>
    </row>
    <row r="11" spans="1:8" ht="30" customHeight="1" x14ac:dyDescent="0.25">
      <c r="A11" s="9" t="s">
        <v>44</v>
      </c>
      <c r="C11" s="9" t="s">
        <v>45</v>
      </c>
      <c r="D11" s="14">
        <v>800</v>
      </c>
      <c r="E11" s="14">
        <v>0</v>
      </c>
      <c r="F11" s="15">
        <v>48908.83</v>
      </c>
      <c r="G11" s="14"/>
      <c r="H11" s="14">
        <v>48983.83</v>
      </c>
    </row>
    <row r="12" spans="1:8" ht="30" customHeight="1" x14ac:dyDescent="0.25">
      <c r="D12" s="14"/>
      <c r="E12" s="14"/>
      <c r="F12" s="15"/>
      <c r="G12" s="14"/>
      <c r="H12" s="14"/>
    </row>
    <row r="13" spans="1:8" ht="30" customHeight="1" x14ac:dyDescent="0.25">
      <c r="A13" s="9" t="s">
        <v>26</v>
      </c>
      <c r="C13" s="9" t="s">
        <v>20</v>
      </c>
      <c r="D13" s="14">
        <v>800</v>
      </c>
      <c r="E13" s="14">
        <v>0</v>
      </c>
      <c r="F13" s="15">
        <v>45904.93</v>
      </c>
      <c r="G13" s="14"/>
      <c r="H13" s="14">
        <v>45979.93</v>
      </c>
    </row>
    <row r="14" spans="1:8" ht="30" customHeight="1" x14ac:dyDescent="0.25">
      <c r="D14" s="14"/>
      <c r="E14" s="14"/>
      <c r="F14" s="15"/>
      <c r="G14" s="14"/>
      <c r="H14" s="14"/>
    </row>
    <row r="15" spans="1:8" ht="30" customHeight="1" x14ac:dyDescent="0.25">
      <c r="A15" s="9" t="s">
        <v>33</v>
      </c>
      <c r="B15" s="9" t="s">
        <v>58</v>
      </c>
      <c r="C15" s="9" t="s">
        <v>20</v>
      </c>
      <c r="D15" s="14">
        <v>1000</v>
      </c>
      <c r="E15" s="14">
        <v>0</v>
      </c>
      <c r="F15" s="15">
        <v>52296.3</v>
      </c>
      <c r="G15" s="14"/>
      <c r="H15" s="14">
        <v>52371.3</v>
      </c>
    </row>
    <row r="16" spans="1:8" ht="21" customHeight="1" x14ac:dyDescent="0.25">
      <c r="D16" s="14"/>
      <c r="E16" s="14"/>
      <c r="F16" s="14"/>
      <c r="G16" s="14"/>
      <c r="H16" s="14"/>
    </row>
    <row r="17" spans="1:8" x14ac:dyDescent="0.25">
      <c r="A17" s="16"/>
      <c r="B17" s="16"/>
      <c r="C17" s="16"/>
      <c r="D17" s="17">
        <f>SUM(D4:D15)</f>
        <v>4350</v>
      </c>
      <c r="E17" s="17">
        <f>SUM(E4:E15)</f>
        <v>0</v>
      </c>
      <c r="F17" s="17">
        <f>SUM(F4:F15)</f>
        <v>251693.63</v>
      </c>
      <c r="G17" s="17"/>
      <c r="H17" s="17">
        <f>SUM(H4:H15)</f>
        <v>252218.63</v>
      </c>
    </row>
  </sheetData>
  <mergeCells count="2">
    <mergeCell ref="A2:D2"/>
    <mergeCell ref="E2:H2"/>
  </mergeCells>
  <pageMargins left="0.7" right="0" top="0.75" bottom="0.75" header="0.3" footer="0.3"/>
  <pageSetup scale="8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091A-1C23-4737-B43D-70FF50C6D68C}">
  <sheetPr>
    <pageSetUpPr fitToPage="1"/>
  </sheetPr>
  <dimension ref="A1:F20"/>
  <sheetViews>
    <sheetView workbookViewId="0">
      <selection activeCell="G13" sqref="G13"/>
    </sheetView>
  </sheetViews>
  <sheetFormatPr defaultRowHeight="15" x14ac:dyDescent="0.25"/>
  <cols>
    <col min="1" max="1" width="13.5703125" customWidth="1"/>
    <col min="3" max="3" width="16.85546875" customWidth="1"/>
    <col min="5" max="5" width="16.85546875" customWidth="1"/>
  </cols>
  <sheetData>
    <row r="1" spans="1:6" ht="20.100000000000001" customHeight="1" x14ac:dyDescent="0.25">
      <c r="A1" t="s">
        <v>66</v>
      </c>
      <c r="D1" s="4"/>
      <c r="E1" s="8">
        <v>45666</v>
      </c>
      <c r="F1" s="8"/>
    </row>
    <row r="2" spans="1:6" ht="20.100000000000001" customHeight="1" x14ac:dyDescent="0.25">
      <c r="A2" s="5" t="s">
        <v>0</v>
      </c>
      <c r="B2" s="6"/>
      <c r="C2" s="6"/>
      <c r="D2" s="7" t="s">
        <v>53</v>
      </c>
      <c r="E2" s="6"/>
      <c r="F2" s="6"/>
    </row>
    <row r="3" spans="1:6" ht="27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7" customHeight="1" x14ac:dyDescent="0.25">
      <c r="A4" t="s">
        <v>15</v>
      </c>
      <c r="B4" t="s">
        <v>17</v>
      </c>
      <c r="C4" t="s">
        <v>18</v>
      </c>
      <c r="E4" t="s">
        <v>19</v>
      </c>
    </row>
    <row r="5" spans="1:6" ht="27" customHeight="1" x14ac:dyDescent="0.25">
      <c r="A5" t="s">
        <v>35</v>
      </c>
      <c r="B5" t="s">
        <v>17</v>
      </c>
      <c r="C5" t="s">
        <v>36</v>
      </c>
      <c r="E5" t="s">
        <v>37</v>
      </c>
    </row>
    <row r="6" spans="1:6" ht="27" customHeight="1" x14ac:dyDescent="0.25">
      <c r="A6" t="s">
        <v>39</v>
      </c>
      <c r="B6" t="s">
        <v>17</v>
      </c>
      <c r="C6" t="s">
        <v>40</v>
      </c>
      <c r="E6" t="s">
        <v>37</v>
      </c>
    </row>
    <row r="7" spans="1:6" ht="27" customHeight="1" x14ac:dyDescent="0.25">
      <c r="A7" s="1"/>
      <c r="B7" s="1"/>
      <c r="C7" s="1" t="s">
        <v>54</v>
      </c>
      <c r="D7" s="1"/>
      <c r="E7" s="1"/>
      <c r="F7" s="1"/>
    </row>
    <row r="12" spans="1:6" x14ac:dyDescent="0.25">
      <c r="A12" t="s">
        <v>63</v>
      </c>
      <c r="B12" s="19"/>
      <c r="C12" s="19"/>
      <c r="D12" s="19"/>
    </row>
    <row r="16" spans="1:6" x14ac:dyDescent="0.25">
      <c r="A16" t="s">
        <v>64</v>
      </c>
      <c r="B16" s="19"/>
      <c r="C16" s="19"/>
      <c r="D16" s="19"/>
    </row>
    <row r="20" spans="1:3" x14ac:dyDescent="0.25">
      <c r="A20" t="s">
        <v>65</v>
      </c>
      <c r="B20" s="19"/>
      <c r="C20" s="19"/>
    </row>
  </sheetData>
  <mergeCells count="3">
    <mergeCell ref="A2:C2"/>
    <mergeCell ref="D2:F2"/>
    <mergeCell ref="E1:F1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2025-01-09T18:57:27Z</cp:lastPrinted>
  <dcterms:created xsi:type="dcterms:W3CDTF">2025-01-09T18:32:00Z</dcterms:created>
  <dcterms:modified xsi:type="dcterms:W3CDTF">2025-01-09T19:11:12Z</dcterms:modified>
</cp:coreProperties>
</file>