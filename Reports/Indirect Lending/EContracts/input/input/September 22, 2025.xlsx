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D8978734-D441-44AD-B158-E93C925A81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2" l="1"/>
  <c r="F33" i="1"/>
  <c r="F30" i="1"/>
  <c r="F5" i="1"/>
  <c r="H40" i="1"/>
  <c r="E40" i="1"/>
  <c r="D40" i="1"/>
  <c r="C40" i="1"/>
</calcChain>
</file>

<file path=xl/sharedStrings.xml><?xml version="1.0" encoding="utf-8"?>
<sst xmlns="http://schemas.openxmlformats.org/spreadsheetml/2006/main" count="257" uniqueCount="133">
  <si>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</si>
  <si>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</si>
  <si>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</si>
  <si>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</si>
  <si>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</si>
  <si>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</si>
  <si>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</si>
  <si>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</si>
  <si>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</si>
  <si>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</si>
  <si>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</si>
  <si>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Marlene Braganca</t>
  </si>
  <si>
    <t>Neli Oliveira</t>
  </si>
  <si>
    <t>Alden Mazda</t>
  </si>
  <si>
    <t>Anchor Nissan</t>
  </si>
  <si>
    <t>Rachel Gorham</t>
  </si>
  <si>
    <t>Bourne Enterprises Inc</t>
  </si>
  <si>
    <t>Colonial South Chevrolet</t>
  </si>
  <si>
    <t>Flood Mazda</t>
  </si>
  <si>
    <t>Grieco Enterprises, LLC d/b/a</t>
  </si>
  <si>
    <t>Grieco Toyota</t>
  </si>
  <si>
    <t>Langway Toyota of Newport</t>
  </si>
  <si>
    <t>Mathieu Ford Sales, Inc</t>
  </si>
  <si>
    <t>Metro Honda</t>
  </si>
  <si>
    <t>Patriot Auto Group Inc d/b/a</t>
  </si>
  <si>
    <t>Planet Automotive Sales LLC</t>
  </si>
  <si>
    <t>RAH FALL RIVER VW, LLC</t>
  </si>
  <si>
    <t>Richard Lundgren, Inc. d/b/a</t>
  </si>
  <si>
    <t>Salvadore Chrysler</t>
  </si>
  <si>
    <t>T F Murphy Enterprises Inc</t>
  </si>
  <si>
    <t>Column1</t>
  </si>
  <si>
    <t>Column2</t>
  </si>
  <si>
    <t># 20</t>
  </si>
  <si>
    <t>MENDOS</t>
  </si>
  <si>
    <t>JGARCIA0918@GMAIL.COM</t>
  </si>
  <si>
    <t>GARCIA, JOAO MANUEL</t>
  </si>
  <si>
    <t>E Contract</t>
  </si>
  <si>
    <t>DealerTrack</t>
  </si>
  <si>
    <t>151227272E</t>
  </si>
  <si>
    <t>SANTOS</t>
  </si>
  <si>
    <t>RAMIREZ</t>
  </si>
  <si>
    <t>JOSHUA197630@YAHOO.COM</t>
  </si>
  <si>
    <t>KEVINDH546@ICLOUD.COM</t>
  </si>
  <si>
    <t>HERRERA, JOSUE</t>
  </si>
  <si>
    <t>HERRERA, KEVIN</t>
  </si>
  <si>
    <t>151227264E</t>
  </si>
  <si>
    <t>STOKER</t>
  </si>
  <si>
    <t>MCPECK, KELLY</t>
  </si>
  <si>
    <t>151227248E</t>
  </si>
  <si>
    <t>Kemp</t>
  </si>
  <si>
    <t>rkfrankel@comcast.net</t>
  </si>
  <si>
    <t>FRANKEL, ROBERT</t>
  </si>
  <si>
    <t>Route One</t>
  </si>
  <si>
    <t>151227222E</t>
  </si>
  <si>
    <t>CORRIVEAU</t>
  </si>
  <si>
    <t>KLOSEPINN@COX.NET</t>
  </si>
  <si>
    <t>OGDEN, KYLE</t>
  </si>
  <si>
    <t>151227206E</t>
  </si>
  <si>
    <t>DAVOL</t>
  </si>
  <si>
    <t>MORRIS, FREDERICK</t>
  </si>
  <si>
    <t>151227199E</t>
  </si>
  <si>
    <t>SIMAS</t>
  </si>
  <si>
    <t>BILLIEB1776@COMCAST.NET</t>
  </si>
  <si>
    <t>BERGANTIM, SUSANA</t>
  </si>
  <si>
    <t>151227181E</t>
  </si>
  <si>
    <t>FOWLER</t>
  </si>
  <si>
    <t>RUPP, CLIFTON</t>
  </si>
  <si>
    <t>Paper</t>
  </si>
  <si>
    <t>151227173</t>
  </si>
  <si>
    <t>Rezendes</t>
  </si>
  <si>
    <t>Souza</t>
  </si>
  <si>
    <t>SLR1421@COMCAST.NET</t>
  </si>
  <si>
    <t>NONE@GMAIL.COM</t>
  </si>
  <si>
    <t>ROCHA, SHARON</t>
  </si>
  <si>
    <t>ROCHA, PAUL</t>
  </si>
  <si>
    <t>151227165E</t>
  </si>
  <si>
    <t>LYDON</t>
  </si>
  <si>
    <t>JAMIELIZ30@HOTMAIL.COM</t>
  </si>
  <si>
    <t>BELANGER, JAMIE</t>
  </si>
  <si>
    <t>CHRISTOPHER</t>
  </si>
  <si>
    <t>ECLINTON720@YAHOO.COM</t>
  </si>
  <si>
    <t>OBARA, EILEEN</t>
  </si>
  <si>
    <t>151227149</t>
  </si>
  <si>
    <t>BOZIGIAN</t>
  </si>
  <si>
    <t>JJGUTHLEIN@GMAIL.COM</t>
  </si>
  <si>
    <t>GUTHLEIN, JOSHUA</t>
  </si>
  <si>
    <t>151227107E</t>
  </si>
  <si>
    <t>KELLY</t>
  </si>
  <si>
    <t>DONOHUE, RONALD</t>
  </si>
  <si>
    <t>151227082E</t>
  </si>
  <si>
    <t>Richmond</t>
  </si>
  <si>
    <t>lisasansoucy@hotmail.com</t>
  </si>
  <si>
    <t>SULLIVAN, LISA</t>
  </si>
  <si>
    <t>151227032E</t>
  </si>
  <si>
    <t>COLLINS</t>
  </si>
  <si>
    <t>JTOHARA@COX.NET</t>
  </si>
  <si>
    <t>OHARA, JOHN</t>
  </si>
  <si>
    <t>151227016</t>
  </si>
  <si>
    <t>Raux</t>
  </si>
  <si>
    <t>CRANE.E7@GMAIL.COM</t>
  </si>
  <si>
    <t>GUY, CHRISTOPHER</t>
  </si>
  <si>
    <t>151227008E</t>
  </si>
  <si>
    <t>Adams</t>
  </si>
  <si>
    <t>BROWN, JORDON</t>
  </si>
  <si>
    <t>151226985E</t>
  </si>
  <si>
    <t>Mahar</t>
  </si>
  <si>
    <t>r.patrick.potter@gmail.com</t>
  </si>
  <si>
    <t>POTTER, RYAN</t>
  </si>
  <si>
    <t>151226969E</t>
  </si>
  <si>
    <t>Desisto</t>
  </si>
  <si>
    <t>read, michael</t>
  </si>
  <si>
    <t>151226927E</t>
  </si>
  <si>
    <t>Avery</t>
  </si>
  <si>
    <t>kensmithplumbing@gmail.com</t>
  </si>
  <si>
    <t>Smith, Kenneth</t>
  </si>
  <si>
    <t>151226646E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</si>
  <si>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</si>
  <si>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</si>
  <si>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</si>
  <si>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</si>
  <si>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</si>
  <si>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</si>
  <si>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</si>
  <si>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</si>
  <si>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</si>
  <si>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</si>
  <si>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</si>
  <si>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Signed_____________________________________________________________________</t>
  </si>
  <si>
    <t>Received By_____________________________________________________________________</t>
  </si>
  <si>
    <t>Delivered BY_____________________________________________________________________</t>
  </si>
  <si>
    <t># 4</t>
  </si>
  <si>
    <t>151227157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</si>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</sst>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2" fillId="0" borderId="0" xfId="1" applyFill="1" applyAlignment="1">
      <alignment horizontal="left"/>
    </xf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4B865868-20D0-4F5A-AA98-FCB9886FCF96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40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F1C98CBA-801B-4CBB-8701-DCA70B6BF99F}" name="Column1" dataDxfId="23"/>
    <tableColumn id="8" xr3:uid="{EB6C2062-E464-4DE2-A0B8-78DE8E9B6C1A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B3F8E7-6470-4803-B893-A262F7530367}" name="Table_13" displayName="Table_13" ref="A3:L24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A8BAE3-D1A0-410B-A3CC-7A7891F9DB8C}" name="Table_14" displayName="Table_14" ref="A3:E8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workbookViewId="0">
      <pane ySplit="3" topLeftCell="A4" activePane="bottomLeft" state="frozen"/>
      <selection pane="bottomLeft" activeCell="E39" sqref="E39"/>
    </sheetView>
  </sheetViews>
  <sheetFormatPr defaultRowHeight="15" x14ac:dyDescent="0.25"/>
  <cols>
    <col min="1" max="1" width="27.7109375" bestFit="1" customWidth="1"/>
    <col min="2" max="2" width="17.7109375" bestFit="1" customWidth="1"/>
    <col min="3" max="3" width="11.140625" bestFit="1" customWidth="1"/>
    <col min="4" max="4" width="19.855468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45922</v>
      </c>
      <c r="E1" t="s">
        <v>2</v>
      </c>
      <c r="H1" s="4">
        <v>45922.999988425923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30</v>
      </c>
      <c r="G3" t="s">
        <v>31</v>
      </c>
      <c r="H3" t="s">
        <v>9</v>
      </c>
    </row>
    <row r="4" spans="1:8" x14ac:dyDescent="0.25">
      <c r="A4" t="s">
        <v>10</v>
      </c>
      <c r="B4" t="s">
        <v>11</v>
      </c>
      <c r="C4" s="2">
        <v>850</v>
      </c>
      <c r="D4" s="2">
        <v>0</v>
      </c>
      <c r="E4" s="2">
        <v>31583.93</v>
      </c>
      <c r="F4" s="2"/>
      <c r="G4" s="2"/>
      <c r="H4" s="2">
        <v>31658.93</v>
      </c>
    </row>
    <row r="5" spans="1:8" x14ac:dyDescent="0.25">
      <c r="A5" t="s">
        <v>10</v>
      </c>
      <c r="B5" t="s">
        <v>12</v>
      </c>
      <c r="C5" s="2">
        <v>650</v>
      </c>
      <c r="D5" s="2">
        <v>0</v>
      </c>
      <c r="E5" s="2">
        <v>24118.73</v>
      </c>
      <c r="F5" s="2">
        <f>SUM(E4:E5)</f>
        <v>55702.66</v>
      </c>
      <c r="G5" s="2"/>
      <c r="H5" s="2">
        <v>24193.73</v>
      </c>
    </row>
    <row r="6" spans="1:8" x14ac:dyDescent="0.25">
      <c r="C6" s="2"/>
      <c r="D6" s="2"/>
      <c r="E6" s="2"/>
      <c r="F6" s="2"/>
      <c r="G6" s="2"/>
      <c r="H6" s="2"/>
    </row>
    <row r="7" spans="1:8" x14ac:dyDescent="0.25">
      <c r="A7" t="s">
        <v>13</v>
      </c>
      <c r="B7" t="s">
        <v>11</v>
      </c>
      <c r="C7" s="2">
        <v>500</v>
      </c>
      <c r="D7" s="2">
        <v>0</v>
      </c>
      <c r="E7" s="2">
        <v>16896.75</v>
      </c>
      <c r="F7" s="2"/>
      <c r="G7" s="2"/>
      <c r="H7" s="2">
        <v>16971.75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14</v>
      </c>
      <c r="B9" t="s">
        <v>15</v>
      </c>
      <c r="C9" s="2">
        <v>300</v>
      </c>
      <c r="D9" s="2">
        <v>0</v>
      </c>
      <c r="E9" s="2">
        <v>11241.37</v>
      </c>
      <c r="F9" s="2"/>
      <c r="G9" s="2"/>
      <c r="H9" s="2">
        <v>11316.37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16</v>
      </c>
      <c r="B11" t="s">
        <v>11</v>
      </c>
      <c r="C11" s="2">
        <v>650</v>
      </c>
      <c r="D11" s="2">
        <v>0</v>
      </c>
      <c r="E11" s="2">
        <v>24739.68</v>
      </c>
      <c r="F11" s="2"/>
      <c r="G11" s="2"/>
      <c r="H11" s="2">
        <v>24814.68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17</v>
      </c>
      <c r="B13" t="s">
        <v>11</v>
      </c>
      <c r="C13" s="2">
        <v>750</v>
      </c>
      <c r="D13" s="2">
        <v>0</v>
      </c>
      <c r="E13" s="2">
        <v>28181.75</v>
      </c>
      <c r="F13" s="2"/>
      <c r="G13" s="2"/>
      <c r="H13" s="2">
        <v>28256.75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18</v>
      </c>
      <c r="B15" t="s">
        <v>15</v>
      </c>
      <c r="C15" s="2">
        <v>500</v>
      </c>
      <c r="D15" s="2">
        <v>0</v>
      </c>
      <c r="E15" s="2">
        <v>18926.330000000002</v>
      </c>
      <c r="F15" s="2"/>
      <c r="G15" s="2"/>
      <c r="H15" s="2">
        <v>19001.330000000002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19</v>
      </c>
      <c r="B17" t="s">
        <v>15</v>
      </c>
      <c r="C17" s="2">
        <v>950</v>
      </c>
      <c r="D17" s="2">
        <v>0</v>
      </c>
      <c r="E17" s="2">
        <v>37306.11</v>
      </c>
      <c r="F17" s="2"/>
      <c r="G17" s="2"/>
      <c r="H17" s="2">
        <v>37381.11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20</v>
      </c>
      <c r="B19" t="s">
        <v>11</v>
      </c>
      <c r="C19" s="2">
        <v>950</v>
      </c>
      <c r="D19" s="2">
        <v>0</v>
      </c>
      <c r="E19" s="2">
        <v>37643.5</v>
      </c>
      <c r="F19" s="2"/>
      <c r="G19" s="2"/>
      <c r="H19" s="2">
        <v>37718.5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21</v>
      </c>
      <c r="B21" t="s">
        <v>15</v>
      </c>
      <c r="C21" s="2">
        <v>850</v>
      </c>
      <c r="D21" s="2">
        <v>0</v>
      </c>
      <c r="E21" s="2">
        <v>30337.87</v>
      </c>
      <c r="F21" s="2"/>
      <c r="G21" s="2"/>
      <c r="H21" s="2">
        <v>30412.87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22</v>
      </c>
      <c r="B23" t="s">
        <v>11</v>
      </c>
      <c r="C23" s="2">
        <v>950</v>
      </c>
      <c r="D23" s="2">
        <v>0</v>
      </c>
      <c r="E23" s="2">
        <v>35282.15</v>
      </c>
      <c r="F23" s="2"/>
      <c r="G23" s="2"/>
      <c r="H23" s="2">
        <v>35357.15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23</v>
      </c>
      <c r="B25" t="s">
        <v>11</v>
      </c>
      <c r="C25" s="2">
        <v>950</v>
      </c>
      <c r="D25" s="2">
        <v>0</v>
      </c>
      <c r="E25" s="2">
        <v>39051.94</v>
      </c>
      <c r="F25" s="2"/>
      <c r="G25" s="2"/>
      <c r="H25" s="2">
        <v>39126.94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24</v>
      </c>
      <c r="B27" t="s">
        <v>11</v>
      </c>
      <c r="C27" s="2">
        <v>150</v>
      </c>
      <c r="D27" s="2">
        <v>0</v>
      </c>
      <c r="E27" s="2">
        <v>9112.06</v>
      </c>
      <c r="F27" s="2"/>
      <c r="G27" s="2"/>
      <c r="H27" s="2">
        <v>9187.06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25</v>
      </c>
      <c r="B29" t="s">
        <v>12</v>
      </c>
      <c r="C29" s="2">
        <v>750</v>
      </c>
      <c r="D29" s="2">
        <v>0</v>
      </c>
      <c r="E29" s="2">
        <v>27067.19</v>
      </c>
      <c r="F29" s="2"/>
      <c r="G29" s="2"/>
      <c r="H29" s="2">
        <v>27142.19</v>
      </c>
    </row>
    <row r="30" spans="1:8" x14ac:dyDescent="0.25">
      <c r="A30" t="s">
        <v>25</v>
      </c>
      <c r="B30" t="s">
        <v>12</v>
      </c>
      <c r="C30" s="2">
        <v>1150</v>
      </c>
      <c r="D30" s="2">
        <v>0</v>
      </c>
      <c r="E30" s="2">
        <v>45069.440000000002</v>
      </c>
      <c r="F30" s="2">
        <f>SUM(E29:E30)</f>
        <v>72136.63</v>
      </c>
      <c r="G30" s="2"/>
      <c r="H30" s="2">
        <v>45144.44</v>
      </c>
    </row>
    <row r="31" spans="1:8" x14ac:dyDescent="0.25">
      <c r="C31" s="2"/>
      <c r="D31" s="2"/>
      <c r="E31" s="2"/>
      <c r="F31" s="2"/>
      <c r="G31" s="2"/>
      <c r="H31" s="2"/>
    </row>
    <row r="32" spans="1:8" x14ac:dyDescent="0.25">
      <c r="A32" t="s">
        <v>26</v>
      </c>
      <c r="B32" t="s">
        <v>15</v>
      </c>
      <c r="C32" s="2">
        <v>1150</v>
      </c>
      <c r="D32" s="2">
        <v>0</v>
      </c>
      <c r="E32" s="2">
        <v>47108.76</v>
      </c>
      <c r="F32" s="2"/>
      <c r="G32" s="2"/>
      <c r="H32" s="2">
        <v>47183.76</v>
      </c>
    </row>
    <row r="33" spans="1:8" x14ac:dyDescent="0.25">
      <c r="A33" t="s">
        <v>26</v>
      </c>
      <c r="B33" t="s">
        <v>15</v>
      </c>
      <c r="C33" s="2">
        <v>950</v>
      </c>
      <c r="D33" s="2">
        <v>0</v>
      </c>
      <c r="E33" s="2">
        <v>37478.400000000001</v>
      </c>
      <c r="F33" s="2">
        <f>SUM(E32:E33)</f>
        <v>84587.16</v>
      </c>
      <c r="G33" s="2"/>
      <c r="H33" s="2">
        <v>37553.4</v>
      </c>
    </row>
    <row r="34" spans="1:8" x14ac:dyDescent="0.25">
      <c r="C34" s="2"/>
      <c r="D34" s="2"/>
      <c r="E34" s="2"/>
      <c r="F34" s="2"/>
      <c r="G34" s="2"/>
      <c r="H34" s="2"/>
    </row>
    <row r="35" spans="1:8" x14ac:dyDescent="0.25">
      <c r="A35" t="s">
        <v>27</v>
      </c>
      <c r="B35" t="s">
        <v>15</v>
      </c>
      <c r="C35" s="2">
        <v>850</v>
      </c>
      <c r="D35" s="2">
        <v>0</v>
      </c>
      <c r="E35" s="2">
        <v>29925.439999999999</v>
      </c>
      <c r="F35" s="2"/>
      <c r="G35" s="2"/>
      <c r="H35" s="2">
        <v>30000.44</v>
      </c>
    </row>
    <row r="36" spans="1:8" x14ac:dyDescent="0.25">
      <c r="C36" s="2"/>
      <c r="D36" s="2"/>
      <c r="E36" s="2"/>
      <c r="F36" s="2"/>
      <c r="G36" s="2"/>
      <c r="H36" s="2"/>
    </row>
    <row r="37" spans="1:8" x14ac:dyDescent="0.25">
      <c r="A37" t="s">
        <v>28</v>
      </c>
      <c r="B37" t="s">
        <v>11</v>
      </c>
      <c r="C37" s="2">
        <v>1050</v>
      </c>
      <c r="D37" s="2">
        <v>0</v>
      </c>
      <c r="E37" s="2">
        <v>41179.29</v>
      </c>
      <c r="F37" s="2"/>
      <c r="G37" s="2"/>
      <c r="H37" s="2">
        <v>41254.29</v>
      </c>
    </row>
    <row r="38" spans="1:8" x14ac:dyDescent="0.25">
      <c r="C38" s="2"/>
      <c r="D38" s="2"/>
      <c r="E38" s="2"/>
      <c r="F38" s="2"/>
      <c r="G38" s="2"/>
      <c r="H38" s="2"/>
    </row>
    <row r="39" spans="1:8" x14ac:dyDescent="0.25">
      <c r="A39" t="s">
        <v>29</v>
      </c>
      <c r="B39" t="s">
        <v>11</v>
      </c>
      <c r="C39" s="2">
        <v>850</v>
      </c>
      <c r="D39" s="2">
        <v>0</v>
      </c>
      <c r="E39" s="2">
        <v>30271.63</v>
      </c>
      <c r="F39" s="2"/>
      <c r="G39" s="2"/>
      <c r="H39" s="2">
        <v>30346.63</v>
      </c>
    </row>
    <row r="40" spans="1:8" x14ac:dyDescent="0.25">
      <c r="A40" s="1"/>
      <c r="B40" s="1"/>
      <c r="C40" s="3">
        <f>SUM(C4:C39)</f>
        <v>15750</v>
      </c>
      <c r="D40" s="3">
        <f>SUM(D4:D39)</f>
        <v>0</v>
      </c>
      <c r="E40" s="3">
        <f>SUM(E4:E39)</f>
        <v>602522.32000000007</v>
      </c>
      <c r="F40" s="3"/>
      <c r="G40" s="3"/>
      <c r="H40" s="3">
        <f>SUM(H4:H39)</f>
        <v>604022.32000000007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CF1A-87D2-4AD0-A09A-0FD40F938346}">
  <sheetPr>
    <pageSetUpPr fitToPage="1"/>
  </sheetPr>
  <dimension ref="A1:M29"/>
  <sheetViews>
    <sheetView workbookViewId="0">
      <pane ySplit="3" topLeftCell="A4" activePane="bottomLeft" state="frozen"/>
      <selection pane="bottomLeft" activeCell="A23" sqref="A4:A23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2.28515625" style="8" bestFit="1" customWidth="1"/>
    <col min="5" max="5" width="18.7109375" style="8" bestFit="1" customWidth="1"/>
    <col min="6" max="6" width="27.7109375" style="8" bestFit="1" customWidth="1"/>
    <col min="7" max="7" width="17.7109375" style="8" bestFit="1" customWidth="1"/>
    <col min="8" max="8" width="17.140625" style="8" bestFit="1" customWidth="1"/>
    <col min="9" max="9" width="29.5703125" style="8" bestFit="1" customWidth="1"/>
    <col min="10" max="10" width="28.5703125" style="8" bestFit="1" customWidth="1"/>
    <col min="11" max="11" width="19.85546875" style="8" bestFit="1" customWidth="1"/>
    <col min="12" max="12" width="12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45922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126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125</v>
      </c>
      <c r="B3" s="9" t="s">
        <v>124</v>
      </c>
      <c r="C3" s="9" t="s">
        <v>123</v>
      </c>
      <c r="D3" s="9" t="s">
        <v>122</v>
      </c>
      <c r="E3" s="9" t="s">
        <v>121</v>
      </c>
      <c r="F3" s="9" t="s">
        <v>4</v>
      </c>
      <c r="G3" s="9" t="s">
        <v>5</v>
      </c>
      <c r="H3" s="9" t="s">
        <v>120</v>
      </c>
      <c r="I3" s="9" t="s">
        <v>119</v>
      </c>
      <c r="J3" s="9" t="s">
        <v>118</v>
      </c>
      <c r="K3" s="9" t="s">
        <v>117</v>
      </c>
      <c r="L3" s="9" t="s">
        <v>116</v>
      </c>
      <c r="M3" s="9"/>
    </row>
    <row r="4" spans="1:13" ht="35.1" customHeight="1" x14ac:dyDescent="0.25">
      <c r="A4" s="9" t="s">
        <v>115</v>
      </c>
      <c r="B4" s="9" t="s">
        <v>52</v>
      </c>
      <c r="C4" s="9" t="s">
        <v>36</v>
      </c>
      <c r="D4" s="9" t="s">
        <v>114</v>
      </c>
      <c r="E4" s="9"/>
      <c r="F4" s="9" t="s">
        <v>28</v>
      </c>
      <c r="G4" s="9" t="s">
        <v>11</v>
      </c>
      <c r="H4" s="14">
        <v>41254.29</v>
      </c>
      <c r="I4" s="9" t="s">
        <v>113</v>
      </c>
      <c r="J4" s="9"/>
      <c r="K4" s="9" t="s">
        <v>112</v>
      </c>
      <c r="L4" s="9"/>
      <c r="M4" s="9"/>
    </row>
    <row r="5" spans="1:13" ht="35.1" customHeight="1" x14ac:dyDescent="0.25">
      <c r="A5" s="9" t="s">
        <v>111</v>
      </c>
      <c r="B5" s="9" t="s">
        <v>52</v>
      </c>
      <c r="C5" s="9" t="s">
        <v>36</v>
      </c>
      <c r="D5" s="9" t="s">
        <v>110</v>
      </c>
      <c r="E5" s="9"/>
      <c r="F5" s="9" t="s">
        <v>10</v>
      </c>
      <c r="G5" s="9" t="s">
        <v>11</v>
      </c>
      <c r="H5" s="14">
        <v>31658.93</v>
      </c>
      <c r="I5" s="9"/>
      <c r="J5" s="9"/>
      <c r="K5" s="9" t="s">
        <v>109</v>
      </c>
      <c r="L5" s="9"/>
      <c r="M5" s="9"/>
    </row>
    <row r="6" spans="1:13" ht="35.1" customHeight="1" x14ac:dyDescent="0.25">
      <c r="A6" s="9" t="s">
        <v>108</v>
      </c>
      <c r="B6" s="9" t="s">
        <v>52</v>
      </c>
      <c r="C6" s="9" t="s">
        <v>36</v>
      </c>
      <c r="D6" s="9" t="s">
        <v>107</v>
      </c>
      <c r="E6" s="9"/>
      <c r="F6" s="9" t="s">
        <v>29</v>
      </c>
      <c r="G6" s="9" t="s">
        <v>11</v>
      </c>
      <c r="H6" s="14">
        <v>30346.63</v>
      </c>
      <c r="I6" s="9" t="s">
        <v>106</v>
      </c>
      <c r="J6" s="9"/>
      <c r="K6" s="9" t="s">
        <v>105</v>
      </c>
      <c r="L6" s="9"/>
      <c r="M6" s="9"/>
    </row>
    <row r="7" spans="1:13" ht="35.1" customHeight="1" x14ac:dyDescent="0.25">
      <c r="A7" s="9" t="s">
        <v>104</v>
      </c>
      <c r="B7" s="9" t="s">
        <v>37</v>
      </c>
      <c r="C7" s="9" t="s">
        <v>36</v>
      </c>
      <c r="D7" s="9" t="s">
        <v>103</v>
      </c>
      <c r="E7" s="9"/>
      <c r="F7" s="9" t="s">
        <v>23</v>
      </c>
      <c r="G7" s="9" t="s">
        <v>11</v>
      </c>
      <c r="H7" s="14">
        <v>39126.94</v>
      </c>
      <c r="I7" s="9"/>
      <c r="J7" s="9"/>
      <c r="K7" s="9" t="s">
        <v>102</v>
      </c>
      <c r="L7" s="9"/>
      <c r="M7" s="9"/>
    </row>
    <row r="8" spans="1:13" ht="35.1" customHeight="1" x14ac:dyDescent="0.25">
      <c r="A8" s="9" t="s">
        <v>101</v>
      </c>
      <c r="B8" s="9" t="s">
        <v>52</v>
      </c>
      <c r="C8" s="9" t="s">
        <v>36</v>
      </c>
      <c r="D8" s="9" t="s">
        <v>100</v>
      </c>
      <c r="E8" s="9"/>
      <c r="F8" s="9" t="s">
        <v>22</v>
      </c>
      <c r="G8" s="9" t="s">
        <v>11</v>
      </c>
      <c r="H8" s="14">
        <v>35357.15</v>
      </c>
      <c r="I8" s="9" t="s">
        <v>99</v>
      </c>
      <c r="J8" s="9"/>
      <c r="K8" s="9" t="s">
        <v>98</v>
      </c>
      <c r="L8" s="9"/>
      <c r="M8" s="9"/>
    </row>
    <row r="9" spans="1:13" ht="35.1" customHeight="1" x14ac:dyDescent="0.25">
      <c r="A9" s="9" t="s">
        <v>97</v>
      </c>
      <c r="B9" s="9" t="s">
        <v>37</v>
      </c>
      <c r="C9" s="9" t="s">
        <v>67</v>
      </c>
      <c r="D9" s="9" t="s">
        <v>96</v>
      </c>
      <c r="E9" s="9"/>
      <c r="F9" s="9" t="s">
        <v>16</v>
      </c>
      <c r="G9" s="9" t="s">
        <v>11</v>
      </c>
      <c r="H9" s="14">
        <v>24814.68</v>
      </c>
      <c r="I9" s="9" t="s">
        <v>95</v>
      </c>
      <c r="J9" s="9"/>
      <c r="K9" s="9" t="s">
        <v>94</v>
      </c>
      <c r="L9" s="9"/>
      <c r="M9" s="9"/>
    </row>
    <row r="10" spans="1:13" ht="35.1" customHeight="1" x14ac:dyDescent="0.25">
      <c r="A10" s="9" t="s">
        <v>93</v>
      </c>
      <c r="B10" s="9" t="s">
        <v>52</v>
      </c>
      <c r="C10" s="9" t="s">
        <v>36</v>
      </c>
      <c r="D10" s="9" t="s">
        <v>92</v>
      </c>
      <c r="E10" s="9"/>
      <c r="F10" s="9" t="s">
        <v>20</v>
      </c>
      <c r="G10" s="9" t="s">
        <v>11</v>
      </c>
      <c r="H10" s="14">
        <v>37718.5</v>
      </c>
      <c r="I10" s="9" t="s">
        <v>91</v>
      </c>
      <c r="J10" s="9"/>
      <c r="K10" s="9" t="s">
        <v>90</v>
      </c>
      <c r="L10" s="9"/>
      <c r="M10" s="9"/>
    </row>
    <row r="11" spans="1:13" ht="35.1" customHeight="1" x14ac:dyDescent="0.25">
      <c r="A11" s="9" t="s">
        <v>89</v>
      </c>
      <c r="B11" s="9" t="s">
        <v>52</v>
      </c>
      <c r="C11" s="9" t="s">
        <v>36</v>
      </c>
      <c r="D11" s="9" t="s">
        <v>88</v>
      </c>
      <c r="E11" s="9"/>
      <c r="F11" s="9" t="s">
        <v>10</v>
      </c>
      <c r="G11" s="9" t="s">
        <v>12</v>
      </c>
      <c r="H11" s="14">
        <v>24193.73</v>
      </c>
      <c r="I11" s="9"/>
      <c r="J11" s="9"/>
      <c r="K11" s="9" t="s">
        <v>87</v>
      </c>
      <c r="L11" s="9"/>
      <c r="M11" s="9"/>
    </row>
    <row r="12" spans="1:13" ht="35.1" customHeight="1" x14ac:dyDescent="0.25">
      <c r="A12" s="9" t="s">
        <v>86</v>
      </c>
      <c r="B12" s="9" t="s">
        <v>37</v>
      </c>
      <c r="C12" s="9" t="s">
        <v>36</v>
      </c>
      <c r="D12" s="9" t="s">
        <v>85</v>
      </c>
      <c r="E12" s="9"/>
      <c r="F12" s="9" t="s">
        <v>26</v>
      </c>
      <c r="G12" s="9" t="s">
        <v>15</v>
      </c>
      <c r="H12" s="14">
        <v>37553.4</v>
      </c>
      <c r="I12" s="9" t="s">
        <v>84</v>
      </c>
      <c r="J12" s="9"/>
      <c r="K12" s="9" t="s">
        <v>83</v>
      </c>
      <c r="L12" s="9"/>
      <c r="M12" s="9"/>
    </row>
    <row r="13" spans="1:13" ht="35.1" customHeight="1" x14ac:dyDescent="0.25">
      <c r="A13" s="9" t="s">
        <v>82</v>
      </c>
      <c r="B13" s="9" t="s">
        <v>37</v>
      </c>
      <c r="C13" s="9" t="s">
        <v>67</v>
      </c>
      <c r="D13" s="9" t="s">
        <v>81</v>
      </c>
      <c r="E13" s="9"/>
      <c r="F13" s="9" t="s">
        <v>25</v>
      </c>
      <c r="G13" s="9" t="s">
        <v>12</v>
      </c>
      <c r="H13" s="14">
        <v>27142.19</v>
      </c>
      <c r="I13" s="9" t="s">
        <v>80</v>
      </c>
      <c r="J13" s="9"/>
      <c r="K13" s="9" t="s">
        <v>79</v>
      </c>
      <c r="L13" s="9"/>
      <c r="M13" s="9"/>
    </row>
    <row r="14" spans="1:13" ht="35.1" customHeight="1" x14ac:dyDescent="0.25">
      <c r="A14" s="15">
        <v>151227157</v>
      </c>
      <c r="B14" s="9" t="s">
        <v>37</v>
      </c>
      <c r="C14" s="9" t="s">
        <v>67</v>
      </c>
      <c r="D14" s="9" t="s">
        <v>78</v>
      </c>
      <c r="E14" s="9"/>
      <c r="F14" s="9" t="s">
        <v>25</v>
      </c>
      <c r="G14" s="9" t="s">
        <v>12</v>
      </c>
      <c r="H14" s="14">
        <v>45144.44</v>
      </c>
      <c r="I14" s="9" t="s">
        <v>77</v>
      </c>
      <c r="J14" s="9"/>
      <c r="K14" s="9" t="s">
        <v>76</v>
      </c>
      <c r="L14" s="9"/>
      <c r="M14" s="9"/>
    </row>
    <row r="15" spans="1:13" ht="35.1" customHeight="1" x14ac:dyDescent="0.25">
      <c r="A15" s="9" t="s">
        <v>75</v>
      </c>
      <c r="B15" s="9" t="s">
        <v>52</v>
      </c>
      <c r="C15" s="9" t="s">
        <v>36</v>
      </c>
      <c r="D15" s="9" t="s">
        <v>74</v>
      </c>
      <c r="E15" s="9" t="s">
        <v>73</v>
      </c>
      <c r="F15" s="9" t="s">
        <v>17</v>
      </c>
      <c r="G15" s="9" t="s">
        <v>11</v>
      </c>
      <c r="H15" s="14">
        <v>28256.75</v>
      </c>
      <c r="I15" s="9" t="s">
        <v>72</v>
      </c>
      <c r="J15" s="9" t="s">
        <v>71</v>
      </c>
      <c r="K15" s="9" t="s">
        <v>70</v>
      </c>
      <c r="L15" s="9" t="s">
        <v>69</v>
      </c>
      <c r="M15" s="9"/>
    </row>
    <row r="16" spans="1:13" ht="35.1" customHeight="1" x14ac:dyDescent="0.25">
      <c r="A16" s="9" t="s">
        <v>68</v>
      </c>
      <c r="B16" s="9" t="s">
        <v>52</v>
      </c>
      <c r="C16" s="9" t="s">
        <v>67</v>
      </c>
      <c r="D16" s="9" t="s">
        <v>66</v>
      </c>
      <c r="E16" s="9"/>
      <c r="F16" s="9" t="s">
        <v>18</v>
      </c>
      <c r="G16" s="9" t="s">
        <v>15</v>
      </c>
      <c r="H16" s="14">
        <v>19001.330000000002</v>
      </c>
      <c r="I16" s="9"/>
      <c r="J16" s="9"/>
      <c r="K16" s="9" t="s">
        <v>65</v>
      </c>
      <c r="L16" s="9"/>
      <c r="M16" s="9"/>
    </row>
    <row r="17" spans="1:13" ht="35.1" customHeight="1" x14ac:dyDescent="0.25">
      <c r="A17" s="9" t="s">
        <v>64</v>
      </c>
      <c r="B17" s="9" t="s">
        <v>52</v>
      </c>
      <c r="C17" s="9" t="s">
        <v>36</v>
      </c>
      <c r="D17" s="9" t="s">
        <v>63</v>
      </c>
      <c r="E17" s="9"/>
      <c r="F17" s="9" t="s">
        <v>13</v>
      </c>
      <c r="G17" s="9" t="s">
        <v>11</v>
      </c>
      <c r="H17" s="14">
        <v>16971.75</v>
      </c>
      <c r="I17" s="9" t="s">
        <v>62</v>
      </c>
      <c r="J17" s="9"/>
      <c r="K17" s="9" t="s">
        <v>61</v>
      </c>
      <c r="L17" s="9"/>
      <c r="M17" s="9"/>
    </row>
    <row r="18" spans="1:13" ht="35.1" customHeight="1" x14ac:dyDescent="0.25">
      <c r="A18" s="9" t="s">
        <v>60</v>
      </c>
      <c r="B18" s="9" t="s">
        <v>52</v>
      </c>
      <c r="C18" s="9" t="s">
        <v>36</v>
      </c>
      <c r="D18" s="9" t="s">
        <v>59</v>
      </c>
      <c r="E18" s="9"/>
      <c r="F18" s="9" t="s">
        <v>21</v>
      </c>
      <c r="G18" s="9" t="s">
        <v>15</v>
      </c>
      <c r="H18" s="14">
        <v>30412.87</v>
      </c>
      <c r="I18" s="9"/>
      <c r="J18" s="9"/>
      <c r="K18" s="9" t="s">
        <v>58</v>
      </c>
      <c r="L18" s="9"/>
      <c r="M18" s="9"/>
    </row>
    <row r="19" spans="1:13" ht="35.1" customHeight="1" x14ac:dyDescent="0.25">
      <c r="A19" s="9" t="s">
        <v>57</v>
      </c>
      <c r="B19" s="9" t="s">
        <v>37</v>
      </c>
      <c r="C19" s="9" t="s">
        <v>36</v>
      </c>
      <c r="D19" s="9" t="s">
        <v>56</v>
      </c>
      <c r="E19" s="9"/>
      <c r="F19" s="9" t="s">
        <v>14</v>
      </c>
      <c r="G19" s="9" t="s">
        <v>15</v>
      </c>
      <c r="H19" s="14">
        <v>11316.37</v>
      </c>
      <c r="I19" s="9" t="s">
        <v>55</v>
      </c>
      <c r="J19" s="9"/>
      <c r="K19" s="9" t="s">
        <v>54</v>
      </c>
      <c r="L19" s="9"/>
      <c r="M19" s="9"/>
    </row>
    <row r="20" spans="1:13" ht="35.1" customHeight="1" x14ac:dyDescent="0.25">
      <c r="A20" s="9" t="s">
        <v>53</v>
      </c>
      <c r="B20" s="9" t="s">
        <v>52</v>
      </c>
      <c r="C20" s="9" t="s">
        <v>36</v>
      </c>
      <c r="D20" s="9" t="s">
        <v>51</v>
      </c>
      <c r="E20" s="9"/>
      <c r="F20" s="9" t="s">
        <v>24</v>
      </c>
      <c r="G20" s="9" t="s">
        <v>11</v>
      </c>
      <c r="H20" s="14">
        <v>9187.06</v>
      </c>
      <c r="I20" s="9" t="s">
        <v>50</v>
      </c>
      <c r="J20" s="9"/>
      <c r="K20" s="9" t="s">
        <v>49</v>
      </c>
      <c r="L20" s="9"/>
      <c r="M20" s="9"/>
    </row>
    <row r="21" spans="1:13" ht="35.1" customHeight="1" x14ac:dyDescent="0.25">
      <c r="A21" s="9" t="s">
        <v>48</v>
      </c>
      <c r="B21" s="9" t="s">
        <v>37</v>
      </c>
      <c r="C21" s="9" t="s">
        <v>36</v>
      </c>
      <c r="D21" s="9" t="s">
        <v>47</v>
      </c>
      <c r="E21" s="9"/>
      <c r="F21" s="9" t="s">
        <v>26</v>
      </c>
      <c r="G21" s="9" t="s">
        <v>15</v>
      </c>
      <c r="H21" s="14">
        <v>47183.76</v>
      </c>
      <c r="I21" s="9"/>
      <c r="J21" s="9"/>
      <c r="K21" s="9" t="s">
        <v>46</v>
      </c>
      <c r="L21" s="9"/>
      <c r="M21" s="9"/>
    </row>
    <row r="22" spans="1:13" ht="35.1" customHeight="1" x14ac:dyDescent="0.25">
      <c r="A22" s="9" t="s">
        <v>45</v>
      </c>
      <c r="B22" s="9" t="s">
        <v>37</v>
      </c>
      <c r="C22" s="9" t="s">
        <v>36</v>
      </c>
      <c r="D22" s="9" t="s">
        <v>44</v>
      </c>
      <c r="E22" s="9" t="s">
        <v>43</v>
      </c>
      <c r="F22" s="9" t="s">
        <v>27</v>
      </c>
      <c r="G22" s="9" t="s">
        <v>15</v>
      </c>
      <c r="H22" s="14">
        <v>30000.44</v>
      </c>
      <c r="I22" s="9" t="s">
        <v>42</v>
      </c>
      <c r="J22" s="9" t="s">
        <v>41</v>
      </c>
      <c r="K22" s="9" t="s">
        <v>40</v>
      </c>
      <c r="L22" s="9" t="s">
        <v>39</v>
      </c>
      <c r="M22" s="9"/>
    </row>
    <row r="23" spans="1:13" ht="35.1" customHeight="1" x14ac:dyDescent="0.25">
      <c r="A23" s="9" t="s">
        <v>38</v>
      </c>
      <c r="B23" s="9" t="s">
        <v>37</v>
      </c>
      <c r="C23" s="9" t="s">
        <v>36</v>
      </c>
      <c r="D23" s="9" t="s">
        <v>35</v>
      </c>
      <c r="E23" s="9"/>
      <c r="F23" s="9" t="s">
        <v>19</v>
      </c>
      <c r="G23" s="9" t="s">
        <v>15</v>
      </c>
      <c r="H23" s="14">
        <v>37381.11</v>
      </c>
      <c r="I23" s="9" t="s">
        <v>34</v>
      </c>
      <c r="J23" s="9"/>
      <c r="K23" s="9" t="s">
        <v>33</v>
      </c>
      <c r="L23" s="9"/>
      <c r="M23" s="9"/>
    </row>
    <row r="24" spans="1:13" ht="35.1" customHeight="1" x14ac:dyDescent="0.25">
      <c r="A24" s="16"/>
      <c r="B24" s="16"/>
      <c r="C24" s="16"/>
      <c r="D24" s="16" t="s">
        <v>32</v>
      </c>
      <c r="E24" s="16"/>
      <c r="F24" s="16"/>
      <c r="G24" s="16"/>
      <c r="H24" s="17">
        <f>SUM(H4:H23)</f>
        <v>604022.31999999995</v>
      </c>
      <c r="I24" s="16"/>
      <c r="J24" s="16"/>
      <c r="K24" s="16"/>
      <c r="L24" s="16"/>
      <c r="M24" s="9"/>
    </row>
    <row r="25" spans="1:13" ht="35.1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ht="35.1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ht="35.1" customHeight="1" x14ac:dyDescent="0.25"/>
    <row r="28" spans="1:13" ht="35.1" customHeight="1" x14ac:dyDescent="0.25"/>
    <row r="29" spans="1:13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5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0545-D0A7-46FF-8156-F943459E5309}">
  <sheetPr>
    <pageSetUpPr fitToPage="1"/>
  </sheetPr>
  <dimension ref="A1:E30"/>
  <sheetViews>
    <sheetView workbookViewId="0">
      <pane ySplit="3" topLeftCell="A4" activePane="bottomLeft" state="frozen"/>
      <selection pane="bottomLeft" activeCell="E15" sqref="E15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2.28515625" style="8" bestFit="1" customWidth="1"/>
    <col min="4" max="4" width="19.85546875" style="8" bestFit="1" customWidth="1"/>
    <col min="5" max="5" width="27.710937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45922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132</v>
      </c>
      <c r="E2" s="12"/>
    </row>
    <row r="3" spans="1:5" x14ac:dyDescent="0.25">
      <c r="A3" s="9" t="s">
        <v>125</v>
      </c>
      <c r="B3" s="9" t="s">
        <v>123</v>
      </c>
      <c r="C3" s="9" t="s">
        <v>122</v>
      </c>
      <c r="D3" s="9" t="s">
        <v>121</v>
      </c>
      <c r="E3" s="9" t="s">
        <v>4</v>
      </c>
    </row>
    <row r="4" spans="1:5" x14ac:dyDescent="0.25">
      <c r="A4" s="9" t="s">
        <v>97</v>
      </c>
      <c r="B4" s="9" t="s">
        <v>67</v>
      </c>
      <c r="C4" s="9" t="s">
        <v>96</v>
      </c>
      <c r="D4" s="9"/>
      <c r="E4" s="9" t="s">
        <v>16</v>
      </c>
    </row>
    <row r="5" spans="1:5" x14ac:dyDescent="0.25">
      <c r="A5" s="9" t="s">
        <v>82</v>
      </c>
      <c r="B5" s="9" t="s">
        <v>67</v>
      </c>
      <c r="C5" s="9" t="s">
        <v>81</v>
      </c>
      <c r="D5" s="9"/>
      <c r="E5" s="9" t="s">
        <v>25</v>
      </c>
    </row>
    <row r="6" spans="1:5" x14ac:dyDescent="0.25">
      <c r="A6" s="9" t="s">
        <v>131</v>
      </c>
      <c r="B6" s="9" t="s">
        <v>67</v>
      </c>
      <c r="C6" s="9" t="s">
        <v>78</v>
      </c>
      <c r="D6" s="9"/>
      <c r="E6" s="9" t="s">
        <v>25</v>
      </c>
    </row>
    <row r="7" spans="1:5" x14ac:dyDescent="0.25">
      <c r="A7" s="9" t="s">
        <v>68</v>
      </c>
      <c r="B7" s="9" t="s">
        <v>67</v>
      </c>
      <c r="C7" s="9" t="s">
        <v>66</v>
      </c>
      <c r="D7" s="9"/>
      <c r="E7" s="9" t="s">
        <v>18</v>
      </c>
    </row>
    <row r="8" spans="1:5" x14ac:dyDescent="0.25">
      <c r="A8" s="16"/>
      <c r="B8" s="16"/>
      <c r="C8" s="16" t="s">
        <v>130</v>
      </c>
      <c r="D8" s="16"/>
      <c r="E8" s="16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 t="s">
        <v>129</v>
      </c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 t="s">
        <v>128</v>
      </c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 t="s">
        <v>127</v>
      </c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  <row r="28" spans="1:5" x14ac:dyDescent="0.25">
      <c r="A28" s="9"/>
      <c r="B28" s="9"/>
      <c r="C28" s="9"/>
      <c r="D28" s="9"/>
      <c r="E28" s="9"/>
    </row>
    <row r="29" spans="1:5" x14ac:dyDescent="0.25">
      <c r="A29" s="9"/>
      <c r="B29" s="9"/>
      <c r="C29" s="9"/>
      <c r="D29" s="9"/>
      <c r="E29" s="9"/>
    </row>
    <row r="30" spans="1:5" x14ac:dyDescent="0.25">
      <c r="A30" s="9"/>
      <c r="B30" s="9"/>
      <c r="C30" s="9"/>
      <c r="D30" s="9"/>
      <c r="E30" s="9"/>
    </row>
  </sheetData>
  <mergeCells count="2">
    <mergeCell ref="A2:C2"/>
    <mergeCell ref="D2:E2"/>
  </mergeCells>
  <pageMargins left="0.7" right="0.7" top="0.75" bottom="0.75" header="0.3" footer="0.3"/>
  <pageSetup scale="9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2025-09-22T18:46:06Z</cp:lastPrinted>
  <dcterms:created xsi:type="dcterms:W3CDTF">2025-09-22T18:38:29Z</dcterms:created>
  <dcterms:modified xsi:type="dcterms:W3CDTF">2025-09-22T19:10:34Z</dcterms:modified>
</cp:coreProperties>
</file>