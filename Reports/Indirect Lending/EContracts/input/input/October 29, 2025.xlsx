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B4E03DBC-BB50-44C0-81A8-B77FFE34B9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1" r:id="rId1"/>
    <sheet name="Funding Worksheet - Folder V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2" l="1"/>
  <c r="F5" i="1"/>
  <c r="H18" i="1"/>
  <c r="E18" i="1"/>
  <c r="D18" i="1"/>
  <c r="C18" i="1"/>
</calcChain>
</file>

<file path=xl/sharedStrings.xml><?xml version="1.0" encoding="utf-8"?>
<sst xmlns="http://schemas.openxmlformats.org/spreadsheetml/2006/main" count="113" uniqueCount="73">
  <si>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</si>
  <si>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</si>
  <si>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</si>
  <si>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</si>
  <si>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</si>
  <si>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</si>
  <si>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</si>
  <si>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</si>
  <si>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</si>
  <si>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</si>
  <si>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Coastal Volkswagon</t>
  </si>
  <si>
    <t>Marlene Braganca</t>
  </si>
  <si>
    <t>Mathieu Ford Sales, Inc</t>
  </si>
  <si>
    <t>Rachel Gorham</t>
  </si>
  <si>
    <t>Planet Subaru</t>
  </si>
  <si>
    <t>Priority Automotive LLC</t>
  </si>
  <si>
    <t>Neli Oliveira</t>
  </si>
  <si>
    <t>Richard Lundgren, Inc. d/b/a</t>
  </si>
  <si>
    <t>Salvadore Chrysler</t>
  </si>
  <si>
    <t>T F Murphy Enterprises Inc</t>
  </si>
  <si>
    <t>Column1</t>
  </si>
  <si>
    <t>Column2</t>
  </si>
  <si>
    <t># 8</t>
  </si>
  <si>
    <t>SANCHEZ</t>
  </si>
  <si>
    <t>RODICK</t>
  </si>
  <si>
    <t>MSEELE96@GMAIL.COM</t>
  </si>
  <si>
    <t>FELICIANO, STEPHANIE</t>
  </si>
  <si>
    <t>SEELE, MICHAEL</t>
  </si>
  <si>
    <t>E Contract</t>
  </si>
  <si>
    <t>DealerTrack</t>
  </si>
  <si>
    <t>STEWART</t>
  </si>
  <si>
    <t>kevinmci4577@gmail.com</t>
  </si>
  <si>
    <t>MCISAAC, KEVIN</t>
  </si>
  <si>
    <t>Route One</t>
  </si>
  <si>
    <t>Silverman</t>
  </si>
  <si>
    <t>sgtulchisky@hotmail.com</t>
  </si>
  <si>
    <t>TULCHINSKY, SHARON</t>
  </si>
  <si>
    <t>Kordas</t>
  </si>
  <si>
    <t>ZACK.CONCANNON@GMAIL.COM</t>
  </si>
  <si>
    <t>CONCANNON, ZACHARY</t>
  </si>
  <si>
    <t>PALIOTTA</t>
  </si>
  <si>
    <t>NICOLE.G.BURNS85@GMAIL.COM</t>
  </si>
  <si>
    <t>BURNS, NICOLE</t>
  </si>
  <si>
    <t>Yevarrow</t>
  </si>
  <si>
    <t>LEMHANLON@GMAIL.COM</t>
  </si>
  <si>
    <t>KENNEDY, ELIZABETH</t>
  </si>
  <si>
    <t>MACLEOD</t>
  </si>
  <si>
    <t>BOURUBEAU</t>
  </si>
  <si>
    <t>LACA2@GMAIL.COM</t>
  </si>
  <si>
    <t>LACA@GMAIL.COM</t>
  </si>
  <si>
    <t>LACASSE, PAMELA</t>
  </si>
  <si>
    <t>LACASSE, JEFFREY</t>
  </si>
  <si>
    <t>Fisher</t>
  </si>
  <si>
    <t>Leger, Gabrielle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</si>
  <si>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</si>
  <si>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</si>
  <si>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</si>
  <si>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</si>
  <si>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</si>
  <si>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</si>
  <si>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</si>
  <si>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</si>
  <si>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</si>
  <si>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</si>
  <si>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</si>
  <si>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151240886E</t>
  </si>
  <si>
    <t>151241074E</t>
  </si>
  <si>
    <t>151241199E</t>
  </si>
  <si>
    <t>151241248E</t>
  </si>
  <si>
    <t>151241256E</t>
  </si>
  <si>
    <t>151241298E</t>
  </si>
  <si>
    <t>151241313E</t>
  </si>
  <si>
    <t>151241321E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</si>
</sst>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C9948091-9F5B-4149-B8E2-0B9160C78274}"/>
  </cellStyles>
  <dxfs count="17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18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25DAC9B4-D381-4643-AAE4-9FFD9158D8C8}" name="Column1" dataDxfId="15"/>
    <tableColumn id="8" xr3:uid="{F4415575-BBC9-4AB1-BD9A-360EC902C2EB}" name="Column2" dataDxfId="16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BF4ABD-C678-4391-A237-34F388ADC431}" name="Table_13" displayName="Table_13" ref="A3:L12" headerRowDxfId="2" dataDxfId="0" totalsRowDxfId="1">
  <tableColumns count="12">
    <tableColumn id="1" xr3:uid="{00000000-0010-0000-0000-000001000000}" name="Account Number" dataDxfId="14"/>
    <tableColumn id="2" xr3:uid="{00000000-0010-0000-0000-000002000000}" name="Portal" dataDxfId="13"/>
    <tableColumn id="3" xr3:uid="{00000000-0010-0000-0000-000003000000}" name="Contract Type" dataDxfId="12"/>
    <tableColumn id="4" xr3:uid="{00000000-0010-0000-0000-000004000000}" name="Applicant Name" dataDxfId="11"/>
    <tableColumn id="5" xr3:uid="{00000000-0010-0000-0000-000005000000}" name="Co-Applicant Name" dataDxfId="10"/>
    <tableColumn id="6" xr3:uid="{00000000-0010-0000-0000-000006000000}" name="Dealer Name" dataDxfId="9"/>
    <tableColumn id="7" xr3:uid="{00000000-0010-0000-0000-000007000000}" name="Funded by" dataDxfId="8"/>
    <tableColumn id="8" xr3:uid="{00000000-0010-0000-0000-000008000000}" name="Amount Financed" dataDxfId="7"/>
    <tableColumn id="9" xr3:uid="{00000000-0010-0000-0000-000009000000}" name="Applicant Email" dataDxfId="6"/>
    <tableColumn id="10" xr3:uid="{00000000-0010-0000-0000-00000A000000}" name="Co-Applicant Email" dataDxfId="5"/>
    <tableColumn id="11" xr3:uid="{00000000-0010-0000-0000-00000B000000}" name="App MMN" dataDxfId="4"/>
    <tableColumn id="12" xr3:uid="{00000000-0010-0000-0000-00000C000000}" name="Co-App MMN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8"/>
  <sheetViews>
    <sheetView tabSelected="1" workbookViewId="0">
      <pane ySplit="3" topLeftCell="A4" activePane="bottomLeft" state="frozen"/>
      <selection pane="bottomLeft" activeCell="E17" sqref="E17"/>
    </sheetView>
  </sheetViews>
  <sheetFormatPr defaultRowHeight="15" x14ac:dyDescent="0.25"/>
  <cols>
    <col min="1" max="1" width="27" bestFit="1" customWidth="1"/>
    <col min="2" max="2" width="17.7109375" bestFit="1" customWidth="1"/>
    <col min="3" max="3" width="11.140625" bestFit="1" customWidth="1"/>
    <col min="4" max="4" width="17.14062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45959</v>
      </c>
      <c r="E1" t="s">
        <v>2</v>
      </c>
      <c r="H1" s="4">
        <v>45959.999988425923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20</v>
      </c>
      <c r="G3" t="s">
        <v>21</v>
      </c>
      <c r="H3" t="s">
        <v>9</v>
      </c>
    </row>
    <row r="4" spans="1:8" x14ac:dyDescent="0.25">
      <c r="A4" t="s">
        <v>10</v>
      </c>
      <c r="B4" t="s">
        <v>11</v>
      </c>
      <c r="C4" s="2">
        <v>500</v>
      </c>
      <c r="D4" s="2">
        <v>0</v>
      </c>
      <c r="E4" s="2">
        <v>19307.95</v>
      </c>
      <c r="F4" s="2"/>
      <c r="G4" s="2"/>
      <c r="H4" s="2">
        <v>19382.95</v>
      </c>
    </row>
    <row r="5" spans="1:8" x14ac:dyDescent="0.25">
      <c r="A5" t="s">
        <v>10</v>
      </c>
      <c r="B5" t="s">
        <v>11</v>
      </c>
      <c r="C5" s="2">
        <v>1050</v>
      </c>
      <c r="D5" s="2">
        <v>0</v>
      </c>
      <c r="E5" s="2">
        <v>42096.44</v>
      </c>
      <c r="F5" s="2">
        <f>SUM(E4:E5)</f>
        <v>61404.39</v>
      </c>
      <c r="G5" s="2"/>
      <c r="H5" s="2">
        <v>42171.44</v>
      </c>
    </row>
    <row r="6" spans="1:8" x14ac:dyDescent="0.25">
      <c r="C6" s="2"/>
      <c r="D6" s="2"/>
      <c r="E6" s="2"/>
      <c r="F6" s="2"/>
      <c r="G6" s="2"/>
      <c r="H6" s="2"/>
    </row>
    <row r="7" spans="1:8" x14ac:dyDescent="0.25">
      <c r="A7" t="s">
        <v>12</v>
      </c>
      <c r="B7" t="s">
        <v>13</v>
      </c>
      <c r="C7" s="2">
        <v>650</v>
      </c>
      <c r="D7" s="2">
        <v>0</v>
      </c>
      <c r="E7" s="2">
        <v>24319</v>
      </c>
      <c r="F7" s="2"/>
      <c r="G7" s="2"/>
      <c r="H7" s="2">
        <v>24394</v>
      </c>
    </row>
    <row r="8" spans="1:8" x14ac:dyDescent="0.25">
      <c r="C8" s="2"/>
      <c r="D8" s="2"/>
      <c r="E8" s="2"/>
      <c r="F8" s="2"/>
      <c r="G8" s="2"/>
      <c r="H8" s="2"/>
    </row>
    <row r="9" spans="1:8" x14ac:dyDescent="0.25">
      <c r="A9" t="s">
        <v>14</v>
      </c>
      <c r="B9" t="s">
        <v>13</v>
      </c>
      <c r="C9" s="2">
        <v>650</v>
      </c>
      <c r="D9" s="2">
        <v>0</v>
      </c>
      <c r="E9" s="2">
        <v>22815.07</v>
      </c>
      <c r="F9" s="2"/>
      <c r="G9" s="2"/>
      <c r="H9" s="2">
        <v>22890.07</v>
      </c>
    </row>
    <row r="10" spans="1:8" x14ac:dyDescent="0.25">
      <c r="C10" s="2"/>
      <c r="D10" s="2"/>
      <c r="E10" s="2"/>
      <c r="F10" s="2"/>
      <c r="G10" s="2"/>
      <c r="H10" s="2"/>
    </row>
    <row r="11" spans="1:8" x14ac:dyDescent="0.25">
      <c r="A11" t="s">
        <v>15</v>
      </c>
      <c r="B11" t="s">
        <v>16</v>
      </c>
      <c r="C11" s="2">
        <v>1350</v>
      </c>
      <c r="D11" s="2">
        <v>0</v>
      </c>
      <c r="E11" s="2">
        <v>50660.51</v>
      </c>
      <c r="F11" s="2"/>
      <c r="G11" s="2"/>
      <c r="H11" s="2">
        <v>50735.51</v>
      </c>
    </row>
    <row r="12" spans="1:8" x14ac:dyDescent="0.25">
      <c r="C12" s="2"/>
      <c r="D12" s="2"/>
      <c r="E12" s="2"/>
      <c r="F12" s="2"/>
      <c r="G12" s="2"/>
      <c r="H12" s="2"/>
    </row>
    <row r="13" spans="1:8" x14ac:dyDescent="0.25">
      <c r="A13" t="s">
        <v>17</v>
      </c>
      <c r="B13" t="s">
        <v>11</v>
      </c>
      <c r="C13" s="2">
        <v>950</v>
      </c>
      <c r="D13" s="2">
        <v>0</v>
      </c>
      <c r="E13" s="2">
        <v>34953.75</v>
      </c>
      <c r="F13" s="2"/>
      <c r="G13" s="2"/>
      <c r="H13" s="2">
        <v>35028.75</v>
      </c>
    </row>
    <row r="14" spans="1:8" x14ac:dyDescent="0.25">
      <c r="C14" s="2"/>
      <c r="D14" s="2"/>
      <c r="E14" s="2"/>
      <c r="F14" s="2"/>
      <c r="G14" s="2"/>
      <c r="H14" s="2"/>
    </row>
    <row r="15" spans="1:8" x14ac:dyDescent="0.25">
      <c r="A15" t="s">
        <v>18</v>
      </c>
      <c r="B15" t="s">
        <v>11</v>
      </c>
      <c r="C15" s="2">
        <v>650</v>
      </c>
      <c r="D15" s="2">
        <v>0</v>
      </c>
      <c r="E15" s="2">
        <v>24749.279999999999</v>
      </c>
      <c r="F15" s="2"/>
      <c r="G15" s="2"/>
      <c r="H15" s="2">
        <v>24824.28</v>
      </c>
    </row>
    <row r="16" spans="1:8" x14ac:dyDescent="0.25">
      <c r="C16" s="2"/>
      <c r="D16" s="2"/>
      <c r="E16" s="2"/>
      <c r="F16" s="2"/>
      <c r="G16" s="2"/>
      <c r="H16" s="2"/>
    </row>
    <row r="17" spans="1:8" ht="15.75" customHeight="1" x14ac:dyDescent="0.25">
      <c r="A17" t="s">
        <v>19</v>
      </c>
      <c r="B17" t="s">
        <v>11</v>
      </c>
      <c r="C17" s="2">
        <v>750</v>
      </c>
      <c r="D17" s="2">
        <v>0</v>
      </c>
      <c r="E17" s="2">
        <v>29404.560000000001</v>
      </c>
      <c r="F17" s="2"/>
      <c r="G17" s="2"/>
      <c r="H17" s="2">
        <v>29479.56</v>
      </c>
    </row>
    <row r="18" spans="1:8" x14ac:dyDescent="0.25">
      <c r="A18" s="1"/>
      <c r="B18" s="1"/>
      <c r="C18" s="3">
        <f>SUM(C4:C17)</f>
        <v>6550</v>
      </c>
      <c r="D18" s="3">
        <f>SUM(D4:D17)</f>
        <v>0</v>
      </c>
      <c r="E18" s="3">
        <f>SUM(E4:E17)</f>
        <v>248306.56</v>
      </c>
      <c r="F18" s="3"/>
      <c r="G18" s="3"/>
      <c r="H18" s="3">
        <f>SUM(H4:H17)</f>
        <v>248906.56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F406F-7AAC-464E-ADF0-64A74ABB3512}">
  <sheetPr>
    <pageSetUpPr fitToPage="1"/>
  </sheetPr>
  <dimension ref="A1:L26"/>
  <sheetViews>
    <sheetView workbookViewId="0">
      <pane ySplit="3" topLeftCell="A4" activePane="bottomLeft" state="frozen"/>
      <selection pane="bottomLeft" activeCell="F14" sqref="F14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3.140625" style="8" bestFit="1" customWidth="1"/>
    <col min="5" max="5" width="22.140625" style="8" bestFit="1" customWidth="1"/>
    <col min="6" max="6" width="27" style="8" bestFit="1" customWidth="1"/>
    <col min="7" max="7" width="17.7109375" style="8" bestFit="1" customWidth="1"/>
    <col min="8" max="8" width="17.140625" style="8" bestFit="1" customWidth="1"/>
    <col min="9" max="9" width="31.7109375" style="8" bestFit="1" customWidth="1"/>
    <col min="10" max="10" width="19.5703125" style="8" bestFit="1" customWidth="1"/>
    <col min="11" max="11" width="17.140625" style="8" bestFit="1" customWidth="1"/>
    <col min="12" max="12" width="12.85546875" style="8" bestFit="1" customWidth="1"/>
    <col min="13" max="16384" width="9.140625" style="8"/>
  </cols>
  <sheetData>
    <row r="1" spans="1:12" ht="35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45959</v>
      </c>
      <c r="L1" s="9" t="s">
        <v>2</v>
      </c>
    </row>
    <row r="2" spans="1:12" ht="35.1" customHeight="1" x14ac:dyDescent="0.25">
      <c r="A2" s="11" t="s">
        <v>0</v>
      </c>
      <c r="B2" s="12"/>
      <c r="C2" s="12"/>
      <c r="D2" s="12"/>
      <c r="E2" s="12"/>
      <c r="F2" s="12"/>
      <c r="G2" s="13" t="s">
        <v>64</v>
      </c>
      <c r="H2" s="12"/>
      <c r="I2" s="12"/>
      <c r="J2" s="12"/>
      <c r="K2" s="12"/>
      <c r="L2" s="12"/>
    </row>
    <row r="3" spans="1:12" ht="35.1" customHeight="1" x14ac:dyDescent="0.25">
      <c r="A3" s="9" t="s">
        <v>63</v>
      </c>
      <c r="B3" s="9" t="s">
        <v>62</v>
      </c>
      <c r="C3" s="9" t="s">
        <v>61</v>
      </c>
      <c r="D3" s="9" t="s">
        <v>60</v>
      </c>
      <c r="E3" s="9" t="s">
        <v>59</v>
      </c>
      <c r="F3" s="9" t="s">
        <v>4</v>
      </c>
      <c r="G3" s="9" t="s">
        <v>5</v>
      </c>
      <c r="H3" s="9" t="s">
        <v>58</v>
      </c>
      <c r="I3" s="9" t="s">
        <v>57</v>
      </c>
      <c r="J3" s="9" t="s">
        <v>56</v>
      </c>
      <c r="K3" s="9" t="s">
        <v>55</v>
      </c>
      <c r="L3" s="9" t="s">
        <v>54</v>
      </c>
    </row>
    <row r="4" spans="1:12" ht="35.1" customHeight="1" x14ac:dyDescent="0.25">
      <c r="A4" s="9" t="s">
        <v>65</v>
      </c>
      <c r="B4" s="9" t="s">
        <v>33</v>
      </c>
      <c r="C4" s="9" t="s">
        <v>28</v>
      </c>
      <c r="D4" s="9" t="s">
        <v>53</v>
      </c>
      <c r="E4" s="9"/>
      <c r="F4" s="9" t="s">
        <v>18</v>
      </c>
      <c r="G4" s="9" t="s">
        <v>11</v>
      </c>
      <c r="H4" s="14">
        <v>24824.28</v>
      </c>
      <c r="I4" s="9"/>
      <c r="J4" s="9"/>
      <c r="K4" s="9" t="s">
        <v>52</v>
      </c>
      <c r="L4" s="9"/>
    </row>
    <row r="5" spans="1:12" ht="35.1" customHeight="1" x14ac:dyDescent="0.25">
      <c r="A5" s="9" t="s">
        <v>66</v>
      </c>
      <c r="B5" s="9" t="s">
        <v>29</v>
      </c>
      <c r="C5" s="9" t="s">
        <v>28</v>
      </c>
      <c r="D5" s="9" t="s">
        <v>51</v>
      </c>
      <c r="E5" s="9" t="s">
        <v>50</v>
      </c>
      <c r="F5" s="9" t="s">
        <v>17</v>
      </c>
      <c r="G5" s="9" t="s">
        <v>11</v>
      </c>
      <c r="H5" s="14">
        <v>35028.75</v>
      </c>
      <c r="I5" s="9" t="s">
        <v>49</v>
      </c>
      <c r="J5" s="9" t="s">
        <v>48</v>
      </c>
      <c r="K5" s="9" t="s">
        <v>47</v>
      </c>
      <c r="L5" s="9" t="s">
        <v>46</v>
      </c>
    </row>
    <row r="6" spans="1:12" ht="35.1" customHeight="1" x14ac:dyDescent="0.25">
      <c r="A6" s="9" t="s">
        <v>67</v>
      </c>
      <c r="B6" s="9" t="s">
        <v>29</v>
      </c>
      <c r="C6" s="9" t="s">
        <v>28</v>
      </c>
      <c r="D6" s="9" t="s">
        <v>45</v>
      </c>
      <c r="E6" s="9"/>
      <c r="F6" s="9" t="s">
        <v>10</v>
      </c>
      <c r="G6" s="9" t="s">
        <v>11</v>
      </c>
      <c r="H6" s="14">
        <v>42171.44</v>
      </c>
      <c r="I6" s="9" t="s">
        <v>44</v>
      </c>
      <c r="J6" s="9"/>
      <c r="K6" s="9" t="s">
        <v>43</v>
      </c>
      <c r="L6" s="9"/>
    </row>
    <row r="7" spans="1:12" ht="35.1" customHeight="1" x14ac:dyDescent="0.25">
      <c r="A7" s="9" t="s">
        <v>68</v>
      </c>
      <c r="B7" s="9" t="s">
        <v>29</v>
      </c>
      <c r="C7" s="9" t="s">
        <v>28</v>
      </c>
      <c r="D7" s="9" t="s">
        <v>42</v>
      </c>
      <c r="E7" s="9"/>
      <c r="F7" s="9" t="s">
        <v>15</v>
      </c>
      <c r="G7" s="9" t="s">
        <v>16</v>
      </c>
      <c r="H7" s="14">
        <v>50735.51</v>
      </c>
      <c r="I7" s="9" t="s">
        <v>41</v>
      </c>
      <c r="J7" s="9"/>
      <c r="K7" s="9" t="s">
        <v>40</v>
      </c>
      <c r="L7" s="9"/>
    </row>
    <row r="8" spans="1:12" ht="35.1" customHeight="1" x14ac:dyDescent="0.25">
      <c r="A8" s="9" t="s">
        <v>69</v>
      </c>
      <c r="B8" s="9" t="s">
        <v>29</v>
      </c>
      <c r="C8" s="9" t="s">
        <v>28</v>
      </c>
      <c r="D8" s="9" t="s">
        <v>39</v>
      </c>
      <c r="E8" s="9"/>
      <c r="F8" s="9" t="s">
        <v>10</v>
      </c>
      <c r="G8" s="9" t="s">
        <v>11</v>
      </c>
      <c r="H8" s="14">
        <v>19382.95</v>
      </c>
      <c r="I8" s="9" t="s">
        <v>38</v>
      </c>
      <c r="J8" s="9"/>
      <c r="K8" s="9" t="s">
        <v>37</v>
      </c>
      <c r="L8" s="9"/>
    </row>
    <row r="9" spans="1:12" ht="35.1" customHeight="1" x14ac:dyDescent="0.25">
      <c r="A9" s="9" t="s">
        <v>70</v>
      </c>
      <c r="B9" s="9" t="s">
        <v>33</v>
      </c>
      <c r="C9" s="9" t="s">
        <v>28</v>
      </c>
      <c r="D9" s="9" t="s">
        <v>36</v>
      </c>
      <c r="E9" s="9"/>
      <c r="F9" s="9" t="s">
        <v>19</v>
      </c>
      <c r="G9" s="9" t="s">
        <v>11</v>
      </c>
      <c r="H9" s="14">
        <v>29479.56</v>
      </c>
      <c r="I9" s="9" t="s">
        <v>35</v>
      </c>
      <c r="J9" s="9"/>
      <c r="K9" s="9" t="s">
        <v>34</v>
      </c>
      <c r="L9" s="9"/>
    </row>
    <row r="10" spans="1:12" ht="35.1" customHeight="1" x14ac:dyDescent="0.25">
      <c r="A10" s="9" t="s">
        <v>71</v>
      </c>
      <c r="B10" s="9" t="s">
        <v>33</v>
      </c>
      <c r="C10" s="9" t="s">
        <v>28</v>
      </c>
      <c r="D10" s="9" t="s">
        <v>32</v>
      </c>
      <c r="E10" s="9"/>
      <c r="F10" s="9" t="s">
        <v>12</v>
      </c>
      <c r="G10" s="9" t="s">
        <v>13</v>
      </c>
      <c r="H10" s="14">
        <v>24394</v>
      </c>
      <c r="I10" s="9" t="s">
        <v>31</v>
      </c>
      <c r="J10" s="9"/>
      <c r="K10" s="9" t="s">
        <v>30</v>
      </c>
      <c r="L10" s="9"/>
    </row>
    <row r="11" spans="1:12" ht="35.1" customHeight="1" x14ac:dyDescent="0.25">
      <c r="A11" s="9" t="s">
        <v>72</v>
      </c>
      <c r="B11" s="9" t="s">
        <v>29</v>
      </c>
      <c r="C11" s="9" t="s">
        <v>28</v>
      </c>
      <c r="D11" s="9" t="s">
        <v>27</v>
      </c>
      <c r="E11" s="9" t="s">
        <v>26</v>
      </c>
      <c r="F11" s="9" t="s">
        <v>14</v>
      </c>
      <c r="G11" s="9" t="s">
        <v>13</v>
      </c>
      <c r="H11" s="14">
        <v>22890.07</v>
      </c>
      <c r="I11" s="9" t="s">
        <v>25</v>
      </c>
      <c r="J11" s="9"/>
      <c r="K11" s="9" t="s">
        <v>24</v>
      </c>
      <c r="L11" s="9" t="s">
        <v>23</v>
      </c>
    </row>
    <row r="12" spans="1:12" ht="35.1" customHeight="1" x14ac:dyDescent="0.25">
      <c r="A12" s="15"/>
      <c r="B12" s="15"/>
      <c r="C12" s="15"/>
      <c r="D12" s="15" t="s">
        <v>22</v>
      </c>
      <c r="E12" s="15"/>
      <c r="F12" s="15"/>
      <c r="G12" s="15"/>
      <c r="H12" s="16">
        <f>SUM(H4:H11)</f>
        <v>248906.56000000003</v>
      </c>
      <c r="I12" s="15"/>
      <c r="J12" s="15"/>
      <c r="K12" s="15"/>
      <c r="L12" s="15"/>
    </row>
    <row r="13" spans="1:12" ht="35.1" customHeight="1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ht="35.1" customHeight="1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ht="35.1" customHeight="1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ht="35.1" customHeight="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 ht="35.1" customHeight="1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 ht="35.1" customHeight="1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ht="35.1" customHeight="1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ht="35.1" customHeight="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ht="35.1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ht="35.1" customHeight="1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ht="35.1" customHeight="1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ht="35.1" customHeight="1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ht="35.1" customHeight="1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ht="35.1" customHeight="1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</sheetData>
  <mergeCells count="2">
    <mergeCell ref="A2:F2"/>
    <mergeCell ref="G2:L2"/>
  </mergeCells>
  <pageMargins left="0.7" right="0.7" top="0.75" bottom="0.75" header="0.3" footer="0.3"/>
  <pageSetup paperSize="5" scale="69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Funding Worksheet - ACH Version</vt:lpstr>
      <vt:lpstr>Funding Worksheet - Folder 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2025-10-29T18:23:27Z</cp:lastPrinted>
  <dcterms:created xsi:type="dcterms:W3CDTF">2025-10-29T18:17:54Z</dcterms:created>
  <dcterms:modified xsi:type="dcterms:W3CDTF">2025-10-29T18:36:15Z</dcterms:modified>
</cp:coreProperties>
</file>