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A4A5C4A-B0E5-4BFB-BADF-AFD9C79B9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F7" i="1"/>
  <c r="F14" i="1"/>
  <c r="H23" i="1"/>
  <c r="E23" i="1"/>
  <c r="D23" i="1"/>
  <c r="C23" i="1"/>
</calcChain>
</file>

<file path=xl/sharedStrings.xml><?xml version="1.0" encoding="utf-8"?>
<sst xmlns="http://schemas.openxmlformats.org/spreadsheetml/2006/main" count="161" uniqueCount="94">
  <si>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</si>
  <si>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</si>
  <si>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</si>
  <si>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</si>
  <si>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</si>
  <si>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</si>
  <si>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</si>
  <si>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</si>
  <si>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</si>
  <si>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</si>
  <si>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Bald Hill Dodge Chrysler</t>
  </si>
  <si>
    <t>Rachel Gorham</t>
  </si>
  <si>
    <t>Coastal Volkswagon</t>
  </si>
  <si>
    <t>Neli Oliveira</t>
  </si>
  <si>
    <t>Colonial South Chevrolet</t>
  </si>
  <si>
    <t>First Hyundai</t>
  </si>
  <si>
    <t>Marlene Braganca</t>
  </si>
  <si>
    <t>Grieco Toyota</t>
  </si>
  <si>
    <t>Mathieu Ford Sales, Inc</t>
  </si>
  <si>
    <t>Metro Honda</t>
  </si>
  <si>
    <t>RAH FALL RIVER VW, LLC</t>
  </si>
  <si>
    <t>Viti Mercedes</t>
  </si>
  <si>
    <t>Column1</t>
  </si>
  <si>
    <t>Column2</t>
  </si>
  <si>
    <t># 11</t>
  </si>
  <si>
    <t>FRANSICO</t>
  </si>
  <si>
    <t>fred@callalmeida.com</t>
  </si>
  <si>
    <t>ALMEIDA, ALFRED</t>
  </si>
  <si>
    <t>E Contract</t>
  </si>
  <si>
    <t>Route One</t>
  </si>
  <si>
    <t>CALDERON</t>
  </si>
  <si>
    <t>MONTEIRO, WESLEY</t>
  </si>
  <si>
    <t>DealerTrack</t>
  </si>
  <si>
    <t>151190635e</t>
  </si>
  <si>
    <t>AYODEJI</t>
  </si>
  <si>
    <t>ABIOLANULLY@YAHOO.COM</t>
  </si>
  <si>
    <t>AKINBOBOYE, ABIOLA</t>
  </si>
  <si>
    <t>151190619e</t>
  </si>
  <si>
    <t>GUILLMETTE</t>
  </si>
  <si>
    <t>raven_12273@yahoo.com</t>
  </si>
  <si>
    <t>GOLDEN, KRISTEN</t>
  </si>
  <si>
    <t>151190594e</t>
  </si>
  <si>
    <t>CRAWFORD</t>
  </si>
  <si>
    <t>MWALLFARRELL@OUTLOOK.COM</t>
  </si>
  <si>
    <t>WALL, MARY</t>
  </si>
  <si>
    <t>Paper</t>
  </si>
  <si>
    <t>151190586</t>
  </si>
  <si>
    <t>SANTOVICCA</t>
  </si>
  <si>
    <t>HPILOTTE@GMAIL.COM</t>
  </si>
  <si>
    <t>PILOTTE, HOLLY</t>
  </si>
  <si>
    <t>151190528e</t>
  </si>
  <si>
    <t>GORDON</t>
  </si>
  <si>
    <t>CARSON</t>
  </si>
  <si>
    <t>JROWLEY675@COMCAST.NET</t>
  </si>
  <si>
    <t>ROWLEY, JUDY</t>
  </si>
  <si>
    <t>ROWLEY, JAY</t>
  </si>
  <si>
    <t>151190445e</t>
  </si>
  <si>
    <t>FERRICK</t>
  </si>
  <si>
    <t>NEILWELCH2@LIVE.COM</t>
  </si>
  <si>
    <t>WELCH, NEIL</t>
  </si>
  <si>
    <t>151190411e</t>
  </si>
  <si>
    <t>CARVALHO</t>
  </si>
  <si>
    <t>BASTIENL61@YAHOO.COM</t>
  </si>
  <si>
    <t>BASTIEN, LISA</t>
  </si>
  <si>
    <t>151190403e</t>
  </si>
  <si>
    <t>Wellman</t>
  </si>
  <si>
    <t>JOANNEDUFFY@WALSHCONTRACTINGPORT.COM</t>
  </si>
  <si>
    <t>DUFFY, JOANNE</t>
  </si>
  <si>
    <t>151190396e</t>
  </si>
  <si>
    <t>KEANE</t>
  </si>
  <si>
    <t>VANDERLINDEN</t>
  </si>
  <si>
    <t>Petercfee@yahoo.com</t>
  </si>
  <si>
    <t>ryanfee2004@gmail.com</t>
  </si>
  <si>
    <t>FEE, PETER</t>
  </si>
  <si>
    <t>FEE, RYAN</t>
  </si>
  <si>
    <t>151190388e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</si>
  <si>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</si>
  <si>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</si>
  <si>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</si>
  <si>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</si>
  <si>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</si>
  <si>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</si>
  <si>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</si>
  <si>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</si>
  <si>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</si>
  <si>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</si>
  <si>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</si>
  <si>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</si>
  <si>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</t>
  </si>
  <si>
    <t>Received By_________________________________________________________________________</t>
  </si>
  <si>
    <t>Delivered BY_________________________________________________________________________</t>
  </si>
  <si>
    <t># 1</t>
  </si>
  <si>
    <t>Funding Worksheet - Signoff Version</t>
  </si>
  <si>
    <t>2330      8209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</si>
</sst>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79B42C08-60AF-4DFB-9765-EAD96A17D079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2458C689-DC7B-4295-AF53-6E6B79635D06}" name="Column1" dataDxfId="24"/>
    <tableColumn id="8" xr3:uid="{40FFA9D1-006A-4563-882C-687B390DC6D8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3C3684-8D4E-419D-8C4E-A8CA3D6D3605}" name="Table_13" displayName="Table_13" ref="A3:M15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999DCD-567F-4E94-81DF-E8E0C964DAD5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workbookViewId="0">
      <pane ySplit="3" topLeftCell="A4" activePane="bottomLeft" state="frozen"/>
      <selection pane="bottomLeft" activeCell="E11" sqref="E11"/>
    </sheetView>
  </sheetViews>
  <sheetFormatPr defaultRowHeight="15" x14ac:dyDescent="0.25"/>
  <cols>
    <col min="1" max="1" width="24.140625" bestFit="1" customWidth="1"/>
    <col min="2" max="2" width="17.7109375" bestFit="1" customWidth="1"/>
    <col min="3" max="3" width="11.140625" bestFit="1" customWidth="1"/>
    <col min="4" max="4" width="12.5703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45817</v>
      </c>
      <c r="E1" t="s">
        <v>2</v>
      </c>
      <c r="H1" s="4">
        <v>45817.999988425923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22</v>
      </c>
      <c r="G3" t="s">
        <v>23</v>
      </c>
      <c r="H3" t="s">
        <v>9</v>
      </c>
    </row>
    <row r="4" spans="1:8" x14ac:dyDescent="0.25">
      <c r="A4" t="s">
        <v>10</v>
      </c>
      <c r="B4" t="s">
        <v>11</v>
      </c>
      <c r="C4" s="2">
        <v>1050</v>
      </c>
      <c r="D4" s="2">
        <v>0</v>
      </c>
      <c r="E4" s="2">
        <v>41512.550000000003</v>
      </c>
      <c r="F4" s="2"/>
      <c r="G4" s="2"/>
      <c r="H4" s="2">
        <v>41587.550000000003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650</v>
      </c>
      <c r="D6" s="2">
        <v>0</v>
      </c>
      <c r="E6" s="2">
        <v>21028.25</v>
      </c>
      <c r="F6" s="2"/>
      <c r="G6" s="2"/>
      <c r="H6" s="2">
        <v>21103.25</v>
      </c>
    </row>
    <row r="7" spans="1:8" x14ac:dyDescent="0.25">
      <c r="A7" t="s">
        <v>12</v>
      </c>
      <c r="B7" t="s">
        <v>13</v>
      </c>
      <c r="C7" s="2">
        <v>300</v>
      </c>
      <c r="D7" s="2">
        <v>0</v>
      </c>
      <c r="E7" s="2">
        <v>9925.1299999999992</v>
      </c>
      <c r="F7" s="2">
        <f>SUM(E6:E7)</f>
        <v>30953.379999999997</v>
      </c>
      <c r="G7" s="2"/>
      <c r="H7" s="2">
        <v>10000.129999999999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13</v>
      </c>
      <c r="C9" s="2">
        <v>500</v>
      </c>
      <c r="D9" s="2">
        <v>0</v>
      </c>
      <c r="E9" s="2">
        <v>19109.310000000001</v>
      </c>
      <c r="F9" s="2"/>
      <c r="G9" s="2"/>
      <c r="H9" s="2">
        <v>19184.310000000001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16</v>
      </c>
      <c r="C11" s="2">
        <v>650</v>
      </c>
      <c r="D11" s="2">
        <v>0</v>
      </c>
      <c r="E11" s="2">
        <v>19964.689999999999</v>
      </c>
      <c r="F11" s="2"/>
      <c r="G11" s="2" t="s">
        <v>93</v>
      </c>
      <c r="H11" s="2">
        <v>20039.689999999999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11</v>
      </c>
      <c r="C13" s="2">
        <v>850</v>
      </c>
      <c r="D13" s="2">
        <v>0</v>
      </c>
      <c r="E13" s="2">
        <v>32298.75</v>
      </c>
      <c r="F13" s="2"/>
      <c r="G13" s="2"/>
      <c r="H13" s="2">
        <v>32373.75</v>
      </c>
    </row>
    <row r="14" spans="1:8" x14ac:dyDescent="0.25">
      <c r="A14" t="s">
        <v>17</v>
      </c>
      <c r="B14" t="s">
        <v>11</v>
      </c>
      <c r="C14" s="2">
        <v>1050</v>
      </c>
      <c r="D14" s="2">
        <v>0</v>
      </c>
      <c r="E14" s="2">
        <v>44581.25</v>
      </c>
      <c r="F14" s="2">
        <f>SUM(E13:E14)</f>
        <v>76880</v>
      </c>
      <c r="G14" s="2"/>
      <c r="H14" s="2">
        <v>44656.25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11</v>
      </c>
      <c r="C16" s="2">
        <v>500</v>
      </c>
      <c r="D16" s="2">
        <v>0</v>
      </c>
      <c r="E16" s="2">
        <v>17454.38</v>
      </c>
      <c r="F16" s="2"/>
      <c r="G16" s="2"/>
      <c r="H16" s="2">
        <v>17529.38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11</v>
      </c>
      <c r="C18" s="2">
        <v>750</v>
      </c>
      <c r="D18" s="2">
        <v>0</v>
      </c>
      <c r="E18" s="2">
        <v>26385.9</v>
      </c>
      <c r="F18" s="2"/>
      <c r="G18" s="2"/>
      <c r="H18" s="2">
        <v>26460.9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13</v>
      </c>
      <c r="C20" s="2">
        <v>750</v>
      </c>
      <c r="D20" s="2">
        <v>0</v>
      </c>
      <c r="E20" s="2">
        <v>25334.79</v>
      </c>
      <c r="F20" s="2"/>
      <c r="G20" s="2"/>
      <c r="H20" s="2">
        <v>25409.79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11</v>
      </c>
      <c r="C22" s="2">
        <v>750</v>
      </c>
      <c r="D22" s="2">
        <v>0</v>
      </c>
      <c r="E22" s="2">
        <v>28234.21</v>
      </c>
      <c r="F22" s="2"/>
      <c r="G22" s="2"/>
      <c r="H22" s="2">
        <v>28309.21</v>
      </c>
    </row>
    <row r="23" spans="1:8" x14ac:dyDescent="0.25">
      <c r="A23" s="1"/>
      <c r="B23" s="1"/>
      <c r="C23" s="3">
        <f>SUM(C4:C22)</f>
        <v>7800</v>
      </c>
      <c r="D23" s="3">
        <f>SUM(D4:D22)</f>
        <v>0</v>
      </c>
      <c r="E23" s="3">
        <f>SUM(E4:E22)</f>
        <v>285829.21000000002</v>
      </c>
      <c r="F23" s="3"/>
      <c r="G23" s="3"/>
      <c r="H23" s="3">
        <f>SUM(H4:H22)</f>
        <v>286654.21000000002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06A3-9AD9-4280-9CB2-E895ADF48CFF}">
  <sheetPr>
    <pageSetUpPr fitToPage="1"/>
  </sheetPr>
  <dimension ref="A1:N18"/>
  <sheetViews>
    <sheetView workbookViewId="0">
      <pane ySplit="3" topLeftCell="A4" activePane="bottomLeft" state="frozen"/>
      <selection pane="bottomLeft" activeCell="A4" sqref="A4:A14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" style="8" bestFit="1" customWidth="1"/>
    <col min="5" max="5" width="18.7109375" style="8" bestFit="1" customWidth="1"/>
    <col min="6" max="6" width="24.140625" style="8" bestFit="1" customWidth="1"/>
    <col min="7" max="7" width="17.7109375" style="8" bestFit="1" customWidth="1"/>
    <col min="8" max="8" width="17.140625" style="8" bestFit="1" customWidth="1"/>
    <col min="9" max="9" width="46" style="8" bestFit="1" customWidth="1"/>
    <col min="10" max="10" width="21.7109375" style="8" bestFit="1" customWidth="1"/>
    <col min="11" max="11" width="15.7109375" style="8" bestFit="1" customWidth="1"/>
    <col min="12" max="12" width="12.85546875" style="8" bestFit="1" customWidth="1"/>
    <col min="13" max="13" width="15.140625" style="8" bestFit="1" customWidth="1"/>
    <col min="14" max="16384" width="9.140625" style="8"/>
  </cols>
  <sheetData>
    <row r="1" spans="1:14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45817</v>
      </c>
      <c r="L1" s="9" t="s">
        <v>2</v>
      </c>
      <c r="M1" s="10">
        <v>45817.999988425923</v>
      </c>
      <c r="N1" s="9"/>
    </row>
    <row r="2" spans="1:14" ht="35.1" customHeight="1" x14ac:dyDescent="0.25">
      <c r="A2" s="11" t="s">
        <v>0</v>
      </c>
      <c r="B2" s="12"/>
      <c r="C2" s="12"/>
      <c r="D2" s="12"/>
      <c r="E2" s="12"/>
      <c r="F2" s="12"/>
      <c r="G2" s="13" t="s">
        <v>87</v>
      </c>
      <c r="H2" s="12"/>
      <c r="I2" s="12"/>
      <c r="J2" s="12"/>
      <c r="K2" s="12"/>
      <c r="L2" s="12"/>
      <c r="M2" s="12"/>
      <c r="N2" s="9"/>
    </row>
    <row r="3" spans="1:14" ht="35.1" customHeight="1" x14ac:dyDescent="0.25">
      <c r="A3" s="9" t="s">
        <v>86</v>
      </c>
      <c r="B3" s="9" t="s">
        <v>85</v>
      </c>
      <c r="C3" s="9" t="s">
        <v>84</v>
      </c>
      <c r="D3" s="9" t="s">
        <v>83</v>
      </c>
      <c r="E3" s="9" t="s">
        <v>82</v>
      </c>
      <c r="F3" s="9" t="s">
        <v>4</v>
      </c>
      <c r="G3" s="9" t="s">
        <v>5</v>
      </c>
      <c r="H3" s="9" t="s">
        <v>81</v>
      </c>
      <c r="I3" s="9" t="s">
        <v>80</v>
      </c>
      <c r="J3" s="9" t="s">
        <v>79</v>
      </c>
      <c r="K3" s="9" t="s">
        <v>78</v>
      </c>
      <c r="L3" s="9" t="s">
        <v>77</v>
      </c>
      <c r="M3" s="9" t="s">
        <v>76</v>
      </c>
      <c r="N3" s="9"/>
    </row>
    <row r="4" spans="1:14" ht="35.1" customHeight="1" x14ac:dyDescent="0.25">
      <c r="A4" s="9" t="s">
        <v>75</v>
      </c>
      <c r="B4" s="9" t="s">
        <v>29</v>
      </c>
      <c r="C4" s="9" t="s">
        <v>28</v>
      </c>
      <c r="D4" s="9" t="s">
        <v>74</v>
      </c>
      <c r="E4" s="9" t="s">
        <v>73</v>
      </c>
      <c r="F4" s="9" t="s">
        <v>18</v>
      </c>
      <c r="G4" s="9" t="s">
        <v>11</v>
      </c>
      <c r="H4" s="14">
        <v>17529.38</v>
      </c>
      <c r="I4" s="9" t="s">
        <v>72</v>
      </c>
      <c r="J4" s="9" t="s">
        <v>71</v>
      </c>
      <c r="K4" s="9" t="s">
        <v>70</v>
      </c>
      <c r="L4" s="9" t="s">
        <v>69</v>
      </c>
      <c r="M4" s="9"/>
      <c r="N4" s="9"/>
    </row>
    <row r="5" spans="1:14" ht="35.1" customHeight="1" x14ac:dyDescent="0.25">
      <c r="A5" s="9" t="s">
        <v>68</v>
      </c>
      <c r="B5" s="9" t="s">
        <v>32</v>
      </c>
      <c r="C5" s="9" t="s">
        <v>28</v>
      </c>
      <c r="D5" s="9" t="s">
        <v>67</v>
      </c>
      <c r="E5" s="9"/>
      <c r="F5" s="9" t="s">
        <v>15</v>
      </c>
      <c r="G5" s="9" t="s">
        <v>16</v>
      </c>
      <c r="H5" s="14">
        <v>20039.689999999999</v>
      </c>
      <c r="I5" s="9" t="s">
        <v>66</v>
      </c>
      <c r="J5" s="9"/>
      <c r="K5" s="9" t="s">
        <v>65</v>
      </c>
      <c r="L5" s="9"/>
      <c r="M5" s="9"/>
      <c r="N5" s="9"/>
    </row>
    <row r="6" spans="1:14" ht="35.1" customHeight="1" x14ac:dyDescent="0.25">
      <c r="A6" s="9" t="s">
        <v>64</v>
      </c>
      <c r="B6" s="9" t="s">
        <v>32</v>
      </c>
      <c r="C6" s="9" t="s">
        <v>28</v>
      </c>
      <c r="D6" s="9" t="s">
        <v>63</v>
      </c>
      <c r="E6" s="9"/>
      <c r="F6" s="9" t="s">
        <v>20</v>
      </c>
      <c r="G6" s="9" t="s">
        <v>13</v>
      </c>
      <c r="H6" s="14">
        <v>25409.79</v>
      </c>
      <c r="I6" s="9" t="s">
        <v>62</v>
      </c>
      <c r="J6" s="9"/>
      <c r="K6" s="9" t="s">
        <v>61</v>
      </c>
      <c r="L6" s="9"/>
      <c r="M6" s="9"/>
      <c r="N6" s="9"/>
    </row>
    <row r="7" spans="1:14" ht="35.1" customHeight="1" x14ac:dyDescent="0.25">
      <c r="A7" s="9" t="s">
        <v>60</v>
      </c>
      <c r="B7" s="9" t="s">
        <v>29</v>
      </c>
      <c r="C7" s="9" t="s">
        <v>28</v>
      </c>
      <c r="D7" s="9" t="s">
        <v>59</v>
      </c>
      <c r="E7" s="9"/>
      <c r="F7" s="9" t="s">
        <v>14</v>
      </c>
      <c r="G7" s="9" t="s">
        <v>13</v>
      </c>
      <c r="H7" s="14">
        <v>19184.310000000001</v>
      </c>
      <c r="I7" s="9" t="s">
        <v>58</v>
      </c>
      <c r="J7" s="9"/>
      <c r="K7" s="9" t="s">
        <v>57</v>
      </c>
      <c r="L7" s="9"/>
      <c r="M7" s="9"/>
      <c r="N7" s="9"/>
    </row>
    <row r="8" spans="1:14" ht="35.1" customHeight="1" x14ac:dyDescent="0.25">
      <c r="A8" s="9" t="s">
        <v>56</v>
      </c>
      <c r="B8" s="9" t="s">
        <v>32</v>
      </c>
      <c r="C8" s="9" t="s">
        <v>28</v>
      </c>
      <c r="D8" s="9" t="s">
        <v>55</v>
      </c>
      <c r="E8" s="9" t="s">
        <v>54</v>
      </c>
      <c r="F8" s="9" t="s">
        <v>12</v>
      </c>
      <c r="G8" s="9" t="s">
        <v>13</v>
      </c>
      <c r="H8" s="14">
        <v>21103.25</v>
      </c>
      <c r="I8" s="9" t="s">
        <v>53</v>
      </c>
      <c r="J8" s="9"/>
      <c r="K8" s="9" t="s">
        <v>52</v>
      </c>
      <c r="L8" s="9" t="s">
        <v>51</v>
      </c>
      <c r="M8" s="9"/>
      <c r="N8" s="9"/>
    </row>
    <row r="9" spans="1:14" ht="35.1" customHeight="1" x14ac:dyDescent="0.25">
      <c r="A9" s="9" t="s">
        <v>50</v>
      </c>
      <c r="B9" s="9" t="s">
        <v>32</v>
      </c>
      <c r="C9" s="9" t="s">
        <v>28</v>
      </c>
      <c r="D9" s="9" t="s">
        <v>49</v>
      </c>
      <c r="E9" s="9"/>
      <c r="F9" s="9" t="s">
        <v>12</v>
      </c>
      <c r="G9" s="9" t="s">
        <v>13</v>
      </c>
      <c r="H9" s="14">
        <v>10000.129999999999</v>
      </c>
      <c r="I9" s="9" t="s">
        <v>48</v>
      </c>
      <c r="J9" s="9"/>
      <c r="K9" s="9" t="s">
        <v>47</v>
      </c>
      <c r="L9" s="9"/>
      <c r="M9" s="9"/>
      <c r="N9" s="9"/>
    </row>
    <row r="10" spans="1:14" ht="35.1" customHeight="1" x14ac:dyDescent="0.25">
      <c r="A10" s="9" t="s">
        <v>46</v>
      </c>
      <c r="B10" s="9" t="s">
        <v>32</v>
      </c>
      <c r="C10" s="9" t="s">
        <v>45</v>
      </c>
      <c r="D10" s="9" t="s">
        <v>44</v>
      </c>
      <c r="E10" s="9"/>
      <c r="F10" s="9" t="s">
        <v>21</v>
      </c>
      <c r="G10" s="9" t="s">
        <v>11</v>
      </c>
      <c r="H10" s="14">
        <v>28309.21</v>
      </c>
      <c r="I10" s="9" t="s">
        <v>43</v>
      </c>
      <c r="J10" s="9"/>
      <c r="K10" s="9" t="s">
        <v>42</v>
      </c>
      <c r="L10" s="9"/>
      <c r="M10" s="9"/>
      <c r="N10" s="9"/>
    </row>
    <row r="11" spans="1:14" ht="35.1" customHeight="1" x14ac:dyDescent="0.25">
      <c r="A11" s="9" t="s">
        <v>41</v>
      </c>
      <c r="B11" s="9" t="s">
        <v>29</v>
      </c>
      <c r="C11" s="9" t="s">
        <v>28</v>
      </c>
      <c r="D11" s="9" t="s">
        <v>40</v>
      </c>
      <c r="E11" s="9"/>
      <c r="F11" s="9" t="s">
        <v>17</v>
      </c>
      <c r="G11" s="9" t="s">
        <v>11</v>
      </c>
      <c r="H11" s="14">
        <v>32373.75</v>
      </c>
      <c r="I11" s="9" t="s">
        <v>39</v>
      </c>
      <c r="J11" s="9"/>
      <c r="K11" s="9" t="s">
        <v>38</v>
      </c>
      <c r="L11" s="9"/>
      <c r="M11" s="9"/>
      <c r="N11" s="9"/>
    </row>
    <row r="12" spans="1:14" ht="35.1" customHeight="1" x14ac:dyDescent="0.25">
      <c r="A12" s="9" t="s">
        <v>37</v>
      </c>
      <c r="B12" s="9" t="s">
        <v>29</v>
      </c>
      <c r="C12" s="9" t="s">
        <v>28</v>
      </c>
      <c r="D12" s="9" t="s">
        <v>36</v>
      </c>
      <c r="E12" s="9"/>
      <c r="F12" s="9" t="s">
        <v>17</v>
      </c>
      <c r="G12" s="9" t="s">
        <v>11</v>
      </c>
      <c r="H12" s="14">
        <v>44656.25</v>
      </c>
      <c r="I12" s="9" t="s">
        <v>35</v>
      </c>
      <c r="J12" s="9"/>
      <c r="K12" s="9" t="s">
        <v>34</v>
      </c>
      <c r="L12" s="9"/>
      <c r="M12" s="9"/>
      <c r="N12" s="9"/>
    </row>
    <row r="13" spans="1:14" ht="35.1" customHeight="1" x14ac:dyDescent="0.25">
      <c r="A13" s="9" t="s">
        <v>33</v>
      </c>
      <c r="B13" s="9" t="s">
        <v>32</v>
      </c>
      <c r="C13" s="9" t="s">
        <v>28</v>
      </c>
      <c r="D13" s="9" t="s">
        <v>31</v>
      </c>
      <c r="E13" s="9"/>
      <c r="F13" s="9" t="s">
        <v>19</v>
      </c>
      <c r="G13" s="9" t="s">
        <v>11</v>
      </c>
      <c r="H13" s="14">
        <v>26460.9</v>
      </c>
      <c r="I13" s="9"/>
      <c r="J13" s="9"/>
      <c r="K13" s="9" t="s">
        <v>30</v>
      </c>
      <c r="L13" s="9"/>
      <c r="M13" s="9"/>
      <c r="N13" s="9"/>
    </row>
    <row r="14" spans="1:14" ht="35.1" customHeight="1" x14ac:dyDescent="0.25">
      <c r="A14" s="9">
        <v>151190643</v>
      </c>
      <c r="B14" s="9" t="s">
        <v>29</v>
      </c>
      <c r="C14" s="9" t="s">
        <v>28</v>
      </c>
      <c r="D14" s="9" t="s">
        <v>27</v>
      </c>
      <c r="E14" s="9"/>
      <c r="F14" s="9" t="s">
        <v>10</v>
      </c>
      <c r="G14" s="9" t="s">
        <v>11</v>
      </c>
      <c r="H14" s="14">
        <v>41587.550000000003</v>
      </c>
      <c r="I14" s="9" t="s">
        <v>26</v>
      </c>
      <c r="J14" s="9"/>
      <c r="K14" s="9" t="s">
        <v>25</v>
      </c>
      <c r="L14" s="9"/>
      <c r="M14" s="9"/>
      <c r="N14" s="9"/>
    </row>
    <row r="15" spans="1:14" ht="35.1" customHeight="1" x14ac:dyDescent="0.25">
      <c r="A15" s="15"/>
      <c r="B15" s="15"/>
      <c r="C15" s="15"/>
      <c r="D15" s="15" t="s">
        <v>24</v>
      </c>
      <c r="E15" s="15"/>
      <c r="F15" s="15"/>
      <c r="G15" s="15"/>
      <c r="H15" s="16">
        <f>SUM(H4:H14)</f>
        <v>286654.21000000002</v>
      </c>
      <c r="I15" s="15"/>
      <c r="J15" s="15"/>
      <c r="K15" s="15"/>
      <c r="L15" s="15"/>
      <c r="M15" s="15"/>
      <c r="N15" s="9"/>
    </row>
    <row r="16" spans="1:14" ht="35.1" customHeight="1" x14ac:dyDescent="0.25"/>
    <row r="17" s="8" customFormat="1" ht="35.1" customHeight="1" x14ac:dyDescent="0.25"/>
    <row r="18" s="8" customFormat="1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529E-D3A9-4B73-923B-51EF454CAF37}">
  <sheetPr>
    <pageSetUpPr fitToPage="1"/>
  </sheetPr>
  <dimension ref="A1:E28"/>
  <sheetViews>
    <sheetView workbookViewId="0">
      <pane ySplit="3" topLeftCell="A4" activePane="bottomLeft" state="frozen"/>
      <selection pane="bottomLeft" activeCell="E28" sqref="A1:E2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" style="8" bestFit="1" customWidth="1"/>
    <col min="4" max="4" width="18.7109375" style="8" bestFit="1" customWidth="1"/>
    <col min="5" max="5" width="24.1406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45817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92</v>
      </c>
      <c r="E2" s="12"/>
    </row>
    <row r="3" spans="1:5" x14ac:dyDescent="0.25">
      <c r="A3" s="9" t="s">
        <v>86</v>
      </c>
      <c r="B3" s="9" t="s">
        <v>84</v>
      </c>
      <c r="C3" s="9" t="s">
        <v>83</v>
      </c>
      <c r="D3" s="9" t="s">
        <v>82</v>
      </c>
      <c r="E3" s="9" t="s">
        <v>4</v>
      </c>
    </row>
    <row r="4" spans="1:5" x14ac:dyDescent="0.25">
      <c r="A4" s="9" t="s">
        <v>46</v>
      </c>
      <c r="B4" s="9" t="s">
        <v>45</v>
      </c>
      <c r="C4" s="9" t="s">
        <v>44</v>
      </c>
      <c r="D4" s="9"/>
      <c r="E4" s="9" t="s">
        <v>21</v>
      </c>
    </row>
    <row r="5" spans="1:5" x14ac:dyDescent="0.25">
      <c r="A5" s="15"/>
      <c r="B5" s="15"/>
      <c r="C5" s="15" t="s">
        <v>91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90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89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88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</sheetData>
  <mergeCells count="2">
    <mergeCell ref="A2:C2"/>
    <mergeCell ref="D2:E2"/>
  </mergeCells>
  <pageMargins left="0.7" right="0.7" top="0.75" bottom="0.75" header="0.3" footer="0.3"/>
  <pageSetup scale="8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2025-06-09T18:30:28Z</cp:lastPrinted>
  <dcterms:created xsi:type="dcterms:W3CDTF">2025-06-09T18:14:25Z</dcterms:created>
  <dcterms:modified xsi:type="dcterms:W3CDTF">2025-06-09T18:38:21Z</dcterms:modified>
</cp:coreProperties>
</file>