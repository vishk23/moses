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9C770690-ECAA-4259-A99C-0B1E84F847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H19" i="1"/>
  <c r="E19" i="1"/>
  <c r="D19" i="1"/>
  <c r="C19" i="1"/>
</calcChain>
</file>

<file path=xl/sharedStrings.xml><?xml version="1.0" encoding="utf-8"?>
<sst xmlns="http://schemas.openxmlformats.org/spreadsheetml/2006/main" count="135" uniqueCount="82">
  <si>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</si>
  <si>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</si>
  <si>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</si>
  <si>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</si>
  <si>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</si>
  <si>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</si>
  <si>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</si>
  <si>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</si>
  <si>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</si>
  <si>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</si>
  <si>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Battles Nissan, LLC</t>
  </si>
  <si>
    <t>Marlene Braganca</t>
  </si>
  <si>
    <t>First Hyundai</t>
  </si>
  <si>
    <t>Neli Oliveira</t>
  </si>
  <si>
    <t>Frank Battles Inc</t>
  </si>
  <si>
    <t>Rachel Gorham</t>
  </si>
  <si>
    <t>Langway Toyota of Newport</t>
  </si>
  <si>
    <t>Milford Nissan Corp</t>
  </si>
  <si>
    <t>Patriot Auto Group Inc d/b/a</t>
  </si>
  <si>
    <t>Planet Automotive Sales LLC</t>
  </si>
  <si>
    <t>Planet Subaru</t>
  </si>
  <si>
    <t>Column1</t>
  </si>
  <si>
    <t>Column2</t>
  </si>
  <si>
    <t>2330    8209</t>
  </si>
  <si>
    <t># 8</t>
  </si>
  <si>
    <t>COGGINS</t>
  </si>
  <si>
    <t>DROPER0102@YAHOO.COM</t>
  </si>
  <si>
    <t>ROPER, DIANE</t>
  </si>
  <si>
    <t>Paper</t>
  </si>
  <si>
    <t>DealerTrack</t>
  </si>
  <si>
    <t>151244797</t>
  </si>
  <si>
    <t>LEEPER</t>
  </si>
  <si>
    <t>MLP8497@HOTMAIL.COM</t>
  </si>
  <si>
    <t>MAURICIO, MARISSA</t>
  </si>
  <si>
    <t>RODERICK</t>
  </si>
  <si>
    <t>DONNELLY</t>
  </si>
  <si>
    <t>NICOLE.GEORGES26@GMAIL.COM</t>
  </si>
  <si>
    <t>CAVALLARO, KYLE</t>
  </si>
  <si>
    <t>GEORGES, NICOLE</t>
  </si>
  <si>
    <t>E Contract</t>
  </si>
  <si>
    <t>Route One</t>
  </si>
  <si>
    <t>151244771E</t>
  </si>
  <si>
    <t>TZIKAS</t>
  </si>
  <si>
    <t>MKARDAMIS@GMAIL.COM</t>
  </si>
  <si>
    <t>KARDAMIS, ANASTASIA</t>
  </si>
  <si>
    <t>151244755E</t>
  </si>
  <si>
    <t>CLAIRE</t>
  </si>
  <si>
    <t>MOLLY226@GMAIL.COM</t>
  </si>
  <si>
    <t>MITCHELL, KATHLEEN</t>
  </si>
  <si>
    <t>151244648E</t>
  </si>
  <si>
    <t>FLYNN</t>
  </si>
  <si>
    <t>NITZ</t>
  </si>
  <si>
    <t>JAMESFITZGERALD51@GMAIL.COM</t>
  </si>
  <si>
    <t>allieqa2@gmail.com</t>
  </si>
  <si>
    <t>FITZGERALD, JAMES</t>
  </si>
  <si>
    <t>KOSKI, MARTIN</t>
  </si>
  <si>
    <t>151244614E</t>
  </si>
  <si>
    <t>Galli</t>
  </si>
  <si>
    <t>BENJAMINBALZARINI@GMAIL.COM</t>
  </si>
  <si>
    <t>BALZARINI, BENJAMIN</t>
  </si>
  <si>
    <t>151244581E</t>
  </si>
  <si>
    <t>SARRAZIN</t>
  </si>
  <si>
    <t>EMILYPION4213@OUTLOOK.COM</t>
  </si>
  <si>
    <t>PION, EMILY</t>
  </si>
  <si>
    <t>151244408E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</si>
  <si>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</si>
  <si>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</si>
  <si>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</si>
  <si>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</si>
  <si>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</si>
  <si>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</si>
  <si>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</si>
  <si>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</si>
  <si>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</si>
  <si>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</si>
  <si>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</si>
  <si>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</t>
  </si>
  <si>
    <t>Received By____________________________________________________</t>
  </si>
  <si>
    <t>Delivered By____________________________________________________</t>
  </si>
  <si>
    <t># 2</t>
  </si>
  <si>
    <t>151244789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</si>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</sst>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2" fillId="0" borderId="0" xfId="1" applyFill="1" applyAlignment="1">
      <alignment horizontal="left"/>
    </xf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C422447A-A621-4358-A1B5-339A88212394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9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60292A2F-95BB-4D66-9147-6BE5501B1930}" name="Column1" dataDxfId="24"/>
    <tableColumn id="8" xr3:uid="{1EBAD525-FB2F-43EC-A784-75F2EC1DE004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F42142-0AC9-4782-B5F9-C373B8A2DF8B}" name="Table_13" displayName="Table_13" ref="A3:L12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494D77-09B6-4145-B12A-EAE268D18BEC}" name="Table_14" displayName="Table_14" ref="A3:E6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tabSelected="1" workbookViewId="0">
      <pane ySplit="3" topLeftCell="A4" activePane="bottomLeft" state="frozen"/>
      <selection pane="bottomLeft" activeCell="F30" sqref="F30"/>
    </sheetView>
  </sheetViews>
  <sheetFormatPr defaultRowHeight="15" x14ac:dyDescent="0.25"/>
  <cols>
    <col min="1" max="1" width="27.28515625" bestFit="1" customWidth="1"/>
    <col min="2" max="2" width="17.7109375" bestFit="1" customWidth="1"/>
    <col min="3" max="3" width="11.140625" bestFit="1" customWidth="1"/>
    <col min="4" max="4" width="18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45968</v>
      </c>
      <c r="E1" t="s">
        <v>2</v>
      </c>
      <c r="H1" s="4">
        <v>45968.999988425923</v>
      </c>
    </row>
    <row r="2" spans="1:8" x14ac:dyDescent="0.25">
      <c r="A2" s="12" t="s">
        <v>0</v>
      </c>
      <c r="B2" s="13"/>
      <c r="C2" s="13"/>
      <c r="D2" s="14" t="s">
        <v>1</v>
      </c>
      <c r="E2" s="13"/>
      <c r="F2" s="13"/>
      <c r="G2" s="13"/>
      <c r="H2" s="13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21</v>
      </c>
      <c r="G3" t="s">
        <v>22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24348.84</v>
      </c>
      <c r="F4" s="2"/>
      <c r="G4" s="2"/>
      <c r="H4" s="2">
        <v>24423.84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750</v>
      </c>
      <c r="D6" s="2">
        <v>0</v>
      </c>
      <c r="E6" s="2">
        <v>24971.93</v>
      </c>
      <c r="F6" s="2"/>
      <c r="G6" s="2" t="s">
        <v>23</v>
      </c>
      <c r="H6" s="2">
        <v>25046.93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15</v>
      </c>
      <c r="C8" s="2">
        <v>500</v>
      </c>
      <c r="D8" s="2">
        <v>0</v>
      </c>
      <c r="E8" s="2">
        <v>15563.99</v>
      </c>
      <c r="F8" s="2"/>
      <c r="G8" s="2"/>
      <c r="H8" s="2">
        <v>15638.99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16</v>
      </c>
      <c r="B10" t="s">
        <v>15</v>
      </c>
      <c r="C10" s="2">
        <v>1350</v>
      </c>
      <c r="D10" s="2">
        <v>0</v>
      </c>
      <c r="E10" s="2">
        <v>65757.22</v>
      </c>
      <c r="F10" s="2"/>
      <c r="G10" s="2"/>
      <c r="H10" s="2">
        <v>65832.22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17</v>
      </c>
      <c r="B12" t="s">
        <v>15</v>
      </c>
      <c r="C12" s="2">
        <v>950</v>
      </c>
      <c r="D12" s="2">
        <v>0</v>
      </c>
      <c r="E12" s="2">
        <v>35200.559999999998</v>
      </c>
      <c r="F12" s="2"/>
      <c r="G12" s="2"/>
      <c r="H12" s="2">
        <v>35275.56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18</v>
      </c>
      <c r="B14" t="s">
        <v>13</v>
      </c>
      <c r="C14" s="2">
        <v>750</v>
      </c>
      <c r="D14" s="2">
        <v>0</v>
      </c>
      <c r="E14" s="2">
        <v>26930.19</v>
      </c>
      <c r="F14" s="2"/>
      <c r="G14" s="2"/>
      <c r="H14" s="2">
        <v>27005.19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19</v>
      </c>
      <c r="B16" t="s">
        <v>15</v>
      </c>
      <c r="C16" s="2">
        <v>300</v>
      </c>
      <c r="D16" s="2">
        <v>0</v>
      </c>
      <c r="E16" s="2">
        <v>11531.44</v>
      </c>
      <c r="F16" s="2"/>
      <c r="G16" s="2"/>
      <c r="H16" s="2">
        <v>11606.44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20</v>
      </c>
      <c r="B18" t="s">
        <v>13</v>
      </c>
      <c r="C18" s="2">
        <v>300</v>
      </c>
      <c r="D18" s="2">
        <v>0</v>
      </c>
      <c r="E18" s="2">
        <v>12870.75</v>
      </c>
      <c r="F18" s="2"/>
      <c r="G18" s="2"/>
      <c r="H18" s="2">
        <v>12945.75</v>
      </c>
    </row>
    <row r="19" spans="1:8" x14ac:dyDescent="0.25">
      <c r="A19" s="1"/>
      <c r="B19" s="1"/>
      <c r="C19" s="3">
        <f>SUM(C4:C18)</f>
        <v>5550</v>
      </c>
      <c r="D19" s="3">
        <f>SUM(D4:D18)</f>
        <v>0</v>
      </c>
      <c r="E19" s="3">
        <f>SUM(E4:E18)</f>
        <v>217174.92</v>
      </c>
      <c r="F19" s="3"/>
      <c r="G19" s="3"/>
      <c r="H19" s="3">
        <f>SUM(H4:H18)</f>
        <v>217774.92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F0F4-CB90-4E2E-B37F-D52D60BBFFCA}">
  <sheetPr>
    <pageSetUpPr fitToPage="1"/>
  </sheetPr>
  <dimension ref="A1:M17"/>
  <sheetViews>
    <sheetView workbookViewId="0">
      <pane ySplit="3" topLeftCell="A4" activePane="bottomLeft" state="frozen"/>
      <selection pane="bottomLeft" activeCell="A4" sqref="A4:A11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2.28515625" style="5" bestFit="1" customWidth="1"/>
    <col min="5" max="5" width="19.42578125" style="5" bestFit="1" customWidth="1"/>
    <col min="6" max="6" width="27.28515625" style="5" bestFit="1" customWidth="1"/>
    <col min="7" max="7" width="17.7109375" style="5" bestFit="1" customWidth="1"/>
    <col min="8" max="8" width="17.140625" style="5" bestFit="1" customWidth="1"/>
    <col min="9" max="9" width="32.42578125" style="5" bestFit="1" customWidth="1"/>
    <col min="10" max="10" width="33.140625" style="5" bestFit="1" customWidth="1"/>
    <col min="11" max="11" width="18.140625" style="5" bestFit="1" customWidth="1"/>
    <col min="12" max="12" width="12.85546875" style="5" bestFit="1" customWidth="1"/>
    <col min="13" max="16384" width="9.140625" style="5"/>
  </cols>
  <sheetData>
    <row r="1" spans="1:13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45968</v>
      </c>
      <c r="L1" s="6" t="s">
        <v>2</v>
      </c>
      <c r="M1" s="6"/>
    </row>
    <row r="2" spans="1:13" ht="35.1" customHeight="1" x14ac:dyDescent="0.25">
      <c r="A2" s="15" t="s">
        <v>0</v>
      </c>
      <c r="B2" s="16"/>
      <c r="C2" s="16"/>
      <c r="D2" s="16"/>
      <c r="E2" s="16"/>
      <c r="F2" s="16"/>
      <c r="G2" s="17" t="s">
        <v>75</v>
      </c>
      <c r="H2" s="16"/>
      <c r="I2" s="16"/>
      <c r="J2" s="16"/>
      <c r="K2" s="16"/>
      <c r="L2" s="16"/>
      <c r="M2" s="6"/>
    </row>
    <row r="3" spans="1:13" ht="35.1" customHeight="1" x14ac:dyDescent="0.25">
      <c r="A3" s="6" t="s">
        <v>74</v>
      </c>
      <c r="B3" s="6" t="s">
        <v>73</v>
      </c>
      <c r="C3" s="6" t="s">
        <v>72</v>
      </c>
      <c r="D3" s="6" t="s">
        <v>71</v>
      </c>
      <c r="E3" s="6" t="s">
        <v>70</v>
      </c>
      <c r="F3" s="6" t="s">
        <v>4</v>
      </c>
      <c r="G3" s="6" t="s">
        <v>5</v>
      </c>
      <c r="H3" s="6" t="s">
        <v>69</v>
      </c>
      <c r="I3" s="6" t="s">
        <v>68</v>
      </c>
      <c r="J3" s="6" t="s">
        <v>67</v>
      </c>
      <c r="K3" s="6" t="s">
        <v>66</v>
      </c>
      <c r="L3" s="6" t="s">
        <v>65</v>
      </c>
      <c r="M3" s="6"/>
    </row>
    <row r="4" spans="1:13" ht="35.1" customHeight="1" x14ac:dyDescent="0.25">
      <c r="A4" s="6" t="s">
        <v>64</v>
      </c>
      <c r="B4" s="6" t="s">
        <v>29</v>
      </c>
      <c r="C4" s="6" t="s">
        <v>39</v>
      </c>
      <c r="D4" s="6" t="s">
        <v>63</v>
      </c>
      <c r="E4" s="6"/>
      <c r="F4" s="6" t="s">
        <v>12</v>
      </c>
      <c r="G4" s="6" t="s">
        <v>13</v>
      </c>
      <c r="H4" s="8">
        <v>25046.93</v>
      </c>
      <c r="I4" s="6" t="s">
        <v>62</v>
      </c>
      <c r="J4" s="6"/>
      <c r="K4" s="6" t="s">
        <v>61</v>
      </c>
      <c r="L4" s="6"/>
      <c r="M4" s="6"/>
    </row>
    <row r="5" spans="1:13" ht="35.1" customHeight="1" x14ac:dyDescent="0.25">
      <c r="A5" s="6" t="s">
        <v>60</v>
      </c>
      <c r="B5" s="6" t="s">
        <v>29</v>
      </c>
      <c r="C5" s="6" t="s">
        <v>39</v>
      </c>
      <c r="D5" s="6" t="s">
        <v>59</v>
      </c>
      <c r="E5" s="6"/>
      <c r="F5" s="6" t="s">
        <v>10</v>
      </c>
      <c r="G5" s="6" t="s">
        <v>11</v>
      </c>
      <c r="H5" s="8">
        <v>24423.84</v>
      </c>
      <c r="I5" s="6" t="s">
        <v>58</v>
      </c>
      <c r="J5" s="6"/>
      <c r="K5" s="6" t="s">
        <v>57</v>
      </c>
      <c r="L5" s="6"/>
      <c r="M5" s="6"/>
    </row>
    <row r="6" spans="1:13" ht="35.1" customHeight="1" x14ac:dyDescent="0.25">
      <c r="A6" s="6" t="s">
        <v>56</v>
      </c>
      <c r="B6" s="6" t="s">
        <v>40</v>
      </c>
      <c r="C6" s="6" t="s">
        <v>39</v>
      </c>
      <c r="D6" s="6" t="s">
        <v>55</v>
      </c>
      <c r="E6" s="6" t="s">
        <v>54</v>
      </c>
      <c r="F6" s="6" t="s">
        <v>18</v>
      </c>
      <c r="G6" s="6" t="s">
        <v>13</v>
      </c>
      <c r="H6" s="8">
        <v>27005.19</v>
      </c>
      <c r="I6" s="6" t="s">
        <v>53</v>
      </c>
      <c r="J6" s="6" t="s">
        <v>52</v>
      </c>
      <c r="K6" s="6" t="s">
        <v>51</v>
      </c>
      <c r="L6" s="6" t="s">
        <v>50</v>
      </c>
      <c r="M6" s="6"/>
    </row>
    <row r="7" spans="1:13" ht="35.1" customHeight="1" x14ac:dyDescent="0.25">
      <c r="A7" s="6" t="s">
        <v>49</v>
      </c>
      <c r="B7" s="6" t="s">
        <v>29</v>
      </c>
      <c r="C7" s="6" t="s">
        <v>39</v>
      </c>
      <c r="D7" s="6" t="s">
        <v>48</v>
      </c>
      <c r="E7" s="6"/>
      <c r="F7" s="6" t="s">
        <v>20</v>
      </c>
      <c r="G7" s="6" t="s">
        <v>13</v>
      </c>
      <c r="H7" s="8">
        <v>12945.75</v>
      </c>
      <c r="I7" s="6" t="s">
        <v>47</v>
      </c>
      <c r="J7" s="6"/>
      <c r="K7" s="6" t="s">
        <v>46</v>
      </c>
      <c r="L7" s="6"/>
      <c r="M7" s="6"/>
    </row>
    <row r="8" spans="1:13" ht="35.1" customHeight="1" x14ac:dyDescent="0.25">
      <c r="A8" s="6" t="s">
        <v>45</v>
      </c>
      <c r="B8" s="6" t="s">
        <v>29</v>
      </c>
      <c r="C8" s="6" t="s">
        <v>39</v>
      </c>
      <c r="D8" s="6" t="s">
        <v>44</v>
      </c>
      <c r="E8" s="6"/>
      <c r="F8" s="6" t="s">
        <v>14</v>
      </c>
      <c r="G8" s="6" t="s">
        <v>15</v>
      </c>
      <c r="H8" s="8">
        <v>15638.99</v>
      </c>
      <c r="I8" s="6" t="s">
        <v>43</v>
      </c>
      <c r="J8" s="6"/>
      <c r="K8" s="6" t="s">
        <v>42</v>
      </c>
      <c r="L8" s="6"/>
      <c r="M8" s="6"/>
    </row>
    <row r="9" spans="1:13" ht="35.1" customHeight="1" x14ac:dyDescent="0.25">
      <c r="A9" s="6" t="s">
        <v>41</v>
      </c>
      <c r="B9" s="6" t="s">
        <v>40</v>
      </c>
      <c r="C9" s="6" t="s">
        <v>39</v>
      </c>
      <c r="D9" s="6" t="s">
        <v>38</v>
      </c>
      <c r="E9" s="6" t="s">
        <v>37</v>
      </c>
      <c r="F9" s="6" t="s">
        <v>16</v>
      </c>
      <c r="G9" s="6" t="s">
        <v>15</v>
      </c>
      <c r="H9" s="8">
        <v>65832.22</v>
      </c>
      <c r="I9" s="6" t="s">
        <v>36</v>
      </c>
      <c r="J9" s="6"/>
      <c r="K9" s="6" t="s">
        <v>35</v>
      </c>
      <c r="L9" s="6" t="s">
        <v>34</v>
      </c>
      <c r="M9" s="6"/>
    </row>
    <row r="10" spans="1:13" ht="35.1" customHeight="1" x14ac:dyDescent="0.25">
      <c r="A10" s="9">
        <v>151244789</v>
      </c>
      <c r="B10" s="6" t="s">
        <v>29</v>
      </c>
      <c r="C10" s="6" t="s">
        <v>28</v>
      </c>
      <c r="D10" s="6" t="s">
        <v>33</v>
      </c>
      <c r="E10" s="6"/>
      <c r="F10" s="6" t="s">
        <v>17</v>
      </c>
      <c r="G10" s="6" t="s">
        <v>15</v>
      </c>
      <c r="H10" s="8">
        <v>35275.56</v>
      </c>
      <c r="I10" s="6" t="s">
        <v>32</v>
      </c>
      <c r="J10" s="6"/>
      <c r="K10" s="6" t="s">
        <v>31</v>
      </c>
      <c r="L10" s="6"/>
      <c r="M10" s="6"/>
    </row>
    <row r="11" spans="1:13" ht="35.1" customHeight="1" x14ac:dyDescent="0.25">
      <c r="A11" s="6" t="s">
        <v>30</v>
      </c>
      <c r="B11" s="6" t="s">
        <v>29</v>
      </c>
      <c r="C11" s="6" t="s">
        <v>28</v>
      </c>
      <c r="D11" s="6" t="s">
        <v>27</v>
      </c>
      <c r="E11" s="6"/>
      <c r="F11" s="6" t="s">
        <v>19</v>
      </c>
      <c r="G11" s="6" t="s">
        <v>15</v>
      </c>
      <c r="H11" s="8">
        <v>11606.44</v>
      </c>
      <c r="I11" s="6" t="s">
        <v>26</v>
      </c>
      <c r="J11" s="6"/>
      <c r="K11" s="6" t="s">
        <v>25</v>
      </c>
      <c r="L11" s="6"/>
      <c r="M11" s="6"/>
    </row>
    <row r="12" spans="1:13" ht="35.1" customHeight="1" x14ac:dyDescent="0.25">
      <c r="A12" s="10"/>
      <c r="B12" s="10"/>
      <c r="C12" s="10"/>
      <c r="D12" s="10" t="s">
        <v>24</v>
      </c>
      <c r="E12" s="10"/>
      <c r="F12" s="10"/>
      <c r="G12" s="10"/>
      <c r="H12" s="11">
        <f>SUM(H4:H11)</f>
        <v>217774.92</v>
      </c>
      <c r="I12" s="10"/>
      <c r="J12" s="10"/>
      <c r="K12" s="10"/>
      <c r="L12" s="10"/>
      <c r="M12" s="6"/>
    </row>
    <row r="13" spans="1:13" ht="35.1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35.1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35.1" customHeight="1" x14ac:dyDescent="0.25"/>
    <row r="16" spans="1:13" ht="35.1" customHeight="1" x14ac:dyDescent="0.25"/>
    <row r="17" s="5" customFormat="1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3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F310-9A48-4D44-8762-F0105176E95C}">
  <sheetPr>
    <pageSetUpPr fitToPage="1"/>
  </sheetPr>
  <dimension ref="A1:G30"/>
  <sheetViews>
    <sheetView workbookViewId="0">
      <pane ySplit="3" topLeftCell="A4" activePane="bottomLeft" state="frozen"/>
      <selection pane="bottomLeft" activeCell="E25" sqref="E25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2.28515625" style="5" bestFit="1" customWidth="1"/>
    <col min="4" max="4" width="19.42578125" style="5" bestFit="1" customWidth="1"/>
    <col min="5" max="5" width="27.28515625" style="5" bestFit="1" customWidth="1"/>
    <col min="6" max="16384" width="9.140625" style="5"/>
  </cols>
  <sheetData>
    <row r="1" spans="1:7" x14ac:dyDescent="0.25">
      <c r="A1" s="6"/>
      <c r="B1" s="6"/>
      <c r="C1" s="6" t="s">
        <v>3</v>
      </c>
      <c r="D1" s="7">
        <v>45968</v>
      </c>
      <c r="E1" s="6" t="s">
        <v>2</v>
      </c>
      <c r="F1" s="6"/>
      <c r="G1" s="6"/>
    </row>
    <row r="2" spans="1:7" x14ac:dyDescent="0.25">
      <c r="A2" s="15" t="s">
        <v>0</v>
      </c>
      <c r="B2" s="16"/>
      <c r="C2" s="16"/>
      <c r="D2" s="17" t="s">
        <v>81</v>
      </c>
      <c r="E2" s="16"/>
      <c r="F2" s="6"/>
      <c r="G2" s="6"/>
    </row>
    <row r="3" spans="1:7" x14ac:dyDescent="0.25">
      <c r="A3" s="6" t="s">
        <v>74</v>
      </c>
      <c r="B3" s="6" t="s">
        <v>72</v>
      </c>
      <c r="C3" s="6" t="s">
        <v>71</v>
      </c>
      <c r="D3" s="6" t="s">
        <v>70</v>
      </c>
      <c r="E3" s="6" t="s">
        <v>4</v>
      </c>
      <c r="F3" s="6"/>
      <c r="G3" s="6"/>
    </row>
    <row r="4" spans="1:7" x14ac:dyDescent="0.25">
      <c r="A4" s="6" t="s">
        <v>80</v>
      </c>
      <c r="B4" s="6" t="s">
        <v>28</v>
      </c>
      <c r="C4" s="6" t="s">
        <v>33</v>
      </c>
      <c r="D4" s="6"/>
      <c r="E4" s="6" t="s">
        <v>17</v>
      </c>
      <c r="F4" s="6"/>
      <c r="G4" s="6"/>
    </row>
    <row r="5" spans="1:7" x14ac:dyDescent="0.25">
      <c r="A5" s="6" t="s">
        <v>30</v>
      </c>
      <c r="B5" s="6" t="s">
        <v>28</v>
      </c>
      <c r="C5" s="6" t="s">
        <v>27</v>
      </c>
      <c r="D5" s="6"/>
      <c r="E5" s="6" t="s">
        <v>19</v>
      </c>
      <c r="F5" s="6"/>
      <c r="G5" s="6"/>
    </row>
    <row r="6" spans="1:7" x14ac:dyDescent="0.25">
      <c r="A6" s="10"/>
      <c r="B6" s="10"/>
      <c r="C6" s="10" t="s">
        <v>79</v>
      </c>
      <c r="D6" s="10"/>
      <c r="E6" s="10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 t="s">
        <v>78</v>
      </c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 t="s">
        <v>77</v>
      </c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 t="s">
        <v>76</v>
      </c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6"/>
      <c r="B22" s="6"/>
      <c r="C22" s="6"/>
      <c r="D22" s="6"/>
      <c r="E22" s="6"/>
      <c r="F22" s="6"/>
      <c r="G22" s="6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6"/>
      <c r="F25" s="6"/>
      <c r="G25" s="6"/>
    </row>
    <row r="26" spans="1:7" x14ac:dyDescent="0.25">
      <c r="A26" s="6"/>
      <c r="B26" s="6"/>
      <c r="C26" s="6"/>
      <c r="D26" s="6"/>
      <c r="E26" s="6"/>
      <c r="F26" s="6"/>
      <c r="G26" s="6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6"/>
      <c r="B28" s="6"/>
      <c r="C28" s="6"/>
      <c r="D28" s="6"/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x14ac:dyDescent="0.25">
      <c r="A30" s="6"/>
      <c r="B30" s="6"/>
      <c r="C30" s="6"/>
      <c r="D30" s="6"/>
      <c r="E30" s="6"/>
      <c r="F30" s="6"/>
      <c r="G30" s="6"/>
    </row>
  </sheetData>
  <mergeCells count="2">
    <mergeCell ref="A2:C2"/>
    <mergeCell ref="D2:E2"/>
  </mergeCells>
  <pageMargins left="0.7" right="0.7" top="0.75" bottom="0.75" header="0.3" footer="0.3"/>
  <pageSetup scale="9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2025-11-07T19:24:22Z</cp:lastPrinted>
  <dcterms:created xsi:type="dcterms:W3CDTF">2025-11-07T19:12:33Z</dcterms:created>
  <dcterms:modified xsi:type="dcterms:W3CDTF">2025-11-07T19:28:33Z</dcterms:modified>
</cp:coreProperties>
</file>