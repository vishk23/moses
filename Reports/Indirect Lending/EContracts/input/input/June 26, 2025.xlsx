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2E9733D-7B24-42B4-BD64-C575E3A0051D}" xr6:coauthVersionLast="47" xr6:coauthVersionMax="47" xr10:uidLastSave="{00000000-0000-0000-0000-000000000000}"/>
  <bookViews>
    <workbookView xWindow="33990" yWindow="330" windowWidth="22470" windowHeight="156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F28" i="2"/>
  <c r="E28" i="2"/>
  <c r="D28" i="2"/>
  <c r="H16" i="1"/>
</calcChain>
</file>

<file path=xl/sharedStrings.xml><?xml version="1.0" encoding="utf-8"?>
<sst xmlns="http://schemas.openxmlformats.org/spreadsheetml/2006/main" count="168" uniqueCount="95">
  <si>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</si>
  <si>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</si>
  <si>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</si>
  <si>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</si>
  <si>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</si>
  <si>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</si>
  <si>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</si>
  <si>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</si>
  <si>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</si>
  <si>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</si>
  <si>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</si>
  <si>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</si>
  <si>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</si>
  <si>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151196526</t>
  </si>
  <si>
    <t>DealerTrack</t>
  </si>
  <si>
    <t>Paper</t>
  </si>
  <si>
    <t>LAMALFA, PAUL</t>
  </si>
  <si>
    <t>NARSA AMC LLC d/b/a</t>
  </si>
  <si>
    <t>Neli Oliveira</t>
  </si>
  <si>
    <t>PAULLAMALFA12@GMAIL.COM</t>
  </si>
  <si>
    <t>LISANKI</t>
  </si>
  <si>
    <t>Route One</t>
  </si>
  <si>
    <t>E Contract</t>
  </si>
  <si>
    <t>ORLANDI, JOSHUA</t>
  </si>
  <si>
    <t>Tasca Ford</t>
  </si>
  <si>
    <t>JOPLUMBINGRI@GMAIL.COM</t>
  </si>
  <si>
    <t>GUALDIERI</t>
  </si>
  <si>
    <t>BOYD, JAMES</t>
  </si>
  <si>
    <t>Mastria Mazda</t>
  </si>
  <si>
    <t>JAMESBOYD591@GMAIL.COM</t>
  </si>
  <si>
    <t>STASHEWSKY</t>
  </si>
  <si>
    <t>BATISTA, GUSTAVO LUIZ ROSA</t>
  </si>
  <si>
    <t>Robertson's GMC Truck, Inc</t>
  </si>
  <si>
    <t>RIGHTANGLEMV@GMAIL.COM</t>
  </si>
  <si>
    <t>ROSA</t>
  </si>
  <si>
    <t>151196633</t>
  </si>
  <si>
    <t>FARIA, SHERYL</t>
  </si>
  <si>
    <t>RAH FALL RIVER VW, LLC</t>
  </si>
  <si>
    <t>SFARIA3@COX.NET</t>
  </si>
  <si>
    <t>LENART</t>
  </si>
  <si>
    <t>Zawalick, Patricia</t>
  </si>
  <si>
    <t>Mathieu Ford Sales, Inc</t>
  </si>
  <si>
    <t>patzawalick@comcast.net</t>
  </si>
  <si>
    <t>PATTERSON</t>
  </si>
  <si>
    <t>151196675</t>
  </si>
  <si>
    <t>MEEKINS, QUENTIN</t>
  </si>
  <si>
    <t>Planet Automotive Sales LLC</t>
  </si>
  <si>
    <t>Qmeekins@yahoo.com</t>
  </si>
  <si>
    <t>HALL</t>
  </si>
  <si>
    <t>BOAZ, DAVID</t>
  </si>
  <si>
    <t>Bailey's Motor Sales Inc</t>
  </si>
  <si>
    <t>Rachel Gorham</t>
  </si>
  <si>
    <t>DACV01@GMAIL.COM</t>
  </si>
  <si>
    <t>CARDINALE</t>
  </si>
  <si>
    <t>NOTARIANNI, KAYLA</t>
  </si>
  <si>
    <t>Grieco Toyota</t>
  </si>
  <si>
    <t>NASSIFF</t>
  </si>
  <si>
    <t>HASSENFELD, NOAM</t>
  </si>
  <si>
    <t>Patriot Auto Group Inc d/b/a</t>
  </si>
  <si>
    <t>HASS523@GMAIL.COM</t>
  </si>
  <si>
    <t>BLUM</t>
  </si>
  <si>
    <t>LEE, JOHN</t>
  </si>
  <si>
    <t>Planet Subaru</t>
  </si>
  <si>
    <t>WHATABOUTJOHNLEE@HOTMAIL.COM</t>
  </si>
  <si>
    <t>KU</t>
  </si>
  <si>
    <t>SIMULA, RAYMOND</t>
  </si>
  <si>
    <t>Salvadore Chrysler</t>
  </si>
  <si>
    <t>rsimula57@gmail.com</t>
  </si>
  <si>
    <t>LAROCAGE</t>
  </si>
  <si>
    <t># 12</t>
  </si>
  <si>
    <t>151196568 E</t>
  </si>
  <si>
    <t>151196584 E</t>
  </si>
  <si>
    <t>151196592 E</t>
  </si>
  <si>
    <t>151196659 E</t>
  </si>
  <si>
    <t>151196724 E</t>
  </si>
  <si>
    <t>151196732 E</t>
  </si>
  <si>
    <t>151196815 E</t>
  </si>
  <si>
    <t>151196823 E</t>
  </si>
  <si>
    <t>151196849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</si>
  <si>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</si>
  <si>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</si>
  <si>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</si>
  <si>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</si>
  <si>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</si>
  <si>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</si>
  <si>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</si>
  <si>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</si>
  <si>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3</t>
  </si>
  <si>
    <t>Original Notes Delivered</t>
  </si>
  <si>
    <t>Delivered by:</t>
  </si>
  <si>
    <t>Received by:</t>
  </si>
  <si>
    <t>Signed Date:</t>
  </si>
  <si>
    <t>honda-Patriot Auto Group Inc d/b/a</t>
  </si>
  <si>
    <t>Auto Mall-NARSA AMC LLC d/b/a</t>
  </si>
  <si>
    <t>5900-6390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</si>
</sst>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14" fontId="0" fillId="0" borderId="0" xfId="0" applyNumberFormat="1"/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6" headerRowDxfId="13" dataDxfId="11" totalsRowDxfId="12">
  <tableColumns count="11">
    <tableColumn id="1" xr3:uid="{00000000-0010-0000-0000-000001000000}" name="Account Number" dataDxfId="24"/>
    <tableColumn id="2" xr3:uid="{00000000-0010-0000-0000-000002000000}" name="Portal" dataDxfId="23"/>
    <tableColumn id="3" xr3:uid="{00000000-0010-0000-0000-000003000000}" name="Contract Type" dataDxfId="22"/>
    <tableColumn id="4" xr3:uid="{00000000-0010-0000-0000-000004000000}" name="Applicant Name" dataDxfId="21"/>
    <tableColumn id="5" xr3:uid="{00000000-0010-0000-0000-000005000000}" name="Co-Applicant Name" dataDxfId="20"/>
    <tableColumn id="6" xr3:uid="{00000000-0010-0000-0000-000006000000}" name="Dealer Name" dataDxfId="19"/>
    <tableColumn id="7" xr3:uid="{00000000-0010-0000-0000-000007000000}" name="Funded by" dataDxfId="18"/>
    <tableColumn id="8" xr3:uid="{00000000-0010-0000-0000-000008000000}" name="Amount Financed" dataDxfId="17"/>
    <tableColumn id="9" xr3:uid="{00000000-0010-0000-0000-000009000000}" name="Applicant Email" dataDxfId="16"/>
    <tableColumn id="10" xr3:uid="{00000000-0010-0000-0000-00000A000000}" name="Co-Applicant Email" dataDxfId="15"/>
    <tableColumn id="11" xr3:uid="{00000000-0010-0000-0000-00000B000000}" name="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4586B-BA19-4807-8801-5F0DBB05105C}" name="Table_14" displayName="Table_14" ref="A3:H28" headerRowDxfId="2" dataDxfId="0" totalsRowDxfId="1">
  <sortState xmlns:xlrd2="http://schemas.microsoft.com/office/spreadsheetml/2017/richdata2" ref="A4:H28">
    <sortCondition ref="A4:A28"/>
  </sortState>
  <tableColumns count="8">
    <tableColumn id="1" xr3:uid="{6E7F773A-F3D1-4A9F-A6C7-B8581CFAA6EC}" name="Dealer Name" dataDxfId="10"/>
    <tableColumn id="7" xr3:uid="{8B3D0A5D-0674-4581-A20E-439F4CB5C84B}" name="Column1" dataDxfId="9"/>
    <tableColumn id="2" xr3:uid="{45679CB1-0BE6-48E6-97D1-32977975717A}" name="Funded by" dataDxfId="8"/>
    <tableColumn id="3" xr3:uid="{460CEDAA-4AA8-45EA-88EF-E233A25D5829}" name="Dealer Flat" dataDxfId="7"/>
    <tableColumn id="4" xr3:uid="{D399DDD3-9533-45B1-BF91-710527D28C48}" name="Dealer Split" dataDxfId="6"/>
    <tableColumn id="5" xr3:uid="{198307F1-C8C3-457F-8027-42644A5CEFB1}" name="Net to Dealer" dataDxfId="5"/>
    <tableColumn id="8" xr3:uid="{0961DD8E-B287-4621-80F9-F19CD4DA01F6}" name="Column2" dataDxfId="4"/>
    <tableColumn id="6" xr3:uid="{617D0074-0050-4430-9E00-E362F2979F5E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6C1C8-B422-45A6-9942-B119046788A0}" name="Table_15" displayName="Table_15" ref="A3:E7">
  <tableColumns count="5">
    <tableColumn id="1" xr3:uid="{A5149B16-4986-490F-9860-2EDC7616373B}" name="Account Number"/>
    <tableColumn id="2" xr3:uid="{C3D6400E-2E46-4D26-8950-D1243E69BBB7}" name="Contract Type"/>
    <tableColumn id="3" xr3:uid="{05A11FEC-6F6E-4E84-9884-585351F89A14}" name="Applicant Name"/>
    <tableColumn id="4" xr3:uid="{9A7AEA90-F1F4-42D1-A010-18C4E54C75BC}" name="Co-Applicant Name"/>
    <tableColumn id="5" xr3:uid="{5D1C1195-8739-4038-98E0-6620DC81EF9A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workbookViewId="0">
      <pane ySplit="3" topLeftCell="A4" activePane="bottomLeft" state="frozen"/>
      <selection pane="bottomLeft" activeCell="F19" sqref="F19"/>
    </sheetView>
  </sheetViews>
  <sheetFormatPr defaultRowHeight="15.75" x14ac:dyDescent="0.25"/>
  <cols>
    <col min="1" max="1" width="13.7109375" style="6" customWidth="1"/>
    <col min="2" max="2" width="12.140625" style="6" bestFit="1" customWidth="1"/>
    <col min="3" max="3" width="14" style="6" bestFit="1" customWidth="1"/>
    <col min="4" max="4" width="29.42578125" style="6" bestFit="1" customWidth="1"/>
    <col min="5" max="5" width="3.42578125" style="6" customWidth="1"/>
    <col min="6" max="6" width="27.28515625" style="6" bestFit="1" customWidth="1"/>
    <col min="7" max="7" width="15.140625" style="6" bestFit="1" customWidth="1"/>
    <col min="8" max="8" width="17.140625" style="6" bestFit="1" customWidth="1"/>
    <col min="9" max="9" width="36.140625" style="6" bestFit="1" customWidth="1"/>
    <col min="10" max="10" width="2.85546875" style="6" customWidth="1"/>
    <col min="11" max="11" width="13.7109375" style="6" bestFit="1" customWidth="1"/>
    <col min="12" max="16384" width="9.140625" style="6"/>
  </cols>
  <sheetData>
    <row r="1" spans="1:11" x14ac:dyDescent="0.25">
      <c r="K1" s="7">
        <v>45834</v>
      </c>
    </row>
    <row r="2" spans="1:11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</row>
    <row r="3" spans="1:1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ht="33" customHeight="1" x14ac:dyDescent="0.25">
      <c r="A4" s="6" t="s">
        <v>13</v>
      </c>
      <c r="B4" s="6" t="s">
        <v>14</v>
      </c>
      <c r="C4" s="6" t="s">
        <v>15</v>
      </c>
      <c r="D4" s="6" t="s">
        <v>16</v>
      </c>
      <c r="F4" s="6" t="s">
        <v>17</v>
      </c>
      <c r="G4" s="6" t="s">
        <v>18</v>
      </c>
      <c r="H4" s="11">
        <v>63680</v>
      </c>
      <c r="I4" s="6" t="s">
        <v>19</v>
      </c>
      <c r="K4" s="6" t="s">
        <v>20</v>
      </c>
    </row>
    <row r="5" spans="1:11" ht="33" customHeight="1" x14ac:dyDescent="0.25">
      <c r="A5" s="6" t="s">
        <v>70</v>
      </c>
      <c r="B5" s="6" t="s">
        <v>21</v>
      </c>
      <c r="C5" s="6" t="s">
        <v>22</v>
      </c>
      <c r="D5" s="6" t="s">
        <v>23</v>
      </c>
      <c r="F5" s="6" t="s">
        <v>24</v>
      </c>
      <c r="G5" s="6" t="s">
        <v>18</v>
      </c>
      <c r="H5" s="11">
        <v>63931</v>
      </c>
      <c r="I5" s="6" t="s">
        <v>25</v>
      </c>
      <c r="K5" s="6" t="s">
        <v>26</v>
      </c>
    </row>
    <row r="6" spans="1:11" ht="33" customHeight="1" x14ac:dyDescent="0.25">
      <c r="A6" s="6" t="s">
        <v>71</v>
      </c>
      <c r="B6" s="6" t="s">
        <v>21</v>
      </c>
      <c r="C6" s="6" t="s">
        <v>22</v>
      </c>
      <c r="D6" s="6" t="s">
        <v>27</v>
      </c>
      <c r="F6" s="6" t="s">
        <v>28</v>
      </c>
      <c r="G6" s="6" t="s">
        <v>18</v>
      </c>
      <c r="H6" s="11">
        <v>21392.799999999999</v>
      </c>
      <c r="I6" s="6" t="s">
        <v>29</v>
      </c>
      <c r="K6" s="6" t="s">
        <v>30</v>
      </c>
    </row>
    <row r="7" spans="1:11" ht="33" customHeight="1" x14ac:dyDescent="0.25">
      <c r="A7" s="6" t="s">
        <v>72</v>
      </c>
      <c r="B7" s="6" t="s">
        <v>14</v>
      </c>
      <c r="C7" s="6" t="s">
        <v>22</v>
      </c>
      <c r="D7" s="6" t="s">
        <v>31</v>
      </c>
      <c r="F7" s="6" t="s">
        <v>32</v>
      </c>
      <c r="G7" s="6" t="s">
        <v>18</v>
      </c>
      <c r="H7" s="11">
        <v>37113.31</v>
      </c>
      <c r="I7" s="6" t="s">
        <v>33</v>
      </c>
      <c r="K7" s="6" t="s">
        <v>34</v>
      </c>
    </row>
    <row r="8" spans="1:11" ht="33" customHeight="1" x14ac:dyDescent="0.25">
      <c r="A8" s="6" t="s">
        <v>35</v>
      </c>
      <c r="B8" s="6" t="s">
        <v>14</v>
      </c>
      <c r="C8" s="6" t="s">
        <v>15</v>
      </c>
      <c r="D8" s="6" t="s">
        <v>36</v>
      </c>
      <c r="F8" s="6" t="s">
        <v>37</v>
      </c>
      <c r="G8" s="6" t="s">
        <v>18</v>
      </c>
      <c r="H8" s="11">
        <v>76923.58</v>
      </c>
      <c r="I8" s="6" t="s">
        <v>38</v>
      </c>
      <c r="K8" s="6" t="s">
        <v>39</v>
      </c>
    </row>
    <row r="9" spans="1:11" ht="33" customHeight="1" x14ac:dyDescent="0.25">
      <c r="A9" s="6" t="s">
        <v>73</v>
      </c>
      <c r="B9" s="6" t="s">
        <v>21</v>
      </c>
      <c r="C9" s="6" t="s">
        <v>22</v>
      </c>
      <c r="D9" s="6" t="s">
        <v>40</v>
      </c>
      <c r="F9" s="6" t="s">
        <v>41</v>
      </c>
      <c r="G9" s="6" t="s">
        <v>18</v>
      </c>
      <c r="H9" s="11">
        <v>18119.689999999999</v>
      </c>
      <c r="I9" s="6" t="s">
        <v>42</v>
      </c>
      <c r="K9" s="6" t="s">
        <v>43</v>
      </c>
    </row>
    <row r="10" spans="1:11" ht="33" customHeight="1" x14ac:dyDescent="0.25">
      <c r="A10" s="6" t="s">
        <v>44</v>
      </c>
      <c r="B10" s="6" t="s">
        <v>14</v>
      </c>
      <c r="C10" s="6" t="s">
        <v>15</v>
      </c>
      <c r="D10" s="6" t="s">
        <v>45</v>
      </c>
      <c r="F10" s="6" t="s">
        <v>46</v>
      </c>
      <c r="G10" s="6" t="s">
        <v>18</v>
      </c>
      <c r="H10" s="11">
        <v>50657.15</v>
      </c>
      <c r="I10" s="6" t="s">
        <v>47</v>
      </c>
      <c r="K10" s="6" t="s">
        <v>48</v>
      </c>
    </row>
    <row r="11" spans="1:11" ht="33" customHeight="1" x14ac:dyDescent="0.25">
      <c r="A11" s="6" t="s">
        <v>74</v>
      </c>
      <c r="B11" s="6" t="s">
        <v>21</v>
      </c>
      <c r="C11" s="6" t="s">
        <v>22</v>
      </c>
      <c r="D11" s="6" t="s">
        <v>49</v>
      </c>
      <c r="F11" s="6" t="s">
        <v>50</v>
      </c>
      <c r="G11" s="6" t="s">
        <v>51</v>
      </c>
      <c r="H11" s="11">
        <v>24464.55</v>
      </c>
      <c r="I11" s="6" t="s">
        <v>52</v>
      </c>
      <c r="K11" s="6" t="s">
        <v>53</v>
      </c>
    </row>
    <row r="12" spans="1:11" ht="33" customHeight="1" x14ac:dyDescent="0.25">
      <c r="A12" s="6" t="s">
        <v>75</v>
      </c>
      <c r="B12" s="6" t="s">
        <v>21</v>
      </c>
      <c r="C12" s="6" t="s">
        <v>22</v>
      </c>
      <c r="D12" s="6" t="s">
        <v>54</v>
      </c>
      <c r="F12" s="6" t="s">
        <v>55</v>
      </c>
      <c r="G12" s="6" t="s">
        <v>51</v>
      </c>
      <c r="H12" s="11">
        <v>31161.53</v>
      </c>
      <c r="K12" s="6" t="s">
        <v>56</v>
      </c>
    </row>
    <row r="13" spans="1:11" ht="33" customHeight="1" x14ac:dyDescent="0.25">
      <c r="A13" s="6" t="s">
        <v>76</v>
      </c>
      <c r="B13" s="6" t="s">
        <v>21</v>
      </c>
      <c r="C13" s="6" t="s">
        <v>22</v>
      </c>
      <c r="D13" s="6" t="s">
        <v>57</v>
      </c>
      <c r="F13" s="6" t="s">
        <v>58</v>
      </c>
      <c r="G13" s="6" t="s">
        <v>51</v>
      </c>
      <c r="H13" s="11">
        <v>20007.38</v>
      </c>
      <c r="I13" s="6" t="s">
        <v>59</v>
      </c>
      <c r="K13" s="6" t="s">
        <v>60</v>
      </c>
    </row>
    <row r="14" spans="1:11" ht="33" customHeight="1" x14ac:dyDescent="0.25">
      <c r="A14" s="6" t="s">
        <v>77</v>
      </c>
      <c r="B14" s="6" t="s">
        <v>14</v>
      </c>
      <c r="C14" s="6" t="s">
        <v>22</v>
      </c>
      <c r="D14" s="6" t="s">
        <v>61</v>
      </c>
      <c r="F14" s="6" t="s">
        <v>62</v>
      </c>
      <c r="G14" s="6" t="s">
        <v>18</v>
      </c>
      <c r="H14" s="11">
        <v>38624.5</v>
      </c>
      <c r="I14" s="6" t="s">
        <v>63</v>
      </c>
      <c r="K14" s="6" t="s">
        <v>64</v>
      </c>
    </row>
    <row r="15" spans="1:11" ht="33" customHeight="1" x14ac:dyDescent="0.25">
      <c r="A15" s="6" t="s">
        <v>78</v>
      </c>
      <c r="B15" s="6" t="s">
        <v>21</v>
      </c>
      <c r="C15" s="6" t="s">
        <v>22</v>
      </c>
      <c r="D15" s="6" t="s">
        <v>65</v>
      </c>
      <c r="F15" s="6" t="s">
        <v>66</v>
      </c>
      <c r="G15" s="6" t="s">
        <v>18</v>
      </c>
      <c r="H15" s="11">
        <v>35382.75</v>
      </c>
      <c r="I15" s="6" t="s">
        <v>67</v>
      </c>
      <c r="K15" s="6" t="s">
        <v>68</v>
      </c>
    </row>
    <row r="16" spans="1:11" x14ac:dyDescent="0.25">
      <c r="A16" s="12"/>
      <c r="B16" s="12"/>
      <c r="C16" s="12"/>
      <c r="D16" s="12" t="s">
        <v>69</v>
      </c>
      <c r="E16" s="12"/>
      <c r="F16" s="12"/>
      <c r="G16" s="12"/>
      <c r="H16" s="13">
        <f>SUM(H4:H15)</f>
        <v>481458.24</v>
      </c>
      <c r="I16" s="12"/>
      <c r="J16" s="12"/>
      <c r="K16" s="12"/>
    </row>
  </sheetData>
  <mergeCells count="2">
    <mergeCell ref="A2:F2"/>
    <mergeCell ref="G2:K2"/>
  </mergeCells>
  <pageMargins left="0.7" right="0.7" top="0.75" bottom="0.75" header="0.3" footer="0.3"/>
  <pageSetup paperSize="5" scale="8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F15D-8613-4084-86F3-6286F10397D9}">
  <sheetPr>
    <pageSetUpPr fitToPage="1"/>
  </sheetPr>
  <dimension ref="A1:H28"/>
  <sheetViews>
    <sheetView topLeftCell="A16" workbookViewId="0">
      <selection activeCell="K8" sqref="K8"/>
    </sheetView>
  </sheetViews>
  <sheetFormatPr defaultRowHeight="15.75" x14ac:dyDescent="0.25"/>
  <cols>
    <col min="1" max="1" width="19.140625" style="6" customWidth="1"/>
    <col min="2" max="2" width="14" style="6" customWidth="1"/>
    <col min="3" max="3" width="17.7109375" style="6" customWidth="1"/>
    <col min="4" max="4" width="14.5703125" style="6" customWidth="1"/>
    <col min="5" max="5" width="15" style="6" customWidth="1"/>
    <col min="6" max="7" width="18.42578125" style="6" customWidth="1"/>
    <col min="8" max="8" width="15.5703125" style="6" customWidth="1"/>
    <col min="9" max="16384" width="9.140625" style="6"/>
  </cols>
  <sheetData>
    <row r="1" spans="1:8" x14ac:dyDescent="0.25">
      <c r="E1" s="7"/>
      <c r="H1" s="7">
        <v>45834.999988425923</v>
      </c>
    </row>
    <row r="2" spans="1:8" x14ac:dyDescent="0.25">
      <c r="A2" s="8" t="s">
        <v>0</v>
      </c>
      <c r="B2" s="8"/>
      <c r="C2" s="9"/>
      <c r="D2" s="9"/>
      <c r="E2" s="10" t="s">
        <v>79</v>
      </c>
      <c r="F2" s="9"/>
      <c r="G2" s="9"/>
      <c r="H2" s="9"/>
    </row>
    <row r="3" spans="1:8" x14ac:dyDescent="0.25">
      <c r="A3" s="6" t="s">
        <v>7</v>
      </c>
      <c r="B3" s="6" t="s">
        <v>84</v>
      </c>
      <c r="C3" s="6" t="s">
        <v>8</v>
      </c>
      <c r="D3" s="6" t="s">
        <v>80</v>
      </c>
      <c r="E3" s="6" t="s">
        <v>81</v>
      </c>
      <c r="F3" s="6" t="s">
        <v>82</v>
      </c>
      <c r="G3" s="6" t="s">
        <v>85</v>
      </c>
      <c r="H3" s="6" t="s">
        <v>83</v>
      </c>
    </row>
    <row r="4" spans="1:8" ht="27" customHeight="1" x14ac:dyDescent="0.25">
      <c r="A4" s="6" t="s">
        <v>93</v>
      </c>
      <c r="C4" s="6" t="s">
        <v>18</v>
      </c>
      <c r="D4" s="11">
        <v>1350</v>
      </c>
      <c r="E4" s="11">
        <v>0</v>
      </c>
      <c r="F4" s="11">
        <v>63605</v>
      </c>
      <c r="G4" s="11"/>
      <c r="H4" s="11">
        <v>63680</v>
      </c>
    </row>
    <row r="5" spans="1:8" ht="27" customHeight="1" x14ac:dyDescent="0.25">
      <c r="D5" s="11"/>
      <c r="E5" s="11"/>
      <c r="F5" s="11"/>
      <c r="G5" s="11"/>
      <c r="H5" s="11"/>
    </row>
    <row r="6" spans="1:8" ht="27" customHeight="1" x14ac:dyDescent="0.25">
      <c r="A6" s="6" t="s">
        <v>50</v>
      </c>
      <c r="C6" s="6" t="s">
        <v>51</v>
      </c>
      <c r="D6" s="11">
        <v>650</v>
      </c>
      <c r="E6" s="11">
        <v>0</v>
      </c>
      <c r="F6" s="11">
        <v>24389.55</v>
      </c>
      <c r="G6" s="11"/>
      <c r="H6" s="11">
        <v>24464.55</v>
      </c>
    </row>
    <row r="7" spans="1:8" ht="27" customHeight="1" x14ac:dyDescent="0.25">
      <c r="D7" s="11"/>
      <c r="E7" s="11"/>
      <c r="F7" s="11"/>
      <c r="G7" s="11"/>
      <c r="H7" s="11"/>
    </row>
    <row r="8" spans="1:8" ht="27" customHeight="1" x14ac:dyDescent="0.25">
      <c r="A8" s="6" t="s">
        <v>55</v>
      </c>
      <c r="C8" s="6" t="s">
        <v>51</v>
      </c>
      <c r="D8" s="11">
        <v>850</v>
      </c>
      <c r="E8" s="11">
        <v>0</v>
      </c>
      <c r="F8" s="11">
        <v>31086.53</v>
      </c>
      <c r="G8" s="11"/>
      <c r="H8" s="11">
        <v>31161.53</v>
      </c>
    </row>
    <row r="9" spans="1:8" ht="27" customHeight="1" x14ac:dyDescent="0.25">
      <c r="D9" s="11"/>
      <c r="E9" s="11"/>
      <c r="F9" s="11"/>
      <c r="G9" s="11"/>
      <c r="H9" s="11"/>
    </row>
    <row r="10" spans="1:8" ht="27" customHeight="1" x14ac:dyDescent="0.25">
      <c r="A10" s="6" t="s">
        <v>92</v>
      </c>
      <c r="C10" s="6" t="s">
        <v>51</v>
      </c>
      <c r="D10" s="11">
        <v>650</v>
      </c>
      <c r="E10" s="11">
        <v>0</v>
      </c>
      <c r="F10" s="11">
        <v>19932.38</v>
      </c>
      <c r="G10" s="11"/>
      <c r="H10" s="11">
        <v>20007.38</v>
      </c>
    </row>
    <row r="11" spans="1:8" ht="27" customHeight="1" x14ac:dyDescent="0.25">
      <c r="D11" s="11"/>
      <c r="E11" s="11"/>
      <c r="F11" s="11"/>
      <c r="G11" s="11"/>
      <c r="H11" s="11"/>
    </row>
    <row r="12" spans="1:8" ht="27" customHeight="1" x14ac:dyDescent="0.25">
      <c r="A12" s="6" t="s">
        <v>28</v>
      </c>
      <c r="B12" s="16" t="s">
        <v>94</v>
      </c>
      <c r="C12" s="6" t="s">
        <v>18</v>
      </c>
      <c r="D12" s="11">
        <v>650</v>
      </c>
      <c r="E12" s="11">
        <v>0</v>
      </c>
      <c r="F12" s="11">
        <v>21317.8</v>
      </c>
      <c r="G12" s="11"/>
      <c r="H12" s="11">
        <v>21392.799999999999</v>
      </c>
    </row>
    <row r="13" spans="1:8" ht="27" customHeight="1" x14ac:dyDescent="0.25">
      <c r="D13" s="11"/>
      <c r="E13" s="11"/>
      <c r="F13" s="11"/>
      <c r="G13" s="11"/>
      <c r="H13" s="11"/>
    </row>
    <row r="14" spans="1:8" ht="27" customHeight="1" x14ac:dyDescent="0.25">
      <c r="A14" s="6" t="s">
        <v>41</v>
      </c>
      <c r="C14" s="6" t="s">
        <v>18</v>
      </c>
      <c r="D14" s="11">
        <v>500</v>
      </c>
      <c r="E14" s="11">
        <v>0</v>
      </c>
      <c r="F14" s="11">
        <v>18044.689999999999</v>
      </c>
      <c r="G14" s="11"/>
      <c r="H14" s="11">
        <v>18119.689999999999</v>
      </c>
    </row>
    <row r="15" spans="1:8" ht="27" customHeight="1" x14ac:dyDescent="0.25">
      <c r="D15" s="11"/>
      <c r="E15" s="11"/>
      <c r="F15" s="11"/>
      <c r="G15" s="11"/>
      <c r="H15" s="11"/>
    </row>
    <row r="16" spans="1:8" ht="27" customHeight="1" x14ac:dyDescent="0.25">
      <c r="A16" s="6" t="s">
        <v>46</v>
      </c>
      <c r="C16" s="6" t="s">
        <v>18</v>
      </c>
      <c r="D16" s="11">
        <v>1350</v>
      </c>
      <c r="E16" s="11">
        <v>0</v>
      </c>
      <c r="F16" s="11">
        <v>50582.15</v>
      </c>
      <c r="G16" s="11"/>
      <c r="H16" s="11">
        <v>50657.15</v>
      </c>
    </row>
    <row r="17" spans="1:8" ht="27" customHeight="1" x14ac:dyDescent="0.25">
      <c r="D17" s="11"/>
      <c r="E17" s="11"/>
      <c r="F17" s="11"/>
      <c r="G17" s="11"/>
      <c r="H17" s="11"/>
    </row>
    <row r="18" spans="1:8" ht="27" customHeight="1" x14ac:dyDescent="0.25">
      <c r="A18" s="6" t="s">
        <v>62</v>
      </c>
      <c r="C18" s="6" t="s">
        <v>18</v>
      </c>
      <c r="D18" s="11">
        <v>950</v>
      </c>
      <c r="E18" s="11">
        <v>0</v>
      </c>
      <c r="F18" s="11">
        <v>38549.5</v>
      </c>
      <c r="G18" s="11"/>
      <c r="H18" s="11">
        <v>38624.5</v>
      </c>
    </row>
    <row r="19" spans="1:8" ht="27" customHeight="1" x14ac:dyDescent="0.25">
      <c r="D19" s="11"/>
      <c r="E19" s="11"/>
      <c r="F19" s="11"/>
      <c r="G19" s="11"/>
      <c r="H19" s="11"/>
    </row>
    <row r="20" spans="1:8" ht="27" customHeight="1" x14ac:dyDescent="0.25">
      <c r="A20" s="6" t="s">
        <v>37</v>
      </c>
      <c r="C20" s="6" t="s">
        <v>18</v>
      </c>
      <c r="D20" s="11">
        <v>1500</v>
      </c>
      <c r="E20" s="11">
        <v>0</v>
      </c>
      <c r="F20" s="11">
        <v>76848.58</v>
      </c>
      <c r="G20" s="11"/>
      <c r="H20" s="11">
        <v>76923.58</v>
      </c>
    </row>
    <row r="21" spans="1:8" ht="27" customHeight="1" x14ac:dyDescent="0.25">
      <c r="D21" s="11"/>
      <c r="E21" s="11"/>
      <c r="F21" s="11"/>
      <c r="G21" s="11"/>
      <c r="H21" s="11"/>
    </row>
    <row r="22" spans="1:8" ht="27" customHeight="1" x14ac:dyDescent="0.25">
      <c r="A22" s="6" t="s">
        <v>32</v>
      </c>
      <c r="C22" s="6" t="s">
        <v>18</v>
      </c>
      <c r="D22" s="11">
        <v>950</v>
      </c>
      <c r="E22" s="11">
        <v>0</v>
      </c>
      <c r="F22" s="11">
        <v>37038.31</v>
      </c>
      <c r="G22" s="11"/>
      <c r="H22" s="11">
        <v>37113.31</v>
      </c>
    </row>
    <row r="23" spans="1:8" ht="27" customHeight="1" x14ac:dyDescent="0.25">
      <c r="D23" s="11"/>
      <c r="E23" s="11"/>
      <c r="F23" s="11"/>
      <c r="G23" s="11"/>
      <c r="H23" s="11"/>
    </row>
    <row r="24" spans="1:8" ht="27" customHeight="1" x14ac:dyDescent="0.25">
      <c r="A24" s="6" t="s">
        <v>66</v>
      </c>
      <c r="C24" s="6" t="s">
        <v>18</v>
      </c>
      <c r="D24" s="11">
        <v>950</v>
      </c>
      <c r="E24" s="11">
        <v>0</v>
      </c>
      <c r="F24" s="11">
        <v>35307.75</v>
      </c>
      <c r="G24" s="11"/>
      <c r="H24" s="11">
        <v>35382.75</v>
      </c>
    </row>
    <row r="25" spans="1:8" ht="27" customHeight="1" x14ac:dyDescent="0.25">
      <c r="D25" s="11"/>
      <c r="E25" s="11"/>
      <c r="F25" s="11"/>
      <c r="G25" s="11"/>
      <c r="H25" s="11"/>
    </row>
    <row r="26" spans="1:8" ht="27" customHeight="1" x14ac:dyDescent="0.25">
      <c r="A26" s="6" t="s">
        <v>24</v>
      </c>
      <c r="C26" s="6" t="s">
        <v>18</v>
      </c>
      <c r="D26" s="11">
        <v>1350</v>
      </c>
      <c r="E26" s="11">
        <v>0</v>
      </c>
      <c r="F26" s="11">
        <v>63856</v>
      </c>
      <c r="G26" s="11"/>
      <c r="H26" s="11">
        <v>63931</v>
      </c>
    </row>
    <row r="27" spans="1:8" ht="27" customHeight="1" x14ac:dyDescent="0.25">
      <c r="D27" s="11"/>
      <c r="E27" s="11"/>
      <c r="F27" s="11"/>
      <c r="G27" s="11"/>
      <c r="H27" s="11"/>
    </row>
    <row r="28" spans="1:8" x14ac:dyDescent="0.25">
      <c r="A28" s="12"/>
      <c r="B28" s="12"/>
      <c r="C28" s="12"/>
      <c r="D28" s="13">
        <f>SUM(D4:D26)</f>
        <v>11700</v>
      </c>
      <c r="E28" s="13">
        <f>SUM(E4:E26)</f>
        <v>0</v>
      </c>
      <c r="F28" s="13">
        <f>SUM(F4:F26)</f>
        <v>480558.24</v>
      </c>
      <c r="G28" s="13"/>
      <c r="H28" s="13">
        <f>SUM(H4:H26)</f>
        <v>481458.24</v>
      </c>
    </row>
  </sheetData>
  <mergeCells count="2">
    <mergeCell ref="A2:D2"/>
    <mergeCell ref="E2:H2"/>
  </mergeCells>
  <pageMargins left="0.7" right="0.2" top="0.25" bottom="0.25" header="0.3" footer="0.3"/>
  <pageSetup scale="7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2311-4747-40A4-A84E-D014E93E69D6}">
  <dimension ref="A1:E20"/>
  <sheetViews>
    <sheetView workbookViewId="0">
      <selection activeCell="H10" sqref="H10"/>
    </sheetView>
  </sheetViews>
  <sheetFormatPr defaultRowHeight="15" x14ac:dyDescent="0.25"/>
  <cols>
    <col min="1" max="1" width="16.85546875" customWidth="1"/>
    <col min="2" max="2" width="8.7109375" customWidth="1"/>
    <col min="3" max="3" width="18.140625" bestFit="1" customWidth="1"/>
    <col min="4" max="4" width="5.7109375" customWidth="1"/>
    <col min="5" max="5" width="36.85546875" customWidth="1"/>
  </cols>
  <sheetData>
    <row r="1" spans="1:5" ht="24.95" customHeight="1" x14ac:dyDescent="0.25">
      <c r="A1" t="s">
        <v>88</v>
      </c>
      <c r="D1" s="2"/>
      <c r="E1" s="14">
        <v>45834</v>
      </c>
    </row>
    <row r="2" spans="1:5" ht="24.95" customHeight="1" x14ac:dyDescent="0.25">
      <c r="A2" s="3" t="s">
        <v>0</v>
      </c>
      <c r="B2" s="4"/>
      <c r="C2" s="4"/>
      <c r="D2" s="5" t="s">
        <v>86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13</v>
      </c>
      <c r="B4" t="s">
        <v>15</v>
      </c>
      <c r="C4" t="s">
        <v>16</v>
      </c>
      <c r="E4" t="s">
        <v>17</v>
      </c>
    </row>
    <row r="5" spans="1:5" ht="24.95" customHeight="1" x14ac:dyDescent="0.25">
      <c r="A5" t="s">
        <v>35</v>
      </c>
      <c r="B5" t="s">
        <v>15</v>
      </c>
      <c r="C5" t="s">
        <v>36</v>
      </c>
      <c r="E5" t="s">
        <v>37</v>
      </c>
    </row>
    <row r="6" spans="1:5" ht="24.95" customHeight="1" x14ac:dyDescent="0.25">
      <c r="A6" t="s">
        <v>44</v>
      </c>
      <c r="B6" t="s">
        <v>15</v>
      </c>
      <c r="C6" t="s">
        <v>45</v>
      </c>
      <c r="E6" t="s">
        <v>46</v>
      </c>
    </row>
    <row r="7" spans="1:5" ht="24.95" customHeight="1" x14ac:dyDescent="0.25">
      <c r="A7" s="1"/>
      <c r="B7" s="1"/>
      <c r="C7" s="1" t="s">
        <v>87</v>
      </c>
      <c r="D7" s="1"/>
      <c r="E7" s="1"/>
    </row>
    <row r="12" spans="1:5" x14ac:dyDescent="0.25">
      <c r="A12" t="s">
        <v>89</v>
      </c>
      <c r="B12" s="15"/>
      <c r="C12" s="15"/>
      <c r="D12" s="15"/>
    </row>
    <row r="16" spans="1:5" x14ac:dyDescent="0.25">
      <c r="A16" t="s">
        <v>90</v>
      </c>
      <c r="B16" s="15"/>
      <c r="C16" s="15"/>
      <c r="D16" s="15"/>
    </row>
    <row r="20" spans="1:3" x14ac:dyDescent="0.25">
      <c r="A20" t="s">
        <v>91</v>
      </c>
      <c r="B20" s="15"/>
      <c r="C20" s="15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2025-06-26T18:55:29Z</cp:lastPrinted>
  <dcterms:created xsi:type="dcterms:W3CDTF">2025-06-26T18:34:26Z</dcterms:created>
  <dcterms:modified xsi:type="dcterms:W3CDTF">2025-06-26T19:23:06Z</dcterms:modified>
</cp:coreProperties>
</file>