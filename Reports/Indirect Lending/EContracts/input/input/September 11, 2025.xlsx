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EA54044B-D673-489B-8DBD-0CD22872839B}" xr6:coauthVersionLast="47" xr6:coauthVersionMax="47" xr10:uidLastSave="{00000000-0000-0000-0000-000000000000}"/>
  <bookViews>
    <workbookView xWindow="32445" yWindow="1125" windowWidth="23700" windowHeight="13620" xr2:uid="{00000000-000D-0000-FFFF-FFFF00000000}"/>
  </bookViews>
  <sheets>
    <sheet name="Funding Worksheet - Folder Vers" sheetId="1" r:id="rId1"/>
    <sheet name="Funding Worksheet - ACH" sheetId="3" r:id="rId2"/>
    <sheet name="Original Note Lo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H29" i="3"/>
  <c r="F29" i="3"/>
  <c r="E29" i="3"/>
  <c r="D29" i="3"/>
  <c r="H17" i="1"/>
</calcChain>
</file>

<file path=xl/sharedStrings.xml><?xml version="1.0" encoding="utf-8"?>
<sst xmlns="http://schemas.openxmlformats.org/spreadsheetml/2006/main" count="182" uniqueCount="102">
  <si>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</si>
  <si>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</si>
  <si>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</si>
  <si>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</si>
  <si>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</si>
  <si>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</si>
  <si>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</si>
  <si>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</si>
  <si>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</si>
  <si>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</si>
  <si>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</si>
  <si>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App MMN</t>
  </si>
  <si>
    <t>Co-App MMN</t>
  </si>
  <si>
    <t>Route One</t>
  </si>
  <si>
    <t>E Contract</t>
  </si>
  <si>
    <t>POTTER, JOAN</t>
  </si>
  <si>
    <t>Grieco Toyota</t>
  </si>
  <si>
    <t>Neli Oliveira</t>
  </si>
  <si>
    <t>LOPEZ</t>
  </si>
  <si>
    <t>Contillo, Joelle</t>
  </si>
  <si>
    <t>Tasca Automotive Group Rt 6 One Inc</t>
  </si>
  <si>
    <t>jacontillo23@gmail.com</t>
  </si>
  <si>
    <t>MEROLA</t>
  </si>
  <si>
    <t>151223410</t>
  </si>
  <si>
    <t>Paper</t>
  </si>
  <si>
    <t>HART, THOMAS</t>
  </si>
  <si>
    <t>Mastria Buick Pontiac</t>
  </si>
  <si>
    <t>tlhart.8912@gmail.com</t>
  </si>
  <si>
    <t>O'DONNELL</t>
  </si>
  <si>
    <t>CORDEIRO, JACLYN</t>
  </si>
  <si>
    <t>Mastria Mazda</t>
  </si>
  <si>
    <t>JACKIE6475@GMAIL.COM</t>
  </si>
  <si>
    <t>DUNNE</t>
  </si>
  <si>
    <t>WARGOVICH, JAMES</t>
  </si>
  <si>
    <t>WARGOVICH, KAREN</t>
  </si>
  <si>
    <t>Colonial Ford Inc</t>
  </si>
  <si>
    <t>kwargovich@verizon.net</t>
  </si>
  <si>
    <t>KIELER</t>
  </si>
  <si>
    <t>TOPJIAN</t>
  </si>
  <si>
    <t>DealerTrack</t>
  </si>
  <si>
    <t>SALTMARSH, JOHN</t>
  </si>
  <si>
    <t>SALTMARSH, ADAM</t>
  </si>
  <si>
    <t>Adao Automotive Group Inc d/b/a</t>
  </si>
  <si>
    <t>OBRIEN</t>
  </si>
  <si>
    <t>MACKIE</t>
  </si>
  <si>
    <t>151223519</t>
  </si>
  <si>
    <t>HERSHMAN, BRETT</t>
  </si>
  <si>
    <t>Volvo of Tiverton</t>
  </si>
  <si>
    <t>BH.HERSHMAN@GMAIL.COM</t>
  </si>
  <si>
    <t>TURLEY</t>
  </si>
  <si>
    <t>151223527</t>
  </si>
  <si>
    <t>BOIE, KRISTEN</t>
  </si>
  <si>
    <t>Tasca Automotive Group Rt 6 Two</t>
  </si>
  <si>
    <t>Rachel Gorham</t>
  </si>
  <si>
    <t>KBOIE31@GMAIL.COM</t>
  </si>
  <si>
    <t>GOLATO</t>
  </si>
  <si>
    <t>BOUCHER, ALEXANDER</t>
  </si>
  <si>
    <t>Bourne Enterprises Inc</t>
  </si>
  <si>
    <t>ABOUCHER51@GMAIL.COM</t>
  </si>
  <si>
    <t>KACHANIS</t>
  </si>
  <si>
    <t>OLIVEIRA, JAMES</t>
  </si>
  <si>
    <t>Alden Buick Pontiac GMC</t>
  </si>
  <si>
    <t>james.oliveira1962@gmail.com</t>
  </si>
  <si>
    <t>SOUZA</t>
  </si>
  <si>
    <t>KAY, ROBERT</t>
  </si>
  <si>
    <t>Lucchettis Service Center Inc</t>
  </si>
  <si>
    <t>MARGIE_KAY@COMCAST.NET</t>
  </si>
  <si>
    <t>SMITH</t>
  </si>
  <si>
    <t>CUMMINGS, BRIAN</t>
  </si>
  <si>
    <t>Paul Masse Chevrolet South Inc</t>
  </si>
  <si>
    <t>BRIANC207@YAHOO.COM</t>
  </si>
  <si>
    <t>MCMAHON</t>
  </si>
  <si>
    <t>CARANDANG, ANGELA</t>
  </si>
  <si>
    <t>AMCDANG@GMAIL.COM</t>
  </si>
  <si>
    <t>MALLARI</t>
  </si>
  <si>
    <t># 13</t>
  </si>
  <si>
    <t>Funding Worksheet - Signoff Version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</si>
  <si>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</si>
  <si>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</si>
  <si>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</si>
  <si>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</si>
  <si>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</si>
  <si>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</si>
  <si>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</si>
  <si>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Kia-Adao Automotive Group Inc d/b/a</t>
  </si>
  <si>
    <t>4453-2150</t>
  </si>
  <si>
    <t>5900-6390</t>
  </si>
  <si>
    <t>151223254 E</t>
  </si>
  <si>
    <t>151223296 E</t>
  </si>
  <si>
    <t>151223428 E</t>
  </si>
  <si>
    <t>151223494 E</t>
  </si>
  <si>
    <t>151223501 E</t>
  </si>
  <si>
    <t>151223535 E</t>
  </si>
  <si>
    <t>151223543 E</t>
  </si>
  <si>
    <t>151223551 E</t>
  </si>
  <si>
    <t>151223569 E</t>
  </si>
  <si>
    <t>151223577 E</t>
  </si>
  <si>
    <t># 3</t>
  </si>
  <si>
    <t>Delivered by:</t>
  </si>
  <si>
    <t>Received by;</t>
  </si>
  <si>
    <t>Date Signed:</t>
  </si>
  <si>
    <t>Original Notes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</si>
</sst>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[$-409]mmmm\ d\,\ yyyy;@"/>
    <numFmt numFmtId="169" formatCode="[$-F800]dddd\,\ mmmm\ dd\,\ yyyy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4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/>
    <xf numFmtId="7" fontId="3" fillId="0" borderId="0" xfId="0" applyNumberFormat="1" applyFont="1"/>
    <xf numFmtId="164" fontId="2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7" fontId="5" fillId="0" borderId="0" xfId="0" applyNumberFormat="1" applyFont="1"/>
    <xf numFmtId="169" fontId="0" fillId="0" borderId="0" xfId="0" applyNumberFormat="1"/>
    <xf numFmtId="0" fontId="0" fillId="0" borderId="1" xfId="0" applyBorder="1"/>
  </cellXfs>
  <cellStyles count="1">
    <cellStyle name="Normal" xfId="0" builtinId="0"/>
  </cellStyles>
  <dxfs count="25"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K17" headerRowDxfId="2" dataDxfId="0" totalsRowDxfId="1">
  <tableColumns count="11">
    <tableColumn id="1" xr3:uid="{00000000-0010-0000-0000-000001000000}" name="Account Number" dataDxfId="13"/>
    <tableColumn id="2" xr3:uid="{00000000-0010-0000-0000-000002000000}" name="Portal" dataDxfId="12"/>
    <tableColumn id="3" xr3:uid="{00000000-0010-0000-0000-000003000000}" name="Contract Type" dataDxfId="11"/>
    <tableColumn id="4" xr3:uid="{00000000-0010-0000-0000-000004000000}" name="Applicant Name" dataDxfId="10"/>
    <tableColumn id="5" xr3:uid="{00000000-0010-0000-0000-000005000000}" name="Co-Applicant Name" dataDxfId="9"/>
    <tableColumn id="6" xr3:uid="{00000000-0010-0000-0000-000006000000}" name="Dealer Name" dataDxfId="8"/>
    <tableColumn id="7" xr3:uid="{00000000-0010-0000-0000-000007000000}" name="Funded by" dataDxfId="7"/>
    <tableColumn id="8" xr3:uid="{00000000-0010-0000-0000-000008000000}" name="Amount Financed" dataDxfId="6"/>
    <tableColumn id="9" xr3:uid="{00000000-0010-0000-0000-000009000000}" name="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DBE61D-14B4-454B-BCCB-B851DD6FABFC}" name="Table_15" displayName="Table_15" ref="A3:H29" headerRowDxfId="16" dataDxfId="14" totalsRowDxfId="15">
  <sortState xmlns:xlrd2="http://schemas.microsoft.com/office/spreadsheetml/2017/richdata2" ref="A4:H29">
    <sortCondition ref="A4:A29"/>
  </sortState>
  <tableColumns count="8">
    <tableColumn id="1" xr3:uid="{DA47AB62-09AD-4462-861B-585BC85137AA}" name="Dealer Name" dataDxfId="24"/>
    <tableColumn id="8" xr3:uid="{CB5556BF-B65B-4EF1-B5D1-0EC31C1D9B94}" name="Column2" dataDxfId="23"/>
    <tableColumn id="2" xr3:uid="{DC5C3F2B-6E71-4487-8EAF-D9ED75F0FDF0}" name="Funded by" dataDxfId="22"/>
    <tableColumn id="3" xr3:uid="{25AC9C86-D29F-4B41-A147-ECCF4A414C9C}" name="Dealer Flat" dataDxfId="21"/>
    <tableColumn id="4" xr3:uid="{F77CDCDB-D522-407C-A6FA-700F97F56039}" name="Dealer Split" dataDxfId="20"/>
    <tableColumn id="5" xr3:uid="{D4AAAAA6-6745-414D-884F-489C0B0602B6}" name="Net to Dealer" dataDxfId="19"/>
    <tableColumn id="7" xr3:uid="{02993FE5-9094-4B80-8E22-C357C991A2F4}" name="Column1" dataDxfId="18"/>
    <tableColumn id="6" xr3:uid="{4F2AD40C-6243-4769-BB82-ACC8258688B4}" name="Contracted Amount Financed" dataDxfId="1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8E3828-868A-455B-B243-F9025111C877}" name="Table_13" displayName="Table_13" ref="A3:E7">
  <tableColumns count="5">
    <tableColumn id="1" xr3:uid="{2206DA92-F727-4BD6-8987-38A0FFD19E27}" name="Account Number"/>
    <tableColumn id="2" xr3:uid="{B92B5404-1C65-4243-B982-346364417597}" name="Contract Type"/>
    <tableColumn id="3" xr3:uid="{1B965F44-37D7-4033-8716-172722038F41}" name="Applicant Name"/>
    <tableColumn id="4" xr3:uid="{AE4BD9C4-568D-4382-B8FA-FE8E70B811EE}" name="Co-Applicant Name"/>
    <tableColumn id="5" xr3:uid="{8C16D3D9-D8BD-4303-B9BC-E5C9AA6C22AA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"/>
  <sheetViews>
    <sheetView tabSelected="1" workbookViewId="0">
      <pane ySplit="3" topLeftCell="A7" activePane="bottomLeft" state="frozen"/>
      <selection pane="bottomLeft" activeCell="H13" sqref="H13"/>
    </sheetView>
  </sheetViews>
  <sheetFormatPr defaultRowHeight="15.75" x14ac:dyDescent="0.25"/>
  <cols>
    <col min="1" max="1" width="16.42578125" style="6" bestFit="1" customWidth="1"/>
    <col min="2" max="2" width="12.140625" style="6" bestFit="1" customWidth="1"/>
    <col min="3" max="3" width="14" style="6" bestFit="1" customWidth="1"/>
    <col min="4" max="4" width="22.5703125" style="6" bestFit="1" customWidth="1"/>
    <col min="5" max="5" width="20.140625" style="6" bestFit="1" customWidth="1"/>
    <col min="6" max="6" width="29.5703125" style="6" customWidth="1"/>
    <col min="7" max="7" width="15.140625" style="6" bestFit="1" customWidth="1"/>
    <col min="8" max="8" width="17.140625" style="6" bestFit="1" customWidth="1"/>
    <col min="9" max="9" width="30" style="6" bestFit="1" customWidth="1"/>
    <col min="10" max="10" width="13.7109375" style="6" customWidth="1"/>
    <col min="11" max="11" width="8.42578125" style="6" customWidth="1"/>
    <col min="12" max="16384" width="9.140625" style="6"/>
  </cols>
  <sheetData>
    <row r="1" spans="1:11" x14ac:dyDescent="0.25">
      <c r="J1" s="18">
        <v>45911</v>
      </c>
      <c r="K1" s="9"/>
    </row>
    <row r="2" spans="1:11" x14ac:dyDescent="0.25">
      <c r="A2" s="19" t="s">
        <v>0</v>
      </c>
      <c r="B2" s="11"/>
      <c r="C2" s="11"/>
      <c r="D2" s="11"/>
      <c r="E2" s="11"/>
      <c r="F2" s="11"/>
      <c r="G2" s="20" t="s">
        <v>1</v>
      </c>
      <c r="H2" s="11"/>
      <c r="I2" s="11"/>
      <c r="J2" s="11"/>
      <c r="K2" s="11"/>
    </row>
    <row r="3" spans="1:1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spans="1:11" ht="33" customHeight="1" x14ac:dyDescent="0.25">
      <c r="A4" s="6" t="s">
        <v>87</v>
      </c>
      <c r="B4" s="6" t="s">
        <v>13</v>
      </c>
      <c r="C4" s="6" t="s">
        <v>14</v>
      </c>
      <c r="D4" s="6" t="s">
        <v>15</v>
      </c>
      <c r="F4" s="6" t="s">
        <v>16</v>
      </c>
      <c r="G4" s="6" t="s">
        <v>17</v>
      </c>
      <c r="H4" s="13">
        <v>21099.54</v>
      </c>
      <c r="J4" s="6" t="s">
        <v>18</v>
      </c>
    </row>
    <row r="5" spans="1:11" ht="33" customHeight="1" x14ac:dyDescent="0.25">
      <c r="A5" s="6" t="s">
        <v>88</v>
      </c>
      <c r="B5" s="6" t="s">
        <v>13</v>
      </c>
      <c r="C5" s="6" t="s">
        <v>14</v>
      </c>
      <c r="D5" s="6" t="s">
        <v>19</v>
      </c>
      <c r="F5" s="6" t="s">
        <v>20</v>
      </c>
      <c r="G5" s="6" t="s">
        <v>17</v>
      </c>
      <c r="H5" s="13">
        <v>34814.33</v>
      </c>
      <c r="I5" s="6" t="s">
        <v>21</v>
      </c>
      <c r="J5" s="6" t="s">
        <v>22</v>
      </c>
    </row>
    <row r="6" spans="1:11" ht="33" customHeight="1" x14ac:dyDescent="0.25">
      <c r="A6" s="6" t="s">
        <v>23</v>
      </c>
      <c r="B6" s="6" t="s">
        <v>13</v>
      </c>
      <c r="C6" s="6" t="s">
        <v>24</v>
      </c>
      <c r="D6" s="6" t="s">
        <v>25</v>
      </c>
      <c r="F6" s="6" t="s">
        <v>26</v>
      </c>
      <c r="G6" s="6" t="s">
        <v>17</v>
      </c>
      <c r="H6" s="13">
        <v>25959.34</v>
      </c>
      <c r="I6" s="6" t="s">
        <v>27</v>
      </c>
      <c r="J6" s="6" t="s">
        <v>28</v>
      </c>
    </row>
    <row r="7" spans="1:11" ht="33" customHeight="1" x14ac:dyDescent="0.25">
      <c r="A7" s="6" t="s">
        <v>89</v>
      </c>
      <c r="B7" s="6" t="s">
        <v>13</v>
      </c>
      <c r="C7" s="6" t="s">
        <v>14</v>
      </c>
      <c r="D7" s="6" t="s">
        <v>29</v>
      </c>
      <c r="F7" s="6" t="s">
        <v>30</v>
      </c>
      <c r="G7" s="6" t="s">
        <v>17</v>
      </c>
      <c r="H7" s="13">
        <v>21227.360000000001</v>
      </c>
      <c r="I7" s="6" t="s">
        <v>31</v>
      </c>
      <c r="J7" s="6" t="s">
        <v>32</v>
      </c>
    </row>
    <row r="8" spans="1:11" ht="33" customHeight="1" x14ac:dyDescent="0.25">
      <c r="A8" s="6" t="s">
        <v>90</v>
      </c>
      <c r="B8" s="6" t="s">
        <v>13</v>
      </c>
      <c r="C8" s="6" t="s">
        <v>14</v>
      </c>
      <c r="D8" s="6" t="s">
        <v>33</v>
      </c>
      <c r="E8" s="6" t="s">
        <v>34</v>
      </c>
      <c r="F8" s="6" t="s">
        <v>35</v>
      </c>
      <c r="G8" s="6" t="s">
        <v>17</v>
      </c>
      <c r="H8" s="13">
        <v>28224.06</v>
      </c>
      <c r="I8" s="6" t="s">
        <v>36</v>
      </c>
      <c r="J8" s="6" t="s">
        <v>37</v>
      </c>
      <c r="K8" s="6" t="s">
        <v>38</v>
      </c>
    </row>
    <row r="9" spans="1:11" ht="33" customHeight="1" x14ac:dyDescent="0.25">
      <c r="A9" s="6" t="s">
        <v>91</v>
      </c>
      <c r="B9" s="6" t="s">
        <v>39</v>
      </c>
      <c r="C9" s="6" t="s">
        <v>14</v>
      </c>
      <c r="D9" s="6" t="s">
        <v>40</v>
      </c>
      <c r="E9" s="6" t="s">
        <v>41</v>
      </c>
      <c r="F9" s="6" t="s">
        <v>42</v>
      </c>
      <c r="G9" s="6" t="s">
        <v>17</v>
      </c>
      <c r="H9" s="13">
        <v>7645.31</v>
      </c>
      <c r="J9" s="6" t="s">
        <v>43</v>
      </c>
      <c r="K9" s="6" t="s">
        <v>44</v>
      </c>
    </row>
    <row r="10" spans="1:11" ht="33" customHeight="1" x14ac:dyDescent="0.25">
      <c r="A10" s="6" t="s">
        <v>45</v>
      </c>
      <c r="B10" s="6" t="s">
        <v>39</v>
      </c>
      <c r="C10" s="6" t="s">
        <v>24</v>
      </c>
      <c r="D10" s="6" t="s">
        <v>46</v>
      </c>
      <c r="F10" s="6" t="s">
        <v>47</v>
      </c>
      <c r="G10" s="6" t="s">
        <v>17</v>
      </c>
      <c r="H10" s="13">
        <v>74918.880000000005</v>
      </c>
      <c r="I10" s="6" t="s">
        <v>48</v>
      </c>
      <c r="J10" s="6" t="s">
        <v>49</v>
      </c>
    </row>
    <row r="11" spans="1:11" ht="33" customHeight="1" x14ac:dyDescent="0.25">
      <c r="A11" s="6" t="s">
        <v>50</v>
      </c>
      <c r="B11" s="6" t="s">
        <v>13</v>
      </c>
      <c r="C11" s="6" t="s">
        <v>24</v>
      </c>
      <c r="D11" s="6" t="s">
        <v>51</v>
      </c>
      <c r="F11" s="6" t="s">
        <v>52</v>
      </c>
      <c r="G11" s="6" t="s">
        <v>53</v>
      </c>
      <c r="H11" s="13">
        <v>41963.93</v>
      </c>
      <c r="I11" s="6" t="s">
        <v>54</v>
      </c>
      <c r="J11" s="6" t="s">
        <v>55</v>
      </c>
    </row>
    <row r="12" spans="1:11" ht="33" customHeight="1" x14ac:dyDescent="0.25">
      <c r="A12" s="6" t="s">
        <v>92</v>
      </c>
      <c r="B12" s="6" t="s">
        <v>39</v>
      </c>
      <c r="C12" s="6" t="s">
        <v>14</v>
      </c>
      <c r="D12" s="6" t="s">
        <v>56</v>
      </c>
      <c r="F12" s="6" t="s">
        <v>57</v>
      </c>
      <c r="G12" s="6" t="s">
        <v>53</v>
      </c>
      <c r="H12" s="13">
        <v>30954.68</v>
      </c>
      <c r="I12" s="6" t="s">
        <v>58</v>
      </c>
      <c r="J12" s="6" t="s">
        <v>59</v>
      </c>
    </row>
    <row r="13" spans="1:11" ht="33" customHeight="1" x14ac:dyDescent="0.25">
      <c r="A13" s="6" t="s">
        <v>93</v>
      </c>
      <c r="B13" s="6" t="s">
        <v>13</v>
      </c>
      <c r="C13" s="6" t="s">
        <v>14</v>
      </c>
      <c r="D13" s="6" t="s">
        <v>60</v>
      </c>
      <c r="F13" s="6" t="s">
        <v>61</v>
      </c>
      <c r="G13" s="6" t="s">
        <v>53</v>
      </c>
      <c r="H13" s="13">
        <v>39363.31</v>
      </c>
      <c r="I13" s="6" t="s">
        <v>62</v>
      </c>
      <c r="J13" s="6" t="s">
        <v>63</v>
      </c>
    </row>
    <row r="14" spans="1:11" ht="33" customHeight="1" x14ac:dyDescent="0.25">
      <c r="A14" s="6" t="s">
        <v>94</v>
      </c>
      <c r="B14" s="6" t="s">
        <v>13</v>
      </c>
      <c r="C14" s="6" t="s">
        <v>14</v>
      </c>
      <c r="D14" s="6" t="s">
        <v>64</v>
      </c>
      <c r="F14" s="6" t="s">
        <v>65</v>
      </c>
      <c r="G14" s="6" t="s">
        <v>53</v>
      </c>
      <c r="H14" s="13">
        <v>49953.89</v>
      </c>
      <c r="I14" s="6" t="s">
        <v>66</v>
      </c>
      <c r="J14" s="6" t="s">
        <v>67</v>
      </c>
    </row>
    <row r="15" spans="1:11" ht="33" customHeight="1" x14ac:dyDescent="0.25">
      <c r="A15" s="6" t="s">
        <v>95</v>
      </c>
      <c r="B15" s="6" t="s">
        <v>13</v>
      </c>
      <c r="C15" s="6" t="s">
        <v>14</v>
      </c>
      <c r="D15" s="6" t="s">
        <v>68</v>
      </c>
      <c r="F15" s="6" t="s">
        <v>69</v>
      </c>
      <c r="G15" s="6" t="s">
        <v>53</v>
      </c>
      <c r="H15" s="13">
        <v>26800.63</v>
      </c>
      <c r="I15" s="6" t="s">
        <v>70</v>
      </c>
      <c r="J15" s="6" t="s">
        <v>71</v>
      </c>
    </row>
    <row r="16" spans="1:11" ht="33" customHeight="1" x14ac:dyDescent="0.25">
      <c r="A16" s="6" t="s">
        <v>96</v>
      </c>
      <c r="B16" s="6" t="s">
        <v>13</v>
      </c>
      <c r="C16" s="6" t="s">
        <v>14</v>
      </c>
      <c r="D16" s="6" t="s">
        <v>72</v>
      </c>
      <c r="F16" s="6" t="s">
        <v>16</v>
      </c>
      <c r="G16" s="6" t="s">
        <v>53</v>
      </c>
      <c r="H16" s="13">
        <v>33998.06</v>
      </c>
      <c r="I16" s="6" t="s">
        <v>73</v>
      </c>
      <c r="J16" s="6" t="s">
        <v>74</v>
      </c>
    </row>
    <row r="17" spans="1:11" x14ac:dyDescent="0.25">
      <c r="A17" s="21"/>
      <c r="B17" s="21"/>
      <c r="C17" s="21"/>
      <c r="D17" s="21" t="s">
        <v>75</v>
      </c>
      <c r="E17" s="21"/>
      <c r="F17" s="21"/>
      <c r="G17" s="21"/>
      <c r="H17" s="22">
        <f>SUM(H4:H16)</f>
        <v>436923.32</v>
      </c>
      <c r="I17" s="21"/>
      <c r="J17" s="21"/>
      <c r="K17" s="21"/>
    </row>
  </sheetData>
  <mergeCells count="3">
    <mergeCell ref="A2:F2"/>
    <mergeCell ref="G2:K2"/>
    <mergeCell ref="J1:K1"/>
  </mergeCells>
  <pageMargins left="0.7" right="0.2" top="0.75" bottom="0.75" header="0.3" footer="0.3"/>
  <pageSetup paperSize="5" scale="7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D79B-B397-40CD-93FC-8A77AC2B7AF9}">
  <sheetPr>
    <pageSetUpPr fitToPage="1"/>
  </sheetPr>
  <dimension ref="A1:H29"/>
  <sheetViews>
    <sheetView topLeftCell="A21" workbookViewId="0">
      <selection activeCell="G37" sqref="G37"/>
    </sheetView>
  </sheetViews>
  <sheetFormatPr defaultRowHeight="15.75" x14ac:dyDescent="0.25"/>
  <cols>
    <col min="1" max="1" width="21.140625" style="6" customWidth="1"/>
    <col min="2" max="2" width="15.140625" style="6" customWidth="1"/>
    <col min="3" max="3" width="16.42578125" style="6" customWidth="1"/>
    <col min="4" max="4" width="13.28515625" style="6" customWidth="1"/>
    <col min="5" max="5" width="14.42578125" style="6" customWidth="1"/>
    <col min="6" max="7" width="13.42578125" style="6" customWidth="1"/>
    <col min="8" max="8" width="15.28515625" style="6" customWidth="1"/>
    <col min="9" max="16384" width="9.140625" style="6"/>
  </cols>
  <sheetData>
    <row r="1" spans="1:8" x14ac:dyDescent="0.25">
      <c r="E1" s="7"/>
      <c r="G1" s="8">
        <v>45911</v>
      </c>
      <c r="H1" s="9"/>
    </row>
    <row r="2" spans="1:8" x14ac:dyDescent="0.25">
      <c r="A2" s="10" t="s">
        <v>0</v>
      </c>
      <c r="B2" s="10"/>
      <c r="C2" s="11"/>
      <c r="D2" s="11"/>
      <c r="E2" s="12" t="s">
        <v>77</v>
      </c>
      <c r="F2" s="11"/>
      <c r="G2" s="11"/>
      <c r="H2" s="11"/>
    </row>
    <row r="3" spans="1:8" x14ac:dyDescent="0.25">
      <c r="A3" s="6" t="s">
        <v>7</v>
      </c>
      <c r="B3" s="6" t="s">
        <v>83</v>
      </c>
      <c r="C3" s="6" t="s">
        <v>8</v>
      </c>
      <c r="D3" s="6" t="s">
        <v>78</v>
      </c>
      <c r="E3" s="6" t="s">
        <v>79</v>
      </c>
      <c r="F3" s="6" t="s">
        <v>80</v>
      </c>
      <c r="G3" s="6" t="s">
        <v>82</v>
      </c>
      <c r="H3" s="6" t="s">
        <v>81</v>
      </c>
    </row>
    <row r="4" spans="1:8" ht="24.95" customHeight="1" x14ac:dyDescent="0.25">
      <c r="A4" s="6" t="s">
        <v>61</v>
      </c>
      <c r="C4" s="6" t="s">
        <v>53</v>
      </c>
      <c r="D4" s="13">
        <v>950</v>
      </c>
      <c r="E4" s="13">
        <v>0</v>
      </c>
      <c r="F4" s="14">
        <v>39288.31</v>
      </c>
      <c r="G4" s="13"/>
      <c r="H4" s="13">
        <v>39363.31</v>
      </c>
    </row>
    <row r="5" spans="1:8" ht="24.95" customHeight="1" x14ac:dyDescent="0.25">
      <c r="D5" s="13"/>
      <c r="E5" s="13"/>
      <c r="F5" s="14"/>
      <c r="G5" s="13"/>
      <c r="H5" s="13"/>
    </row>
    <row r="6" spans="1:8" ht="24.95" customHeight="1" x14ac:dyDescent="0.25">
      <c r="A6" s="6" t="s">
        <v>57</v>
      </c>
      <c r="C6" s="6" t="s">
        <v>53</v>
      </c>
      <c r="D6" s="13">
        <v>850</v>
      </c>
      <c r="E6" s="13">
        <v>0</v>
      </c>
      <c r="F6" s="14">
        <v>30879.68</v>
      </c>
      <c r="G6" s="13"/>
      <c r="H6" s="13">
        <v>30954.68</v>
      </c>
    </row>
    <row r="7" spans="1:8" ht="24.95" customHeight="1" x14ac:dyDescent="0.25">
      <c r="D7" s="13"/>
      <c r="E7" s="13"/>
      <c r="F7" s="14"/>
      <c r="G7" s="13"/>
      <c r="H7" s="13"/>
    </row>
    <row r="8" spans="1:8" ht="24.95" customHeight="1" x14ac:dyDescent="0.25">
      <c r="A8" s="6" t="s">
        <v>35</v>
      </c>
      <c r="C8" s="6" t="s">
        <v>17</v>
      </c>
      <c r="D8" s="13">
        <v>750</v>
      </c>
      <c r="E8" s="13">
        <v>0</v>
      </c>
      <c r="F8" s="14">
        <v>28149.06</v>
      </c>
      <c r="G8" s="13"/>
      <c r="H8" s="13">
        <v>28224.06</v>
      </c>
    </row>
    <row r="9" spans="1:8" ht="24.95" customHeight="1" x14ac:dyDescent="0.25">
      <c r="D9" s="13"/>
      <c r="E9" s="13"/>
      <c r="F9" s="13"/>
      <c r="G9" s="13"/>
      <c r="H9" s="13"/>
    </row>
    <row r="10" spans="1:8" ht="24.95" customHeight="1" x14ac:dyDescent="0.25">
      <c r="A10" s="6" t="s">
        <v>16</v>
      </c>
      <c r="C10" s="6" t="s">
        <v>53</v>
      </c>
      <c r="D10" s="13">
        <v>850</v>
      </c>
      <c r="E10" s="13">
        <v>0</v>
      </c>
      <c r="F10" s="13">
        <v>33923.06</v>
      </c>
      <c r="G10" s="13"/>
      <c r="H10" s="13">
        <v>33998.06</v>
      </c>
    </row>
    <row r="11" spans="1:8" ht="24.95" customHeight="1" x14ac:dyDescent="0.25">
      <c r="A11" s="6" t="s">
        <v>16</v>
      </c>
      <c r="C11" s="6" t="s">
        <v>17</v>
      </c>
      <c r="D11" s="13">
        <v>650</v>
      </c>
      <c r="E11" s="13">
        <v>0</v>
      </c>
      <c r="F11" s="13">
        <v>21024.54</v>
      </c>
      <c r="G11" s="14">
        <f>SUM(F10:F11)</f>
        <v>54947.6</v>
      </c>
      <c r="H11" s="13">
        <v>21099.54</v>
      </c>
    </row>
    <row r="12" spans="1:8" ht="24.95" customHeight="1" x14ac:dyDescent="0.25">
      <c r="D12" s="13"/>
      <c r="E12" s="13"/>
      <c r="F12" s="13"/>
      <c r="G12" s="13"/>
      <c r="H12" s="13"/>
    </row>
    <row r="13" spans="1:8" ht="24.95" customHeight="1" x14ac:dyDescent="0.25">
      <c r="A13" s="6" t="s">
        <v>84</v>
      </c>
      <c r="C13" s="6" t="s">
        <v>17</v>
      </c>
      <c r="D13" s="13">
        <v>150</v>
      </c>
      <c r="E13" s="13">
        <v>0</v>
      </c>
      <c r="F13" s="14">
        <v>7570.31</v>
      </c>
      <c r="G13" s="13"/>
      <c r="H13" s="13">
        <v>7645.31</v>
      </c>
    </row>
    <row r="14" spans="1:8" ht="24.95" customHeight="1" x14ac:dyDescent="0.25">
      <c r="D14" s="13"/>
      <c r="E14" s="13"/>
      <c r="F14" s="14"/>
      <c r="G14" s="13"/>
      <c r="H14" s="13"/>
    </row>
    <row r="15" spans="1:8" ht="24.95" customHeight="1" x14ac:dyDescent="0.25">
      <c r="A15" s="6" t="s">
        <v>65</v>
      </c>
      <c r="C15" s="6" t="s">
        <v>53</v>
      </c>
      <c r="D15" s="13">
        <v>1150</v>
      </c>
      <c r="E15" s="13">
        <v>0</v>
      </c>
      <c r="F15" s="14">
        <v>49878.89</v>
      </c>
      <c r="G15" s="13"/>
      <c r="H15" s="13">
        <v>49953.89</v>
      </c>
    </row>
    <row r="16" spans="1:8" ht="24.95" customHeight="1" x14ac:dyDescent="0.25">
      <c r="D16" s="13"/>
      <c r="E16" s="13"/>
      <c r="F16" s="14"/>
      <c r="G16" s="13"/>
      <c r="H16" s="13"/>
    </row>
    <row r="17" spans="1:8" ht="24.95" customHeight="1" x14ac:dyDescent="0.25">
      <c r="A17" s="6" t="s">
        <v>26</v>
      </c>
      <c r="B17" s="15" t="s">
        <v>85</v>
      </c>
      <c r="C17" s="6" t="s">
        <v>17</v>
      </c>
      <c r="D17" s="13">
        <v>750</v>
      </c>
      <c r="E17" s="13">
        <v>0</v>
      </c>
      <c r="F17" s="14">
        <v>25884.34</v>
      </c>
      <c r="G17" s="13"/>
      <c r="H17" s="13">
        <v>25959.34</v>
      </c>
    </row>
    <row r="18" spans="1:8" ht="24.95" customHeight="1" x14ac:dyDescent="0.25">
      <c r="B18" s="15"/>
      <c r="D18" s="13"/>
      <c r="E18" s="13"/>
      <c r="F18" s="14"/>
      <c r="G18" s="13"/>
      <c r="H18" s="13"/>
    </row>
    <row r="19" spans="1:8" ht="24.95" customHeight="1" x14ac:dyDescent="0.25">
      <c r="A19" s="6" t="s">
        <v>30</v>
      </c>
      <c r="B19" s="15" t="s">
        <v>86</v>
      </c>
      <c r="C19" s="6" t="s">
        <v>17</v>
      </c>
      <c r="D19" s="13">
        <v>650</v>
      </c>
      <c r="E19" s="13">
        <v>0</v>
      </c>
      <c r="F19" s="14">
        <v>21152.36</v>
      </c>
      <c r="G19" s="13"/>
      <c r="H19" s="13">
        <v>21227.360000000001</v>
      </c>
    </row>
    <row r="20" spans="1:8" ht="24.95" customHeight="1" x14ac:dyDescent="0.25">
      <c r="B20" s="15"/>
      <c r="D20" s="13"/>
      <c r="E20" s="13"/>
      <c r="F20" s="14"/>
      <c r="G20" s="13"/>
      <c r="H20" s="13"/>
    </row>
    <row r="21" spans="1:8" ht="24.95" customHeight="1" x14ac:dyDescent="0.25">
      <c r="A21" s="6" t="s">
        <v>69</v>
      </c>
      <c r="C21" s="6" t="s">
        <v>53</v>
      </c>
      <c r="D21" s="13">
        <v>750</v>
      </c>
      <c r="E21" s="13">
        <v>0</v>
      </c>
      <c r="F21" s="14">
        <v>26725.63</v>
      </c>
      <c r="G21" s="13"/>
      <c r="H21" s="13">
        <v>26800.63</v>
      </c>
    </row>
    <row r="22" spans="1:8" ht="24.95" customHeight="1" x14ac:dyDescent="0.25">
      <c r="D22" s="13"/>
      <c r="E22" s="13"/>
      <c r="F22" s="14"/>
      <c r="G22" s="13"/>
      <c r="H22" s="13"/>
    </row>
    <row r="23" spans="1:8" ht="24.95" customHeight="1" x14ac:dyDescent="0.25">
      <c r="A23" s="6" t="s">
        <v>20</v>
      </c>
      <c r="C23" s="6" t="s">
        <v>17</v>
      </c>
      <c r="D23" s="13">
        <v>850</v>
      </c>
      <c r="E23" s="13">
        <v>0</v>
      </c>
      <c r="F23" s="14">
        <v>34739.33</v>
      </c>
      <c r="G23" s="13"/>
      <c r="H23" s="13">
        <v>34814.33</v>
      </c>
    </row>
    <row r="24" spans="1:8" ht="24.95" customHeight="1" x14ac:dyDescent="0.25">
      <c r="D24" s="13"/>
      <c r="E24" s="13"/>
      <c r="F24" s="14"/>
      <c r="G24" s="13"/>
      <c r="H24" s="13"/>
    </row>
    <row r="25" spans="1:8" ht="24.95" customHeight="1" x14ac:dyDescent="0.25">
      <c r="A25" s="6" t="s">
        <v>52</v>
      </c>
      <c r="C25" s="6" t="s">
        <v>53</v>
      </c>
      <c r="D25" s="13">
        <v>1050</v>
      </c>
      <c r="E25" s="13">
        <v>0</v>
      </c>
      <c r="F25" s="14">
        <v>41888.93</v>
      </c>
      <c r="G25" s="13"/>
      <c r="H25" s="13">
        <v>41963.93</v>
      </c>
    </row>
    <row r="26" spans="1:8" ht="24.95" customHeight="1" x14ac:dyDescent="0.25">
      <c r="D26" s="13"/>
      <c r="E26" s="13"/>
      <c r="F26" s="14"/>
      <c r="G26" s="13"/>
      <c r="H26" s="13"/>
    </row>
    <row r="27" spans="1:8" ht="24.95" customHeight="1" x14ac:dyDescent="0.25">
      <c r="A27" s="6" t="s">
        <v>47</v>
      </c>
      <c r="C27" s="6" t="s">
        <v>17</v>
      </c>
      <c r="D27" s="13">
        <v>1500</v>
      </c>
      <c r="E27" s="13">
        <v>0</v>
      </c>
      <c r="F27" s="14">
        <v>74843.88</v>
      </c>
      <c r="G27" s="13"/>
      <c r="H27" s="13">
        <v>74918.880000000005</v>
      </c>
    </row>
    <row r="28" spans="1:8" x14ac:dyDescent="0.25">
      <c r="D28" s="13"/>
      <c r="E28" s="13"/>
      <c r="F28" s="13"/>
      <c r="G28" s="13"/>
      <c r="H28" s="13"/>
    </row>
    <row r="29" spans="1:8" x14ac:dyDescent="0.25">
      <c r="A29" s="16"/>
      <c r="B29" s="16"/>
      <c r="C29" s="16"/>
      <c r="D29" s="17">
        <f>SUM(D4:D27)</f>
        <v>10900</v>
      </c>
      <c r="E29" s="17">
        <f>SUM(E4:E27)</f>
        <v>0</v>
      </c>
      <c r="F29" s="17">
        <f>SUM(F4:F27)</f>
        <v>435948.32</v>
      </c>
      <c r="G29" s="17"/>
      <c r="H29" s="17">
        <f>SUM(H4:H27)</f>
        <v>436923.32</v>
      </c>
    </row>
  </sheetData>
  <mergeCells count="3">
    <mergeCell ref="A2:D2"/>
    <mergeCell ref="E2:H2"/>
    <mergeCell ref="G1:H1"/>
  </mergeCells>
  <pageMargins left="0.7" right="0.7" top="1" bottom="1" header="0.3" footer="0.3"/>
  <pageSetup scale="86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8C3C-9B66-431E-8E91-3F6A65D5106F}">
  <sheetPr>
    <pageSetUpPr fitToPage="1"/>
  </sheetPr>
  <dimension ref="A1:E20"/>
  <sheetViews>
    <sheetView workbookViewId="0">
      <selection activeCell="F16" sqref="F16"/>
    </sheetView>
  </sheetViews>
  <sheetFormatPr defaultRowHeight="15" x14ac:dyDescent="0.25"/>
  <cols>
    <col min="1" max="1" width="16.140625" customWidth="1"/>
    <col min="2" max="2" width="9" customWidth="1"/>
    <col min="3" max="3" width="21.7109375" customWidth="1"/>
    <col min="4" max="4" width="6" customWidth="1"/>
    <col min="5" max="5" width="29.85546875" customWidth="1"/>
  </cols>
  <sheetData>
    <row r="1" spans="1:5" x14ac:dyDescent="0.25">
      <c r="A1" t="s">
        <v>101</v>
      </c>
      <c r="D1" s="2"/>
      <c r="E1" s="23">
        <v>45911</v>
      </c>
    </row>
    <row r="2" spans="1:5" ht="24.95" customHeight="1" x14ac:dyDescent="0.25">
      <c r="A2" s="3" t="s">
        <v>0</v>
      </c>
      <c r="B2" s="4"/>
      <c r="C2" s="4"/>
      <c r="D2" s="5" t="s">
        <v>76</v>
      </c>
      <c r="E2" s="4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23</v>
      </c>
      <c r="B4" t="s">
        <v>24</v>
      </c>
      <c r="C4" t="s">
        <v>25</v>
      </c>
      <c r="E4" t="s">
        <v>26</v>
      </c>
    </row>
    <row r="5" spans="1:5" ht="24.95" customHeight="1" x14ac:dyDescent="0.25">
      <c r="A5" t="s">
        <v>45</v>
      </c>
      <c r="B5" t="s">
        <v>24</v>
      </c>
      <c r="C5" t="s">
        <v>46</v>
      </c>
      <c r="E5" t="s">
        <v>47</v>
      </c>
    </row>
    <row r="6" spans="1:5" ht="24.95" customHeight="1" x14ac:dyDescent="0.25">
      <c r="A6" t="s">
        <v>50</v>
      </c>
      <c r="B6" t="s">
        <v>24</v>
      </c>
      <c r="C6" t="s">
        <v>51</v>
      </c>
      <c r="E6" t="s">
        <v>52</v>
      </c>
    </row>
    <row r="7" spans="1:5" ht="24.95" customHeight="1" x14ac:dyDescent="0.25">
      <c r="A7" s="1"/>
      <c r="B7" s="1"/>
      <c r="C7" s="1" t="s">
        <v>97</v>
      </c>
      <c r="D7" s="1"/>
      <c r="E7" s="1"/>
    </row>
    <row r="12" spans="1:5" x14ac:dyDescent="0.25">
      <c r="A12" t="s">
        <v>98</v>
      </c>
      <c r="B12" s="24"/>
      <c r="C12" s="24"/>
      <c r="D12" s="24"/>
    </row>
    <row r="16" spans="1:5" x14ac:dyDescent="0.25">
      <c r="A16" t="s">
        <v>99</v>
      </c>
      <c r="B16" s="24"/>
      <c r="C16" s="24"/>
      <c r="D16" s="24"/>
    </row>
    <row r="20" spans="1:3" x14ac:dyDescent="0.25">
      <c r="A20" t="s">
        <v>100</v>
      </c>
      <c r="B20" s="24"/>
      <c r="C20" s="24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2025-09-11T19:06:44Z</cp:lastPrinted>
  <dcterms:created xsi:type="dcterms:W3CDTF">2025-09-11T18:25:57Z</dcterms:created>
  <dcterms:modified xsi:type="dcterms:W3CDTF">2025-09-11T19:07:32Z</dcterms:modified>
</cp:coreProperties>
</file>