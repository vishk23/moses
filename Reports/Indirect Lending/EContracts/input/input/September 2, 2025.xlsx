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C8A7703E-5D0B-4A11-BC12-4F78BA416452}" xr6:coauthVersionLast="47" xr6:coauthVersionMax="47" xr10:uidLastSave="{00000000-0000-0000-0000-000000000000}"/>
  <bookViews>
    <workbookView xWindow="37695" yWindow="570" windowWidth="19365" windowHeight="1416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2" l="1"/>
  <c r="G23" i="2"/>
  <c r="G17" i="2"/>
  <c r="G8" i="2"/>
  <c r="G5" i="2"/>
  <c r="H39" i="2"/>
  <c r="F39" i="2"/>
  <c r="E39" i="2"/>
  <c r="D39" i="2"/>
  <c r="H26" i="1"/>
</calcChain>
</file>

<file path=xl/sharedStrings.xml><?xml version="1.0" encoding="utf-8"?>
<sst xmlns="http://schemas.openxmlformats.org/spreadsheetml/2006/main" count="277" uniqueCount="143">
  <si>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</si>
  <si>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</si>
  <si>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</si>
  <si>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</si>
  <si>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</si>
  <si>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</si>
  <si>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</si>
  <si>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</si>
  <si>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</si>
  <si>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</si>
  <si>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</si>
  <si>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</si>
  <si>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</si>
  <si>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</si>
  <si>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</si>
  <si>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</si>
  <si>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GELFUSO, REYNA</t>
  </si>
  <si>
    <t>Metro Honda</t>
  </si>
  <si>
    <t>Marlene Braganca</t>
  </si>
  <si>
    <t>Sancier</t>
  </si>
  <si>
    <t>STEWART, CINDY</t>
  </si>
  <si>
    <t>STEWART, EDMUND</t>
  </si>
  <si>
    <t>Bourne Enterprises Inc</t>
  </si>
  <si>
    <t>LAZARUS</t>
  </si>
  <si>
    <t>MALOOF</t>
  </si>
  <si>
    <t>Route One</t>
  </si>
  <si>
    <t>GOMEZ CORTEZ, JOSE</t>
  </si>
  <si>
    <t>FLORES DE GOMEZ, VERONICA</t>
  </si>
  <si>
    <t>Grieco Toyota</t>
  </si>
  <si>
    <t>Cortez</t>
  </si>
  <si>
    <t>PINEDA</t>
  </si>
  <si>
    <t>WENCIS, SAMANTHA</t>
  </si>
  <si>
    <t>Patriot Auto Group Inc d/b/a</t>
  </si>
  <si>
    <t>sammywencis8@gmail.com</t>
  </si>
  <si>
    <t>FOYNES</t>
  </si>
  <si>
    <t>Ciano, Carilynne</t>
  </si>
  <si>
    <t>Lucchettis Service Center Inc</t>
  </si>
  <si>
    <t>CCIANO1@VERIZON.NET</t>
  </si>
  <si>
    <t>Colman</t>
  </si>
  <si>
    <t>PETROZZIELLO, ISABELLA</t>
  </si>
  <si>
    <t>T F Murphy Enterprises Inc</t>
  </si>
  <si>
    <t>ipetrozziello@outlook.com</t>
  </si>
  <si>
    <t>MCKernan</t>
  </si>
  <si>
    <t>BELANGER, GREGORY</t>
  </si>
  <si>
    <t>gbelanger@siteone.com</t>
  </si>
  <si>
    <t>Sorel</t>
  </si>
  <si>
    <t>BUMPUS, ELIZABETH</t>
  </si>
  <si>
    <t>BUMPUS, SHERRI</t>
  </si>
  <si>
    <t>Alden Mazda</t>
  </si>
  <si>
    <t>ELIZABETHBUMP29@GMAIL.COM</t>
  </si>
  <si>
    <t>SHERRI0181@VERIZON.NET</t>
  </si>
  <si>
    <t>LAFLEUR</t>
  </si>
  <si>
    <t>CLARK</t>
  </si>
  <si>
    <t>BROW, RICHARD</t>
  </si>
  <si>
    <t>Colonial South Chevrolet</t>
  </si>
  <si>
    <t>ODY357@CHARTER.NET</t>
  </si>
  <si>
    <t>ORCUTT</t>
  </si>
  <si>
    <t>GALLAGHER, THERESA</t>
  </si>
  <si>
    <t>MANOR439@GMAIL.COM</t>
  </si>
  <si>
    <t>Perryman</t>
  </si>
  <si>
    <t>GARCIA URIZAR, MILDRED</t>
  </si>
  <si>
    <t>mildredgarcia0805@gmail.com</t>
  </si>
  <si>
    <t>Urizar</t>
  </si>
  <si>
    <t>SANTAMARIA-VIGIL, AURA</t>
  </si>
  <si>
    <t>Gesner Auto Inc</t>
  </si>
  <si>
    <t>Neli Oliveira</t>
  </si>
  <si>
    <t>PALMA</t>
  </si>
  <si>
    <t>151219823</t>
  </si>
  <si>
    <t>Paper</t>
  </si>
  <si>
    <t>MCKINNON, KELLY</t>
  </si>
  <si>
    <t>HEAGNEY, KEVIN</t>
  </si>
  <si>
    <t>NORTON</t>
  </si>
  <si>
    <t>DONOHUE</t>
  </si>
  <si>
    <t>151219831</t>
  </si>
  <si>
    <t>STOCKWELL, PAUL</t>
  </si>
  <si>
    <t>Planet Automotive Sales LLC</t>
  </si>
  <si>
    <t>LITTLESTROKER@COMCAST.NET</t>
  </si>
  <si>
    <t>CROCKER</t>
  </si>
  <si>
    <t>SOUZA, DEBORAH</t>
  </si>
  <si>
    <t>Mastria Mazda</t>
  </si>
  <si>
    <t>Lima</t>
  </si>
  <si>
    <t>151219857</t>
  </si>
  <si>
    <t>OKEEFE, CHRISTINE</t>
  </si>
  <si>
    <t>S&amp;E Auto Services and Sales Inc</t>
  </si>
  <si>
    <t>Rachel Gorham</t>
  </si>
  <si>
    <t>CHRISTINEOKEEFE@COMCAST.NET</t>
  </si>
  <si>
    <t>NEFF</t>
  </si>
  <si>
    <t>GROSSMAN, MICHAEL</t>
  </si>
  <si>
    <t>REDDOG1970@COMCAST.NET</t>
  </si>
  <si>
    <t>DORN</t>
  </si>
  <si>
    <t>CRUZ MORATAYA, MICHAEL</t>
  </si>
  <si>
    <t>BETANCOURTH RIVERA DE CRUZ, LESVIA</t>
  </si>
  <si>
    <t>MORATAYA</t>
  </si>
  <si>
    <t>RIVERA</t>
  </si>
  <si>
    <t>LAFONTAINE, JOANN</t>
  </si>
  <si>
    <t>Tasca Chevrolet</t>
  </si>
  <si>
    <t>JOANNLAFONTAINE@YAHOO.COM</t>
  </si>
  <si>
    <t>VERMETTE</t>
  </si>
  <si>
    <t>MARTIN, STEPHANIE</t>
  </si>
  <si>
    <t>SLM080578@GMAIL.COM</t>
  </si>
  <si>
    <t>MELLO</t>
  </si>
  <si>
    <t>COLLINGS, KATHLEEN</t>
  </si>
  <si>
    <t>KMCOLLINGS@COMCAST.NET</t>
  </si>
  <si>
    <t>ESCHMANN</t>
  </si>
  <si>
    <t>BIGHAM, PETER</t>
  </si>
  <si>
    <t>PETEY1480@GMAIL.COM</t>
  </si>
  <si>
    <t>MCPARTLIN</t>
  </si>
  <si>
    <t># 22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</si>
  <si>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</si>
  <si>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</si>
  <si>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</si>
  <si>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</si>
  <si>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</si>
  <si>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</si>
  <si>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</si>
  <si>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5900-</t>
  </si>
  <si>
    <t>6390-</t>
  </si>
  <si>
    <t>to</t>
  </si>
  <si>
    <t>Funding Worksheet - Signoff Version</t>
  </si>
  <si>
    <t># 3</t>
  </si>
  <si>
    <t>Original Notes Delivered</t>
  </si>
  <si>
    <t>Delivered by:</t>
  </si>
  <si>
    <t>Received by:</t>
  </si>
  <si>
    <t>Date signed:</t>
  </si>
  <si>
    <t>151219526 E</t>
  </si>
  <si>
    <t>151219584 E</t>
  </si>
  <si>
    <t>151219592 E</t>
  </si>
  <si>
    <t>151219625 E</t>
  </si>
  <si>
    <t>151219641 E</t>
  </si>
  <si>
    <t>151219675 E</t>
  </si>
  <si>
    <t>151219683 E</t>
  </si>
  <si>
    <t>151219708 E</t>
  </si>
  <si>
    <t>151219758 E</t>
  </si>
  <si>
    <t>151219766 E</t>
  </si>
  <si>
    <t>151219774 E</t>
  </si>
  <si>
    <t>151219849 E</t>
  </si>
  <si>
    <t>151219815 E</t>
  </si>
  <si>
    <t>151219865 E</t>
  </si>
  <si>
    <t>151219873 E</t>
  </si>
  <si>
    <t>151219881 E</t>
  </si>
  <si>
    <t>151219906 E</t>
  </si>
  <si>
    <t>151219914 E</t>
  </si>
  <si>
    <t>151219922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</si>
</sst>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7" fontId="3" fillId="0" borderId="0" xfId="0" applyNumberFormat="1" applyFont="1"/>
    <xf numFmtId="0" fontId="3" fillId="0" borderId="0" xfId="0" applyFont="1"/>
    <xf numFmtId="0" fontId="2" fillId="0" borderId="0" xfId="0" applyFont="1"/>
    <xf numFmtId="7" fontId="2" fillId="0" borderId="0" xfId="0" applyNumberFormat="1" applyFont="1"/>
    <xf numFmtId="14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" xfId="0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6" headerRowDxfId="2" dataDxfId="0" totalsRowDxfId="1">
  <sortState xmlns:xlrd2="http://schemas.microsoft.com/office/spreadsheetml/2017/richdata2" ref="A4:L26">
    <sortCondition ref="G4:G26"/>
  </sortState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D791A-BDA5-498D-AD2B-0934443EB11D}" name="Table_13" displayName="Table_13" ref="A3:H39" headerRowDxfId="17" dataDxfId="15" totalsRowDxfId="16">
  <tableColumns count="8">
    <tableColumn id="1" xr3:uid="{5EF8EF41-0560-4D5E-9FB2-1D5BF5B1B431}" name="Dealer Name" dataDxfId="25"/>
    <tableColumn id="7" xr3:uid="{8A3F0133-C95C-44A3-8C6E-FBF0E7B2D3D2}" name="Column1" dataDxfId="24"/>
    <tableColumn id="2" xr3:uid="{5B06DAEB-924A-46A7-8AEE-64C349D7C24D}" name="Funded by" dataDxfId="23"/>
    <tableColumn id="3" xr3:uid="{B1227E49-DE63-469E-AF7D-30039A2C0926}" name="Dealer Flat" dataDxfId="22"/>
    <tableColumn id="4" xr3:uid="{6BB27CF8-1B2D-410B-91FC-24C8BAD3B252}" name="Dealer Split" dataDxfId="21"/>
    <tableColumn id="5" xr3:uid="{4C534AE6-CBAF-45F1-8BFF-2C3CB5F30601}" name="Net to Dealer" dataDxfId="20"/>
    <tableColumn id="8" xr3:uid="{F2BA252F-2901-47C6-AD1A-8AA4AC69310E}" name="Column2" dataDxfId="19"/>
    <tableColumn id="6" xr3:uid="{7DE3D966-CED3-473F-9E2D-ADF20A9F83D3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086377-319C-4335-AA77-7A48AE5332B6}" name="Table_15" displayName="Table_15" ref="A3:E7">
  <tableColumns count="5">
    <tableColumn id="1" xr3:uid="{118D3D44-7960-4CF8-B464-51D9FD85C14A}" name="Account Number"/>
    <tableColumn id="2" xr3:uid="{CED6B18C-53C0-4110-ACF3-22F0A965375D}" name="Contract Type"/>
    <tableColumn id="3" xr3:uid="{73426354-1EC3-4D41-A4D5-FC1F5856B54D}" name="Applicant Name"/>
    <tableColumn id="4" xr3:uid="{BEDF6214-831A-49B2-B0B0-B6ED36C7E208}" name="Co-Applicant Name"/>
    <tableColumn id="5" xr3:uid="{45772B3F-CB80-42A9-B212-A2234D98C3AD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tabSelected="1" workbookViewId="0">
      <pane ySplit="3" topLeftCell="A4" activePane="bottomLeft" state="frozen"/>
      <selection pane="bottomLeft" activeCell="E12" sqref="E12"/>
    </sheetView>
  </sheetViews>
  <sheetFormatPr defaultRowHeight="15.75" x14ac:dyDescent="0.25"/>
  <cols>
    <col min="1" max="1" width="14.28515625" style="3" customWidth="1"/>
    <col min="2" max="2" width="12.140625" style="3" bestFit="1" customWidth="1"/>
    <col min="3" max="3" width="11.42578125" style="3" customWidth="1"/>
    <col min="4" max="4" width="26.42578125" style="3" bestFit="1" customWidth="1"/>
    <col min="5" max="5" width="26.5703125" style="3" customWidth="1"/>
    <col min="6" max="6" width="30.7109375" style="3" bestFit="1" customWidth="1"/>
    <col min="7" max="7" width="17.7109375" style="3" bestFit="1" customWidth="1"/>
    <col min="8" max="8" width="17.140625" style="3" bestFit="1" customWidth="1"/>
    <col min="9" max="9" width="33.28515625" style="3" bestFit="1" customWidth="1"/>
    <col min="10" max="10" width="23.85546875" style="3" customWidth="1"/>
    <col min="11" max="11" width="13.140625" style="3" customWidth="1"/>
    <col min="12" max="12" width="9" style="3" customWidth="1"/>
    <col min="13" max="16384" width="9.140625" style="3"/>
  </cols>
  <sheetData>
    <row r="1" spans="1:12" s="3" customFormat="1" x14ac:dyDescent="0.25">
      <c r="K1" s="18">
        <v>45902</v>
      </c>
      <c r="L1" s="19"/>
    </row>
    <row r="2" spans="1:12" s="3" customFormat="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s="3" customFormat="1" ht="24.95" customHeight="1" x14ac:dyDescent="0.25">
      <c r="A4" s="3" t="s">
        <v>124</v>
      </c>
      <c r="B4" s="3" t="s">
        <v>14</v>
      </c>
      <c r="C4" s="3" t="s">
        <v>15</v>
      </c>
      <c r="D4" s="3" t="s">
        <v>16</v>
      </c>
      <c r="F4" s="3" t="s">
        <v>17</v>
      </c>
      <c r="G4" s="3" t="s">
        <v>18</v>
      </c>
      <c r="H4" s="8">
        <v>23091.05</v>
      </c>
      <c r="K4" s="3" t="s">
        <v>19</v>
      </c>
    </row>
    <row r="5" spans="1:12" s="3" customFormat="1" ht="24.95" customHeight="1" x14ac:dyDescent="0.25">
      <c r="A5" s="3" t="s">
        <v>125</v>
      </c>
      <c r="B5" s="3" t="s">
        <v>14</v>
      </c>
      <c r="C5" s="3" t="s">
        <v>15</v>
      </c>
      <c r="D5" s="3" t="s">
        <v>20</v>
      </c>
      <c r="E5" s="3" t="s">
        <v>21</v>
      </c>
      <c r="F5" s="3" t="s">
        <v>22</v>
      </c>
      <c r="G5" s="3" t="s">
        <v>18</v>
      </c>
      <c r="H5" s="8">
        <v>22477.63</v>
      </c>
      <c r="K5" s="3" t="s">
        <v>23</v>
      </c>
      <c r="L5" s="3" t="s">
        <v>24</v>
      </c>
    </row>
    <row r="6" spans="1:12" s="3" customFormat="1" ht="24.95" customHeight="1" x14ac:dyDescent="0.25">
      <c r="A6" s="3" t="s">
        <v>126</v>
      </c>
      <c r="B6" s="3" t="s">
        <v>25</v>
      </c>
      <c r="C6" s="3" t="s">
        <v>15</v>
      </c>
      <c r="D6" s="3" t="s">
        <v>26</v>
      </c>
      <c r="E6" s="3" t="s">
        <v>27</v>
      </c>
      <c r="F6" s="3" t="s">
        <v>28</v>
      </c>
      <c r="G6" s="3" t="s">
        <v>18</v>
      </c>
      <c r="H6" s="8">
        <v>14813.4</v>
      </c>
      <c r="K6" s="3" t="s">
        <v>29</v>
      </c>
      <c r="L6" s="3" t="s">
        <v>30</v>
      </c>
    </row>
    <row r="7" spans="1:12" s="3" customFormat="1" ht="24.95" customHeight="1" x14ac:dyDescent="0.25">
      <c r="A7" s="3" t="s">
        <v>127</v>
      </c>
      <c r="B7" s="3" t="s">
        <v>25</v>
      </c>
      <c r="C7" s="3" t="s">
        <v>15</v>
      </c>
      <c r="D7" s="3" t="s">
        <v>31</v>
      </c>
      <c r="F7" s="3" t="s">
        <v>32</v>
      </c>
      <c r="G7" s="3" t="s">
        <v>18</v>
      </c>
      <c r="H7" s="8">
        <v>25095.19</v>
      </c>
      <c r="I7" s="3" t="s">
        <v>33</v>
      </c>
      <c r="K7" s="3" t="s">
        <v>34</v>
      </c>
    </row>
    <row r="8" spans="1:12" s="3" customFormat="1" ht="24.95" customHeight="1" x14ac:dyDescent="0.25">
      <c r="A8" s="3" t="s">
        <v>128</v>
      </c>
      <c r="B8" s="3" t="s">
        <v>25</v>
      </c>
      <c r="C8" s="3" t="s">
        <v>15</v>
      </c>
      <c r="D8" s="3" t="s">
        <v>35</v>
      </c>
      <c r="F8" s="3" t="s">
        <v>36</v>
      </c>
      <c r="G8" s="3" t="s">
        <v>18</v>
      </c>
      <c r="H8" s="8">
        <v>14198.38</v>
      </c>
      <c r="I8" s="3" t="s">
        <v>37</v>
      </c>
      <c r="K8" s="3" t="s">
        <v>38</v>
      </c>
    </row>
    <row r="9" spans="1:12" s="3" customFormat="1" ht="24.95" customHeight="1" x14ac:dyDescent="0.25">
      <c r="A9" s="3" t="s">
        <v>129</v>
      </c>
      <c r="B9" s="3" t="s">
        <v>25</v>
      </c>
      <c r="C9" s="3" t="s">
        <v>15</v>
      </c>
      <c r="D9" s="3" t="s">
        <v>39</v>
      </c>
      <c r="F9" s="3" t="s">
        <v>40</v>
      </c>
      <c r="G9" s="3" t="s">
        <v>18</v>
      </c>
      <c r="H9" s="8">
        <v>35375.879999999997</v>
      </c>
      <c r="I9" s="3" t="s">
        <v>41</v>
      </c>
      <c r="K9" s="3" t="s">
        <v>42</v>
      </c>
    </row>
    <row r="10" spans="1:12" s="3" customFormat="1" ht="24.95" customHeight="1" x14ac:dyDescent="0.25">
      <c r="A10" s="3" t="s">
        <v>130</v>
      </c>
      <c r="B10" s="3" t="s">
        <v>25</v>
      </c>
      <c r="C10" s="3" t="s">
        <v>15</v>
      </c>
      <c r="D10" s="3" t="s">
        <v>43</v>
      </c>
      <c r="F10" s="3" t="s">
        <v>28</v>
      </c>
      <c r="G10" s="3" t="s">
        <v>18</v>
      </c>
      <c r="H10" s="8">
        <v>30324.9</v>
      </c>
      <c r="I10" s="3" t="s">
        <v>44</v>
      </c>
      <c r="K10" s="3" t="s">
        <v>45</v>
      </c>
    </row>
    <row r="11" spans="1:12" s="3" customFormat="1" ht="24.95" customHeight="1" x14ac:dyDescent="0.25">
      <c r="A11" s="3" t="s">
        <v>131</v>
      </c>
      <c r="B11" s="3" t="s">
        <v>25</v>
      </c>
      <c r="C11" s="3" t="s">
        <v>15</v>
      </c>
      <c r="D11" s="3" t="s">
        <v>46</v>
      </c>
      <c r="E11" s="3" t="s">
        <v>47</v>
      </c>
      <c r="F11" s="3" t="s">
        <v>48</v>
      </c>
      <c r="G11" s="3" t="s">
        <v>18</v>
      </c>
      <c r="H11" s="8">
        <v>20746.810000000001</v>
      </c>
      <c r="I11" s="3" t="s">
        <v>49</v>
      </c>
      <c r="J11" s="3" t="s">
        <v>50</v>
      </c>
      <c r="K11" s="3" t="s">
        <v>51</v>
      </c>
      <c r="L11" s="3" t="s">
        <v>52</v>
      </c>
    </row>
    <row r="12" spans="1:12" s="3" customFormat="1" ht="24.95" customHeight="1" x14ac:dyDescent="0.25">
      <c r="A12" s="3" t="s">
        <v>132</v>
      </c>
      <c r="B12" s="3" t="s">
        <v>25</v>
      </c>
      <c r="C12" s="3" t="s">
        <v>15</v>
      </c>
      <c r="D12" s="3" t="s">
        <v>53</v>
      </c>
      <c r="F12" s="3" t="s">
        <v>54</v>
      </c>
      <c r="G12" s="3" t="s">
        <v>18</v>
      </c>
      <c r="H12" s="8">
        <v>19143.88</v>
      </c>
      <c r="I12" s="3" t="s">
        <v>55</v>
      </c>
      <c r="K12" s="3" t="s">
        <v>56</v>
      </c>
    </row>
    <row r="13" spans="1:12" s="3" customFormat="1" ht="24.95" customHeight="1" x14ac:dyDescent="0.25">
      <c r="A13" s="3" t="s">
        <v>133</v>
      </c>
      <c r="B13" s="3" t="s">
        <v>25</v>
      </c>
      <c r="C13" s="3" t="s">
        <v>15</v>
      </c>
      <c r="D13" s="3" t="s">
        <v>57</v>
      </c>
      <c r="F13" s="3" t="s">
        <v>48</v>
      </c>
      <c r="G13" s="3" t="s">
        <v>18</v>
      </c>
      <c r="H13" s="8">
        <v>23356.65</v>
      </c>
      <c r="I13" s="3" t="s">
        <v>58</v>
      </c>
      <c r="K13" s="3" t="s">
        <v>59</v>
      </c>
    </row>
    <row r="14" spans="1:12" s="3" customFormat="1" ht="24.95" customHeight="1" x14ac:dyDescent="0.25">
      <c r="A14" s="3" t="s">
        <v>134</v>
      </c>
      <c r="B14" s="3" t="s">
        <v>25</v>
      </c>
      <c r="C14" s="3" t="s">
        <v>15</v>
      </c>
      <c r="D14" s="3" t="s">
        <v>60</v>
      </c>
      <c r="F14" s="3" t="s">
        <v>28</v>
      </c>
      <c r="G14" s="3" t="s">
        <v>18</v>
      </c>
      <c r="H14" s="8">
        <v>51062.06</v>
      </c>
      <c r="I14" s="3" t="s">
        <v>61</v>
      </c>
      <c r="K14" s="3" t="s">
        <v>62</v>
      </c>
    </row>
    <row r="15" spans="1:12" s="3" customFormat="1" ht="24.95" customHeight="1" x14ac:dyDescent="0.25">
      <c r="A15" s="3" t="s">
        <v>135</v>
      </c>
      <c r="B15" s="3" t="s">
        <v>25</v>
      </c>
      <c r="C15" s="3" t="s">
        <v>15</v>
      </c>
      <c r="D15" s="3" t="s">
        <v>78</v>
      </c>
      <c r="F15" s="3" t="s">
        <v>79</v>
      </c>
      <c r="G15" s="3" t="s">
        <v>18</v>
      </c>
      <c r="H15" s="8">
        <v>31181.360000000001</v>
      </c>
      <c r="K15" s="3" t="s">
        <v>80</v>
      </c>
    </row>
    <row r="16" spans="1:12" s="3" customFormat="1" ht="24.95" customHeight="1" x14ac:dyDescent="0.25">
      <c r="A16" s="3" t="s">
        <v>136</v>
      </c>
      <c r="B16" s="3" t="s">
        <v>14</v>
      </c>
      <c r="C16" s="3" t="s">
        <v>15</v>
      </c>
      <c r="D16" s="3" t="s">
        <v>63</v>
      </c>
      <c r="F16" s="3" t="s">
        <v>64</v>
      </c>
      <c r="G16" s="3" t="s">
        <v>65</v>
      </c>
      <c r="H16" s="8">
        <v>28910</v>
      </c>
      <c r="K16" s="3" t="s">
        <v>66</v>
      </c>
    </row>
    <row r="17" spans="1:12" s="3" customFormat="1" ht="24.95" customHeight="1" x14ac:dyDescent="0.25">
      <c r="A17" s="3" t="s">
        <v>67</v>
      </c>
      <c r="B17" s="3" t="s">
        <v>14</v>
      </c>
      <c r="C17" s="3" t="s">
        <v>68</v>
      </c>
      <c r="D17" s="3" t="s">
        <v>69</v>
      </c>
      <c r="E17" s="3" t="s">
        <v>70</v>
      </c>
      <c r="F17" s="3" t="s">
        <v>22</v>
      </c>
      <c r="G17" s="3" t="s">
        <v>65</v>
      </c>
      <c r="H17" s="8">
        <v>32041.38</v>
      </c>
      <c r="K17" s="3" t="s">
        <v>71</v>
      </c>
      <c r="L17" s="3" t="s">
        <v>72</v>
      </c>
    </row>
    <row r="18" spans="1:12" s="3" customFormat="1" ht="24.95" customHeight="1" x14ac:dyDescent="0.25">
      <c r="A18" s="3" t="s">
        <v>73</v>
      </c>
      <c r="B18" s="3" t="s">
        <v>14</v>
      </c>
      <c r="C18" s="3" t="s">
        <v>68</v>
      </c>
      <c r="D18" s="3" t="s">
        <v>74</v>
      </c>
      <c r="F18" s="3" t="s">
        <v>75</v>
      </c>
      <c r="G18" s="3" t="s">
        <v>65</v>
      </c>
      <c r="H18" s="8">
        <v>31962.94</v>
      </c>
      <c r="I18" s="3" t="s">
        <v>76</v>
      </c>
      <c r="K18" s="3" t="s">
        <v>77</v>
      </c>
    </row>
    <row r="19" spans="1:12" s="3" customFormat="1" ht="24.95" customHeight="1" x14ac:dyDescent="0.25">
      <c r="A19" s="3" t="s">
        <v>137</v>
      </c>
      <c r="B19" s="3" t="s">
        <v>25</v>
      </c>
      <c r="C19" s="3" t="s">
        <v>15</v>
      </c>
      <c r="D19" s="3" t="s">
        <v>87</v>
      </c>
      <c r="F19" s="3" t="s">
        <v>40</v>
      </c>
      <c r="G19" s="3" t="s">
        <v>65</v>
      </c>
      <c r="H19" s="8">
        <v>36032.19</v>
      </c>
      <c r="I19" s="3" t="s">
        <v>88</v>
      </c>
      <c r="K19" s="3" t="s">
        <v>89</v>
      </c>
    </row>
    <row r="20" spans="1:12" s="3" customFormat="1" ht="33" customHeight="1" x14ac:dyDescent="0.25">
      <c r="A20" s="3" t="s">
        <v>138</v>
      </c>
      <c r="B20" s="3" t="s">
        <v>25</v>
      </c>
      <c r="C20" s="3" t="s">
        <v>15</v>
      </c>
      <c r="D20" s="3" t="s">
        <v>90</v>
      </c>
      <c r="E20" s="20" t="s">
        <v>91</v>
      </c>
      <c r="F20" s="3" t="s">
        <v>28</v>
      </c>
      <c r="G20" s="3" t="s">
        <v>65</v>
      </c>
      <c r="H20" s="8">
        <v>48151.81</v>
      </c>
      <c r="K20" s="3" t="s">
        <v>92</v>
      </c>
      <c r="L20" s="3" t="s">
        <v>93</v>
      </c>
    </row>
    <row r="21" spans="1:12" s="3" customFormat="1" ht="24.95" customHeight="1" x14ac:dyDescent="0.25">
      <c r="A21" s="3" t="s">
        <v>139</v>
      </c>
      <c r="B21" s="3" t="s">
        <v>25</v>
      </c>
      <c r="C21" s="3" t="s">
        <v>15</v>
      </c>
      <c r="D21" s="3" t="s">
        <v>94</v>
      </c>
      <c r="F21" s="3" t="s">
        <v>95</v>
      </c>
      <c r="G21" s="3" t="s">
        <v>65</v>
      </c>
      <c r="H21" s="8">
        <v>24053.79</v>
      </c>
      <c r="I21" s="3" t="s">
        <v>96</v>
      </c>
      <c r="K21" s="3" t="s">
        <v>97</v>
      </c>
    </row>
    <row r="22" spans="1:12" s="3" customFormat="1" ht="24.95" customHeight="1" x14ac:dyDescent="0.25">
      <c r="A22" s="3" t="s">
        <v>140</v>
      </c>
      <c r="B22" s="3" t="s">
        <v>25</v>
      </c>
      <c r="C22" s="3" t="s">
        <v>15</v>
      </c>
      <c r="D22" s="3" t="s">
        <v>98</v>
      </c>
      <c r="F22" s="3" t="s">
        <v>79</v>
      </c>
      <c r="G22" s="3" t="s">
        <v>65</v>
      </c>
      <c r="H22" s="8">
        <v>57553.17</v>
      </c>
      <c r="I22" s="3" t="s">
        <v>99</v>
      </c>
      <c r="K22" s="3" t="s">
        <v>100</v>
      </c>
    </row>
    <row r="23" spans="1:12" s="3" customFormat="1" ht="24.95" customHeight="1" x14ac:dyDescent="0.25">
      <c r="A23" s="3" t="s">
        <v>141</v>
      </c>
      <c r="B23" s="3" t="s">
        <v>25</v>
      </c>
      <c r="C23" s="3" t="s">
        <v>15</v>
      </c>
      <c r="D23" s="3" t="s">
        <v>101</v>
      </c>
      <c r="F23" s="3" t="s">
        <v>40</v>
      </c>
      <c r="G23" s="3" t="s">
        <v>65</v>
      </c>
      <c r="H23" s="8">
        <v>19902.77</v>
      </c>
      <c r="I23" s="3" t="s">
        <v>102</v>
      </c>
      <c r="K23" s="3" t="s">
        <v>103</v>
      </c>
    </row>
    <row r="24" spans="1:12" s="3" customFormat="1" ht="24.95" customHeight="1" x14ac:dyDescent="0.25">
      <c r="A24" s="3" t="s">
        <v>142</v>
      </c>
      <c r="B24" s="3" t="s">
        <v>25</v>
      </c>
      <c r="C24" s="3" t="s">
        <v>15</v>
      </c>
      <c r="D24" s="3" t="s">
        <v>104</v>
      </c>
      <c r="F24" s="3" t="s">
        <v>79</v>
      </c>
      <c r="G24" s="3" t="s">
        <v>65</v>
      </c>
      <c r="H24" s="8">
        <v>34524.42</v>
      </c>
      <c r="I24" s="3" t="s">
        <v>105</v>
      </c>
      <c r="K24" s="3" t="s">
        <v>106</v>
      </c>
    </row>
    <row r="25" spans="1:12" s="3" customFormat="1" ht="24.95" customHeight="1" x14ac:dyDescent="0.25">
      <c r="A25" s="3" t="s">
        <v>81</v>
      </c>
      <c r="B25" s="3" t="s">
        <v>14</v>
      </c>
      <c r="C25" s="3" t="s">
        <v>68</v>
      </c>
      <c r="D25" s="3" t="s">
        <v>82</v>
      </c>
      <c r="F25" s="3" t="s">
        <v>83</v>
      </c>
      <c r="G25" s="3" t="s">
        <v>84</v>
      </c>
      <c r="H25" s="8">
        <v>22788.69</v>
      </c>
      <c r="I25" s="3" t="s">
        <v>85</v>
      </c>
      <c r="K25" s="3" t="s">
        <v>86</v>
      </c>
    </row>
    <row r="26" spans="1:12" s="3" customFormat="1" x14ac:dyDescent="0.25">
      <c r="A26" s="11"/>
      <c r="B26" s="11"/>
      <c r="C26" s="11"/>
      <c r="D26" s="11" t="s">
        <v>107</v>
      </c>
      <c r="E26" s="11"/>
      <c r="F26" s="11"/>
      <c r="G26" s="11"/>
      <c r="H26" s="12">
        <f>SUM(H4:H25)</f>
        <v>646788.35</v>
      </c>
      <c r="I26" s="11"/>
      <c r="J26" s="11"/>
      <c r="K26" s="11"/>
      <c r="L26" s="11"/>
    </row>
  </sheetData>
  <mergeCells count="3">
    <mergeCell ref="A2:F2"/>
    <mergeCell ref="G2:L2"/>
    <mergeCell ref="K1:L1"/>
  </mergeCells>
  <pageMargins left="0.25" right="0.25" top="0.75" bottom="0.75" header="0.3" footer="0.3"/>
  <pageSetup paperSize="5" scale="7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9800-C757-4612-B7A1-24902EE1A994}">
  <sheetPr>
    <pageSetUpPr fitToPage="1"/>
  </sheetPr>
  <dimension ref="A1:H39"/>
  <sheetViews>
    <sheetView topLeftCell="A17" workbookViewId="0">
      <selection activeCell="F11" sqref="F11"/>
    </sheetView>
  </sheetViews>
  <sheetFormatPr defaultRowHeight="15.75" x14ac:dyDescent="0.25"/>
  <cols>
    <col min="1" max="1" width="26.42578125" style="3" customWidth="1"/>
    <col min="2" max="2" width="9.140625" style="3" customWidth="1"/>
    <col min="3" max="3" width="20.42578125" style="3" customWidth="1"/>
    <col min="4" max="4" width="13.5703125" style="3" customWidth="1"/>
    <col min="5" max="5" width="16.140625" style="3" customWidth="1"/>
    <col min="6" max="6" width="18.140625" style="3" customWidth="1"/>
    <col min="7" max="7" width="14.7109375" style="3" customWidth="1"/>
    <col min="8" max="8" width="19" style="3" customWidth="1"/>
    <col min="9" max="16384" width="9.140625" style="3"/>
  </cols>
  <sheetData>
    <row r="1" spans="1:8" x14ac:dyDescent="0.25">
      <c r="E1" s="4"/>
      <c r="H1" s="4">
        <v>45902.999988425923</v>
      </c>
    </row>
    <row r="2" spans="1:8" x14ac:dyDescent="0.25">
      <c r="A2" s="5" t="s">
        <v>0</v>
      </c>
      <c r="B2" s="5"/>
      <c r="C2" s="6"/>
      <c r="D2" s="6"/>
      <c r="E2" s="7" t="s">
        <v>108</v>
      </c>
      <c r="F2" s="6"/>
      <c r="G2" s="6"/>
      <c r="H2" s="6"/>
    </row>
    <row r="3" spans="1:8" x14ac:dyDescent="0.25">
      <c r="A3" s="3" t="s">
        <v>7</v>
      </c>
      <c r="B3" s="3" t="s">
        <v>113</v>
      </c>
      <c r="C3" s="3" t="s">
        <v>8</v>
      </c>
      <c r="D3" s="3" t="s">
        <v>109</v>
      </c>
      <c r="E3" s="3" t="s">
        <v>110</v>
      </c>
      <c r="F3" s="3" t="s">
        <v>111</v>
      </c>
      <c r="G3" s="3" t="s">
        <v>114</v>
      </c>
      <c r="H3" s="3" t="s">
        <v>112</v>
      </c>
    </row>
    <row r="4" spans="1:8" ht="24.95" customHeight="1" x14ac:dyDescent="0.25">
      <c r="A4" s="3" t="s">
        <v>48</v>
      </c>
      <c r="C4" s="3" t="s">
        <v>18</v>
      </c>
      <c r="D4" s="8">
        <v>650</v>
      </c>
      <c r="E4" s="8">
        <v>0</v>
      </c>
      <c r="F4" s="8">
        <v>20671.810000000001</v>
      </c>
      <c r="G4" s="8"/>
      <c r="H4" s="8">
        <v>20746.810000000001</v>
      </c>
    </row>
    <row r="5" spans="1:8" ht="24.95" customHeight="1" x14ac:dyDescent="0.25">
      <c r="A5" s="3" t="s">
        <v>48</v>
      </c>
      <c r="C5" s="3" t="s">
        <v>18</v>
      </c>
      <c r="D5" s="8">
        <v>650</v>
      </c>
      <c r="E5" s="8">
        <v>0</v>
      </c>
      <c r="F5" s="8">
        <v>23281.65</v>
      </c>
      <c r="G5" s="9">
        <f>SUM(F4:F5)</f>
        <v>43953.460000000006</v>
      </c>
      <c r="H5" s="8">
        <v>23356.65</v>
      </c>
    </row>
    <row r="6" spans="1:8" ht="24.95" customHeight="1" x14ac:dyDescent="0.25">
      <c r="D6" s="8"/>
      <c r="E6" s="8"/>
      <c r="F6" s="8"/>
      <c r="G6" s="8"/>
      <c r="H6" s="8"/>
    </row>
    <row r="7" spans="1:8" ht="24.95" customHeight="1" x14ac:dyDescent="0.25">
      <c r="A7" s="3" t="s">
        <v>22</v>
      </c>
      <c r="C7" s="3" t="s">
        <v>18</v>
      </c>
      <c r="D7" s="8">
        <v>650</v>
      </c>
      <c r="E7" s="8">
        <v>0</v>
      </c>
      <c r="F7" s="8">
        <v>22402.63</v>
      </c>
      <c r="G7" s="8"/>
      <c r="H7" s="8">
        <v>22477.63</v>
      </c>
    </row>
    <row r="8" spans="1:8" ht="24.95" customHeight="1" x14ac:dyDescent="0.25">
      <c r="A8" s="3" t="s">
        <v>22</v>
      </c>
      <c r="C8" s="3" t="s">
        <v>65</v>
      </c>
      <c r="D8" s="8">
        <v>850</v>
      </c>
      <c r="E8" s="8">
        <v>0</v>
      </c>
      <c r="F8" s="8">
        <v>31966.38</v>
      </c>
      <c r="G8" s="9">
        <f>SUM(F7:F8)</f>
        <v>54369.01</v>
      </c>
      <c r="H8" s="8">
        <v>32041.38</v>
      </c>
    </row>
    <row r="9" spans="1:8" ht="24.95" customHeight="1" x14ac:dyDescent="0.25">
      <c r="D9" s="8"/>
      <c r="E9" s="8"/>
      <c r="F9" s="8"/>
      <c r="G9" s="8"/>
      <c r="H9" s="8"/>
    </row>
    <row r="10" spans="1:8" ht="24.95" customHeight="1" x14ac:dyDescent="0.25">
      <c r="A10" s="3" t="s">
        <v>54</v>
      </c>
      <c r="C10" s="3" t="s">
        <v>18</v>
      </c>
      <c r="D10" s="8">
        <v>500</v>
      </c>
      <c r="E10" s="8">
        <v>0</v>
      </c>
      <c r="F10" s="9">
        <v>19068.88</v>
      </c>
      <c r="G10" s="8"/>
      <c r="H10" s="8">
        <v>19143.88</v>
      </c>
    </row>
    <row r="11" spans="1:8" ht="24.95" customHeight="1" x14ac:dyDescent="0.25">
      <c r="D11" s="8"/>
      <c r="E11" s="8"/>
      <c r="F11" s="9"/>
      <c r="G11" s="8"/>
      <c r="H11" s="8"/>
    </row>
    <row r="12" spans="1:8" ht="24.95" customHeight="1" x14ac:dyDescent="0.25">
      <c r="A12" s="3" t="s">
        <v>64</v>
      </c>
      <c r="C12" s="3" t="s">
        <v>65</v>
      </c>
      <c r="D12" s="8">
        <v>750</v>
      </c>
      <c r="E12" s="8">
        <v>0</v>
      </c>
      <c r="F12" s="9">
        <v>28835</v>
      </c>
      <c r="G12" s="8"/>
      <c r="H12" s="8">
        <v>28910</v>
      </c>
    </row>
    <row r="13" spans="1:8" ht="24.95" customHeight="1" x14ac:dyDescent="0.25">
      <c r="D13" s="8"/>
      <c r="E13" s="8"/>
      <c r="F13" s="8"/>
      <c r="G13" s="8"/>
      <c r="H13" s="8"/>
    </row>
    <row r="14" spans="1:8" ht="24.95" customHeight="1" x14ac:dyDescent="0.25">
      <c r="A14" s="3" t="s">
        <v>28</v>
      </c>
      <c r="C14" s="3" t="s">
        <v>18</v>
      </c>
      <c r="D14" s="8">
        <v>1350</v>
      </c>
      <c r="E14" s="8">
        <v>0</v>
      </c>
      <c r="F14" s="8">
        <v>50987.06</v>
      </c>
      <c r="G14" s="8"/>
      <c r="H14" s="8">
        <v>51062.06</v>
      </c>
    </row>
    <row r="15" spans="1:8" ht="24.95" customHeight="1" x14ac:dyDescent="0.25">
      <c r="A15" s="3" t="s">
        <v>28</v>
      </c>
      <c r="C15" s="3" t="s">
        <v>18</v>
      </c>
      <c r="D15" s="8">
        <v>300</v>
      </c>
      <c r="E15" s="8">
        <v>0</v>
      </c>
      <c r="F15" s="8">
        <v>14738.4</v>
      </c>
      <c r="G15" s="8"/>
      <c r="H15" s="8">
        <v>14813.4</v>
      </c>
    </row>
    <row r="16" spans="1:8" ht="24.95" customHeight="1" x14ac:dyDescent="0.25">
      <c r="A16" s="3" t="s">
        <v>28</v>
      </c>
      <c r="C16" s="3" t="s">
        <v>18</v>
      </c>
      <c r="D16" s="8">
        <v>850</v>
      </c>
      <c r="E16" s="8">
        <v>0</v>
      </c>
      <c r="F16" s="8">
        <v>30249.9</v>
      </c>
      <c r="G16" s="8"/>
      <c r="H16" s="8">
        <v>30324.9</v>
      </c>
    </row>
    <row r="17" spans="1:8" ht="24.95" customHeight="1" x14ac:dyDescent="0.25">
      <c r="A17" s="3" t="s">
        <v>28</v>
      </c>
      <c r="C17" s="3" t="s">
        <v>65</v>
      </c>
      <c r="D17" s="8">
        <v>1150</v>
      </c>
      <c r="E17" s="8">
        <v>0</v>
      </c>
      <c r="F17" s="8">
        <v>48076.81</v>
      </c>
      <c r="G17" s="9">
        <f>SUM(F14:F17)</f>
        <v>144052.16999999998</v>
      </c>
      <c r="H17" s="8">
        <v>48151.81</v>
      </c>
    </row>
    <row r="18" spans="1:8" ht="24.95" customHeight="1" x14ac:dyDescent="0.25">
      <c r="D18" s="8"/>
      <c r="E18" s="8"/>
      <c r="F18" s="8"/>
      <c r="G18" s="8"/>
      <c r="H18" s="8"/>
    </row>
    <row r="19" spans="1:8" ht="24.95" customHeight="1" x14ac:dyDescent="0.25">
      <c r="A19" s="3" t="s">
        <v>36</v>
      </c>
      <c r="C19" s="3" t="s">
        <v>18</v>
      </c>
      <c r="D19" s="8">
        <v>300</v>
      </c>
      <c r="E19" s="8">
        <v>0</v>
      </c>
      <c r="F19" s="9">
        <v>14123.38</v>
      </c>
      <c r="G19" s="8"/>
      <c r="H19" s="8">
        <v>14198.38</v>
      </c>
    </row>
    <row r="20" spans="1:8" ht="24.95" customHeight="1" x14ac:dyDescent="0.25">
      <c r="D20" s="8"/>
      <c r="E20" s="8"/>
      <c r="F20" s="8"/>
      <c r="G20" s="8"/>
      <c r="H20" s="8"/>
    </row>
    <row r="21" spans="1:8" ht="24.95" customHeight="1" x14ac:dyDescent="0.25">
      <c r="A21" s="3" t="s">
        <v>79</v>
      </c>
      <c r="B21" s="10" t="s">
        <v>115</v>
      </c>
      <c r="C21" s="3" t="s">
        <v>18</v>
      </c>
      <c r="D21" s="8">
        <v>850</v>
      </c>
      <c r="E21" s="8">
        <v>0</v>
      </c>
      <c r="F21" s="8">
        <v>31106.36</v>
      </c>
      <c r="G21" s="8"/>
      <c r="H21" s="8">
        <v>31181.360000000001</v>
      </c>
    </row>
    <row r="22" spans="1:8" ht="24.95" customHeight="1" x14ac:dyDescent="0.25">
      <c r="A22" s="3" t="s">
        <v>79</v>
      </c>
      <c r="B22" s="10" t="s">
        <v>117</v>
      </c>
      <c r="C22" s="3" t="s">
        <v>65</v>
      </c>
      <c r="D22" s="8">
        <v>850</v>
      </c>
      <c r="E22" s="8">
        <v>0</v>
      </c>
      <c r="F22" s="8">
        <v>34449.42</v>
      </c>
      <c r="G22" s="8"/>
      <c r="H22" s="8">
        <v>34524.42</v>
      </c>
    </row>
    <row r="23" spans="1:8" ht="24.95" customHeight="1" x14ac:dyDescent="0.25">
      <c r="A23" s="3" t="s">
        <v>79</v>
      </c>
      <c r="B23" s="10" t="s">
        <v>116</v>
      </c>
      <c r="C23" s="3" t="s">
        <v>65</v>
      </c>
      <c r="D23" s="8">
        <v>1350</v>
      </c>
      <c r="E23" s="8">
        <v>0</v>
      </c>
      <c r="F23" s="8">
        <v>57478.17</v>
      </c>
      <c r="G23" s="9">
        <f>SUM(F21:F23)</f>
        <v>123033.95</v>
      </c>
      <c r="H23" s="8">
        <v>57553.17</v>
      </c>
    </row>
    <row r="24" spans="1:8" ht="24.95" customHeight="1" x14ac:dyDescent="0.25">
      <c r="D24" s="8"/>
      <c r="E24" s="8"/>
      <c r="F24" s="8"/>
      <c r="G24" s="8"/>
      <c r="H24" s="8"/>
    </row>
    <row r="25" spans="1:8" ht="24.95" customHeight="1" x14ac:dyDescent="0.25">
      <c r="A25" s="3" t="s">
        <v>17</v>
      </c>
      <c r="C25" s="3" t="s">
        <v>18</v>
      </c>
      <c r="D25" s="8">
        <v>650</v>
      </c>
      <c r="E25" s="8">
        <v>0</v>
      </c>
      <c r="F25" s="9">
        <v>23016.05</v>
      </c>
      <c r="G25" s="8"/>
      <c r="H25" s="8">
        <v>23091.05</v>
      </c>
    </row>
    <row r="26" spans="1:8" ht="24.95" customHeight="1" x14ac:dyDescent="0.25">
      <c r="D26" s="8"/>
      <c r="E26" s="8"/>
      <c r="F26" s="9"/>
      <c r="G26" s="8"/>
      <c r="H26" s="8"/>
    </row>
    <row r="27" spans="1:8" ht="24.95" customHeight="1" x14ac:dyDescent="0.25">
      <c r="A27" s="3" t="s">
        <v>32</v>
      </c>
      <c r="C27" s="3" t="s">
        <v>18</v>
      </c>
      <c r="D27" s="8">
        <v>750</v>
      </c>
      <c r="E27" s="8">
        <v>0</v>
      </c>
      <c r="F27" s="9">
        <v>25020.19</v>
      </c>
      <c r="G27" s="8"/>
      <c r="H27" s="8">
        <v>25095.19</v>
      </c>
    </row>
    <row r="28" spans="1:8" ht="24.95" customHeight="1" x14ac:dyDescent="0.25">
      <c r="D28" s="8"/>
      <c r="E28" s="8"/>
      <c r="F28" s="9"/>
      <c r="G28" s="8"/>
      <c r="H28" s="8"/>
    </row>
    <row r="29" spans="1:8" ht="24.95" customHeight="1" x14ac:dyDescent="0.25">
      <c r="A29" s="3" t="s">
        <v>75</v>
      </c>
      <c r="C29" s="3" t="s">
        <v>65</v>
      </c>
      <c r="D29" s="8">
        <v>850</v>
      </c>
      <c r="E29" s="8">
        <v>0</v>
      </c>
      <c r="F29" s="9">
        <v>31887.94</v>
      </c>
      <c r="G29" s="8"/>
      <c r="H29" s="8">
        <v>31962.94</v>
      </c>
    </row>
    <row r="30" spans="1:8" ht="24.95" customHeight="1" x14ac:dyDescent="0.25">
      <c r="D30" s="8"/>
      <c r="E30" s="8"/>
      <c r="F30" s="9"/>
      <c r="G30" s="8"/>
      <c r="H30" s="8"/>
    </row>
    <row r="31" spans="1:8" ht="24.95" customHeight="1" x14ac:dyDescent="0.25">
      <c r="A31" s="3" t="s">
        <v>83</v>
      </c>
      <c r="C31" s="3" t="s">
        <v>84</v>
      </c>
      <c r="D31" s="8">
        <v>650</v>
      </c>
      <c r="E31" s="8">
        <v>0</v>
      </c>
      <c r="F31" s="9">
        <v>22713.69</v>
      </c>
      <c r="G31" s="8"/>
      <c r="H31" s="8">
        <v>22788.69</v>
      </c>
    </row>
    <row r="32" spans="1:8" ht="24.95" customHeight="1" x14ac:dyDescent="0.25">
      <c r="D32" s="8"/>
      <c r="E32" s="8"/>
      <c r="F32" s="8"/>
      <c r="G32" s="8"/>
      <c r="H32" s="8"/>
    </row>
    <row r="33" spans="1:8" ht="24.95" customHeight="1" x14ac:dyDescent="0.25">
      <c r="A33" s="3" t="s">
        <v>40</v>
      </c>
      <c r="C33" s="3" t="s">
        <v>18</v>
      </c>
      <c r="D33" s="8">
        <v>950</v>
      </c>
      <c r="E33" s="8">
        <v>0</v>
      </c>
      <c r="F33" s="8">
        <v>35300.879999999997</v>
      </c>
      <c r="G33" s="8"/>
      <c r="H33" s="8">
        <v>35375.879999999997</v>
      </c>
    </row>
    <row r="34" spans="1:8" ht="24.95" customHeight="1" x14ac:dyDescent="0.25">
      <c r="A34" s="3" t="s">
        <v>40</v>
      </c>
      <c r="C34" s="3" t="s">
        <v>65</v>
      </c>
      <c r="D34" s="8">
        <v>950</v>
      </c>
      <c r="E34" s="8">
        <v>0</v>
      </c>
      <c r="F34" s="8">
        <v>35957.19</v>
      </c>
      <c r="G34" s="8"/>
      <c r="H34" s="8">
        <v>36032.19</v>
      </c>
    </row>
    <row r="35" spans="1:8" ht="24.95" customHeight="1" x14ac:dyDescent="0.25">
      <c r="A35" s="3" t="s">
        <v>40</v>
      </c>
      <c r="C35" s="3" t="s">
        <v>65</v>
      </c>
      <c r="D35" s="8">
        <v>500</v>
      </c>
      <c r="E35" s="8">
        <v>0</v>
      </c>
      <c r="F35" s="8">
        <v>19827.77</v>
      </c>
      <c r="G35" s="9">
        <f>SUM(F33:F35)</f>
        <v>91085.840000000011</v>
      </c>
      <c r="H35" s="8">
        <v>19902.77</v>
      </c>
    </row>
    <row r="36" spans="1:8" ht="24.95" customHeight="1" x14ac:dyDescent="0.25">
      <c r="D36" s="8"/>
      <c r="E36" s="8"/>
      <c r="F36" s="8"/>
      <c r="G36" s="8"/>
      <c r="H36" s="8"/>
    </row>
    <row r="37" spans="1:8" ht="24.95" customHeight="1" x14ac:dyDescent="0.25">
      <c r="A37" s="3" t="s">
        <v>95</v>
      </c>
      <c r="C37" s="3" t="s">
        <v>65</v>
      </c>
      <c r="D37" s="8">
        <v>650</v>
      </c>
      <c r="E37" s="8">
        <v>0</v>
      </c>
      <c r="F37" s="9">
        <v>23978.79</v>
      </c>
      <c r="G37" s="8"/>
      <c r="H37" s="8">
        <v>24053.79</v>
      </c>
    </row>
    <row r="38" spans="1:8" x14ac:dyDescent="0.25">
      <c r="D38" s="8"/>
      <c r="E38" s="8"/>
      <c r="F38" s="8"/>
      <c r="G38" s="8"/>
      <c r="H38" s="8"/>
    </row>
    <row r="39" spans="1:8" x14ac:dyDescent="0.25">
      <c r="A39" s="11"/>
      <c r="B39" s="11"/>
      <c r="C39" s="11"/>
      <c r="D39" s="12">
        <f>SUM(D4:D37)</f>
        <v>17000</v>
      </c>
      <c r="E39" s="12">
        <f>SUM(E4:E37)</f>
        <v>0</v>
      </c>
      <c r="F39" s="12">
        <f>SUM(F4:F37)</f>
        <v>645138.35000000009</v>
      </c>
      <c r="G39" s="12"/>
      <c r="H39" s="12">
        <f>SUM(H4:H37)</f>
        <v>646788.35000000009</v>
      </c>
    </row>
  </sheetData>
  <mergeCells count="2">
    <mergeCell ref="A2:D2"/>
    <mergeCell ref="E2:H2"/>
  </mergeCells>
  <pageMargins left="0.7" right="0.7" top="0.75" bottom="0.75" header="0.3" footer="0.3"/>
  <pageSetup scale="83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2226-8345-4053-917E-41D9570247B8}">
  <sheetPr>
    <pageSetUpPr fitToPage="1"/>
  </sheetPr>
  <dimension ref="A1:E21"/>
  <sheetViews>
    <sheetView workbookViewId="0">
      <selection activeCell="F21" sqref="F20:F21"/>
    </sheetView>
  </sheetViews>
  <sheetFormatPr defaultRowHeight="15" x14ac:dyDescent="0.25"/>
  <cols>
    <col min="1" max="1" width="13.28515625" customWidth="1"/>
    <col min="2" max="2" width="11.42578125" customWidth="1"/>
    <col min="3" max="3" width="19.85546875" customWidth="1"/>
    <col min="4" max="4" width="19.5703125" customWidth="1"/>
    <col min="5" max="5" width="30" customWidth="1"/>
  </cols>
  <sheetData>
    <row r="1" spans="1:5" x14ac:dyDescent="0.25">
      <c r="A1" t="s">
        <v>120</v>
      </c>
      <c r="D1" s="1"/>
      <c r="E1" s="13">
        <v>45902</v>
      </c>
    </row>
    <row r="2" spans="1:5" x14ac:dyDescent="0.25">
      <c r="A2" s="14" t="s">
        <v>0</v>
      </c>
      <c r="B2" s="2"/>
      <c r="C2" s="2"/>
      <c r="D2" s="15" t="s">
        <v>118</v>
      </c>
      <c r="E2" s="2"/>
    </row>
    <row r="3" spans="1:5" ht="27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7" customHeight="1" x14ac:dyDescent="0.25">
      <c r="A4" t="s">
        <v>67</v>
      </c>
      <c r="B4" t="s">
        <v>68</v>
      </c>
      <c r="C4" t="s">
        <v>69</v>
      </c>
      <c r="D4" t="s">
        <v>70</v>
      </c>
      <c r="E4" t="s">
        <v>22</v>
      </c>
    </row>
    <row r="5" spans="1:5" ht="27" customHeight="1" x14ac:dyDescent="0.25">
      <c r="A5" t="s">
        <v>73</v>
      </c>
      <c r="B5" t="s">
        <v>68</v>
      </c>
      <c r="C5" t="s">
        <v>74</v>
      </c>
      <c r="E5" t="s">
        <v>75</v>
      </c>
    </row>
    <row r="6" spans="1:5" ht="27" customHeight="1" x14ac:dyDescent="0.25">
      <c r="A6" t="s">
        <v>81</v>
      </c>
      <c r="B6" t="s">
        <v>68</v>
      </c>
      <c r="C6" t="s">
        <v>82</v>
      </c>
      <c r="E6" t="s">
        <v>83</v>
      </c>
    </row>
    <row r="7" spans="1:5" ht="27" customHeight="1" x14ac:dyDescent="0.25">
      <c r="A7" s="16"/>
      <c r="B7" s="16"/>
      <c r="C7" s="16" t="s">
        <v>119</v>
      </c>
      <c r="D7" s="16"/>
      <c r="E7" s="16"/>
    </row>
    <row r="12" spans="1:5" x14ac:dyDescent="0.25">
      <c r="A12" t="s">
        <v>121</v>
      </c>
      <c r="B12" s="17"/>
      <c r="C12" s="17"/>
      <c r="D12" s="17"/>
    </row>
    <row r="16" spans="1:5" x14ac:dyDescent="0.25">
      <c r="A16" t="s">
        <v>122</v>
      </c>
      <c r="B16" s="17"/>
      <c r="C16" s="17"/>
      <c r="D16" s="17"/>
    </row>
    <row r="21" spans="1:3" x14ac:dyDescent="0.25">
      <c r="A21" t="s">
        <v>123</v>
      </c>
      <c r="B21" s="17"/>
      <c r="C21" s="17"/>
    </row>
  </sheetData>
  <mergeCells count="2">
    <mergeCell ref="A2:C2"/>
    <mergeCell ref="D2:E2"/>
  </mergeCells>
  <pageMargins left="0.7" right="0.7" top="0.75" bottom="0.75" header="0.3" footer="0.3"/>
  <pageSetup scale="9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2025-09-02T19:26:52Z</cp:lastPrinted>
  <dcterms:created xsi:type="dcterms:W3CDTF">2025-09-02T18:28:32Z</dcterms:created>
  <dcterms:modified xsi:type="dcterms:W3CDTF">2025-09-02T19:27:21Z</dcterms:modified>
</cp:coreProperties>
</file>