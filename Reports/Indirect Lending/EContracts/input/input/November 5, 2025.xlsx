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21417FA2-E87B-48EB-B0CB-08C09A065406}" xr6:coauthVersionLast="47" xr6:coauthVersionMax="47" xr10:uidLastSave="{00000000-0000-0000-0000-000000000000}"/>
  <bookViews>
    <workbookView xWindow="32610" yWindow="1380" windowWidth="21270" windowHeight="1369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18" i="2"/>
  <c r="G7" i="2"/>
  <c r="H31" i="2"/>
  <c r="F31" i="2"/>
  <c r="E31" i="2"/>
  <c r="D31" i="2"/>
  <c r="H19" i="1"/>
</calcChain>
</file>

<file path=xl/sharedStrings.xml><?xml version="1.0" encoding="utf-8"?>
<sst xmlns="http://schemas.openxmlformats.org/spreadsheetml/2006/main" count="212" uniqueCount="118">
  <si>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</si>
  <si>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</si>
  <si>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</si>
  <si>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</si>
  <si>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</si>
  <si>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</si>
  <si>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</si>
  <si>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</si>
  <si>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</si>
  <si>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</si>
  <si>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</si>
  <si>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</si>
  <si>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</si>
  <si>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</si>
  <si>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</si>
  <si>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</si>
  <si>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</si>
  <si>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DURNING, ERIKA</t>
  </si>
  <si>
    <t>DURNING, DAVID</t>
  </si>
  <si>
    <t>Metro Honda</t>
  </si>
  <si>
    <t>Marlene Braganca</t>
  </si>
  <si>
    <t>DDURN5363@YAHOO.COM</t>
  </si>
  <si>
    <t>ADJUTANT</t>
  </si>
  <si>
    <t>HARD</t>
  </si>
  <si>
    <t>151243525</t>
  </si>
  <si>
    <t>Paper</t>
  </si>
  <si>
    <t>CIULLA, JOHN</t>
  </si>
  <si>
    <t>Planet Automotive Sales LLC</t>
  </si>
  <si>
    <t>CIULLAJOHN23@GMAIL.COM</t>
  </si>
  <si>
    <t>Richards</t>
  </si>
  <si>
    <t>Route One</t>
  </si>
  <si>
    <t>LEE, TAYLER</t>
  </si>
  <si>
    <t>Alden Mazda</t>
  </si>
  <si>
    <t>TAYLER1377@GMAIL.COM</t>
  </si>
  <si>
    <t>Short</t>
  </si>
  <si>
    <t>SIMMONS, HAILEE</t>
  </si>
  <si>
    <t>Colonial South Chrysler Dodge</t>
  </si>
  <si>
    <t>Neli Oliveira</t>
  </si>
  <si>
    <t>haileesimmons11@gmail.com</t>
  </si>
  <si>
    <t>TOWER</t>
  </si>
  <si>
    <t>NORRIS, PATRICIA</t>
  </si>
  <si>
    <t>Richard Lundgren, Inc. d/b/a</t>
  </si>
  <si>
    <t>PAN2684@AOL.COM</t>
  </si>
  <si>
    <t>MAGEROWSKI</t>
  </si>
  <si>
    <t>LAROCQUE, DAVID</t>
  </si>
  <si>
    <t>Planet Subaru</t>
  </si>
  <si>
    <t>DAVIDALAROCQUE83@GMAIL.COM</t>
  </si>
  <si>
    <t>Hurlebaus</t>
  </si>
  <si>
    <t>BERMEJO, BOLIVAR</t>
  </si>
  <si>
    <t>MORAN DE BERMEJO, GLADIS</t>
  </si>
  <si>
    <t>BOLIF1982@GMAIL.COM</t>
  </si>
  <si>
    <t>GLADISMB01@GMAIL.COM</t>
  </si>
  <si>
    <t>Siguencia</t>
  </si>
  <si>
    <t>Horan</t>
  </si>
  <si>
    <t>151243666</t>
  </si>
  <si>
    <t>WATSON, DAVID</t>
  </si>
  <si>
    <t>WATSON, DEBRA</t>
  </si>
  <si>
    <t>Frank Battles Inc</t>
  </si>
  <si>
    <t>DDPKWATSON@COMCAST.NET</t>
  </si>
  <si>
    <t>ROY</t>
  </si>
  <si>
    <t>CUMMINGS</t>
  </si>
  <si>
    <t>ASERMELY, ALEXANDER</t>
  </si>
  <si>
    <t>Rachel Gorham</t>
  </si>
  <si>
    <t>AASERMELY@GMAIL.COM</t>
  </si>
  <si>
    <t>BIONDI</t>
  </si>
  <si>
    <t>BALL, EDWARD</t>
  </si>
  <si>
    <t>T F Murphy Enterprises Inc</t>
  </si>
  <si>
    <t>KABALSKI909@GMAIL.COM</t>
  </si>
  <si>
    <t>GAROFALO</t>
  </si>
  <si>
    <t>GREENFIELD, DAVID</t>
  </si>
  <si>
    <t>Mastria Mazda</t>
  </si>
  <si>
    <t>NORTHEASTERN72@GMAIL.COM</t>
  </si>
  <si>
    <t>ANGEL</t>
  </si>
  <si>
    <t>HENDERSON, HOPE</t>
  </si>
  <si>
    <t>Patriot Auto Group Inc d/b/a</t>
  </si>
  <si>
    <t>beachgirlhope@comcast.net</t>
  </si>
  <si>
    <t>WILLIAMS</t>
  </si>
  <si>
    <t>151243731</t>
  </si>
  <si>
    <t>SLESNICK, JAKE</t>
  </si>
  <si>
    <t>NARSA AMC LLC d/b/a</t>
  </si>
  <si>
    <t>SLEESNICKJ@GMAIL.COM</t>
  </si>
  <si>
    <t>WAGNER</t>
  </si>
  <si>
    <t>151243749</t>
  </si>
  <si>
    <t>MBUGUA, JOHN</t>
  </si>
  <si>
    <t>J.MBUGUA815@GMAIL.COM</t>
  </si>
  <si>
    <t>NYOKABI MBUGUA</t>
  </si>
  <si>
    <t>MCALOON, DANIEL</t>
  </si>
  <si>
    <t>Langway Toyota of Newport</t>
  </si>
  <si>
    <t>MELLO</t>
  </si>
  <si>
    <t># 15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</si>
  <si>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</si>
  <si>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</si>
  <si>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</si>
  <si>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</si>
  <si>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</si>
  <si>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</si>
  <si>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4</t>
  </si>
  <si>
    <t>Original Notes Delivered</t>
  </si>
  <si>
    <t>Delivered  by:</t>
  </si>
  <si>
    <t>Received by:</t>
  </si>
  <si>
    <t>Date Signed:</t>
  </si>
  <si>
    <t>151243484 E</t>
  </si>
  <si>
    <t>151243559 E</t>
  </si>
  <si>
    <t>151243567 E</t>
  </si>
  <si>
    <t>151243591 E</t>
  </si>
  <si>
    <t>151243608 E</t>
  </si>
  <si>
    <t>151243632 E</t>
  </si>
  <si>
    <t>151243690 E</t>
  </si>
  <si>
    <t>151243707 E</t>
  </si>
  <si>
    <t>151243715 E</t>
  </si>
  <si>
    <t>151243723 E</t>
  </si>
  <si>
    <t>151243757 E</t>
  </si>
  <si>
    <t>Column1</t>
  </si>
  <si>
    <t>Column2</t>
  </si>
  <si>
    <t>honda-Patriot Auto Group Inc d/b/a</t>
  </si>
  <si>
    <t>lun-Richard Lundgren, Inc. d/b/a</t>
  </si>
  <si>
    <t>auto mall-NARSA AMC LLC d/b/a</t>
  </si>
  <si>
    <t>5900-6390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</si>
</sst>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0" fontId="2" fillId="0" borderId="0" xfId="0" applyFont="1" applyAlignment="1">
      <alignment wrapText="1"/>
    </xf>
    <xf numFmtId="0" fontId="4" fillId="0" borderId="0" xfId="0" applyFont="1"/>
    <xf numFmtId="7" fontId="4" fillId="0" borderId="0" xfId="0" applyNumberFormat="1" applyFont="1"/>
  </cellXfs>
  <cellStyles count="1">
    <cellStyle name="Normal" xfId="0" builtinId="0"/>
  </cellStyles>
  <dxfs count="17">
    <dxf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9" headerRowDxfId="3" dataDxfId="1" totalsRowDxfId="2">
  <tableColumns count="13">
    <tableColumn id="1" xr3:uid="{00000000-0010-0000-0000-000001000000}" name="Account Number" dataDxfId="16"/>
    <tableColumn id="2" xr3:uid="{00000000-0010-0000-0000-000002000000}" name="Portal" dataDxfId="15"/>
    <tableColumn id="3" xr3:uid="{00000000-0010-0000-0000-000003000000}" name="Contract Type" dataDxfId="14"/>
    <tableColumn id="4" xr3:uid="{00000000-0010-0000-0000-000004000000}" name="Applicant Name" dataDxfId="13"/>
    <tableColumn id="5" xr3:uid="{00000000-0010-0000-0000-000005000000}" name="Co-Applicant Name" dataDxfId="12"/>
    <tableColumn id="6" xr3:uid="{00000000-0010-0000-0000-000006000000}" name="Dealer Name" dataDxfId="11"/>
    <tableColumn id="7" xr3:uid="{00000000-0010-0000-0000-000007000000}" name="Funded by" dataDxfId="10"/>
    <tableColumn id="8" xr3:uid="{00000000-0010-0000-0000-000008000000}" name="Amount Financed" dataDxfId="9"/>
    <tableColumn id="9" xr3:uid="{00000000-0010-0000-0000-000009000000}" name="Applicant Email" dataDxfId="8"/>
    <tableColumn id="10" xr3:uid="{00000000-0010-0000-0000-00000A000000}" name="Co-Applicant Email" dataDxfId="7"/>
    <tableColumn id="11" xr3:uid="{00000000-0010-0000-0000-00000B000000}" name="App MMN" dataDxfId="6"/>
    <tableColumn id="12" xr3:uid="{00000000-0010-0000-0000-00000C000000}" name="Co-App MMN" dataDxfId="5"/>
    <tableColumn id="13" xr3:uid="{00000000-0010-0000-0000-00000D000000}" name="Business Name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93CCE-DFAB-48D3-AFF6-684BF4CAC077}" name="Table_14" displayName="Table_14" ref="A3:H31">
  <sortState xmlns:xlrd2="http://schemas.microsoft.com/office/spreadsheetml/2017/richdata2" ref="A4:H31">
    <sortCondition ref="A4:A31"/>
  </sortState>
  <tableColumns count="8">
    <tableColumn id="1" xr3:uid="{24512AEF-74F0-434E-AFB0-3AB9EFCB2074}" name="Dealer Name"/>
    <tableColumn id="8" xr3:uid="{74C374EA-C726-4721-AB61-05B616AEA9EA}" name="Column2"/>
    <tableColumn id="2" xr3:uid="{437FB0CF-6FF9-45C9-8070-B76965ABC5B7}" name="Funded by"/>
    <tableColumn id="3" xr3:uid="{185266B4-20E3-4EBF-88A3-3D3C100EC09D}" name="Dealer Flat"/>
    <tableColumn id="4" xr3:uid="{2773EB17-E46F-42DC-824F-F8723BFC84B5}" name="Dealer Split"/>
    <tableColumn id="5" xr3:uid="{0E31E8AF-8585-4838-9DCA-6EA262A8A1A6}" name="Net to Dealer"/>
    <tableColumn id="7" xr3:uid="{AF26D82A-03FB-454B-B8C7-70C564281685}" name="Column1" dataDxfId="0"/>
    <tableColumn id="6" xr3:uid="{D29E5021-5CE2-4B1D-B7F8-57BD08C78B8E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EE18D0-36C4-4EC8-8A26-ABA200C73AFF}" name="Table_16" displayName="Table_16" ref="A3:E8">
  <tableColumns count="5">
    <tableColumn id="1" xr3:uid="{9D1AB68D-C5D7-4E66-B93C-1E1309DC5CFE}" name="Account Number"/>
    <tableColumn id="2" xr3:uid="{706BDA0D-DAC2-43C1-86AA-F26A3A2034B1}" name="Contract Type"/>
    <tableColumn id="3" xr3:uid="{1D2F6EDC-84CF-41DC-880D-2FE124E2470B}" name="Applicant Name"/>
    <tableColumn id="4" xr3:uid="{988999B4-6578-4BAE-BBCA-EDE63F6D718B}" name="Co-Applicant Name"/>
    <tableColumn id="5" xr3:uid="{0453FED9-C8EA-4491-8C66-1C0478C74271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tabSelected="1" workbookViewId="0">
      <pane ySplit="3" topLeftCell="A4" activePane="bottomLeft" state="frozen"/>
      <selection pane="bottomLeft" activeCell="E13" sqref="E13"/>
    </sheetView>
  </sheetViews>
  <sheetFormatPr defaultRowHeight="15.75" x14ac:dyDescent="0.25"/>
  <cols>
    <col min="1" max="1" width="16.42578125" style="9" bestFit="1" customWidth="1"/>
    <col min="2" max="2" width="12.140625" style="9" bestFit="1" customWidth="1"/>
    <col min="3" max="3" width="14" style="9" bestFit="1" customWidth="1"/>
    <col min="4" max="4" width="23.140625" style="9" bestFit="1" customWidth="1"/>
    <col min="5" max="5" width="22.85546875" style="9" customWidth="1"/>
    <col min="6" max="6" width="29.140625" style="9" bestFit="1" customWidth="1"/>
    <col min="7" max="7" width="17.7109375" style="9" bestFit="1" customWidth="1"/>
    <col min="8" max="8" width="17.140625" style="9" bestFit="1" customWidth="1"/>
    <col min="9" max="9" width="33.28515625" style="9" bestFit="1" customWidth="1"/>
    <col min="10" max="10" width="23.85546875" style="9" customWidth="1"/>
    <col min="11" max="11" width="18.140625" style="9" bestFit="1" customWidth="1"/>
    <col min="12" max="12" width="12.85546875" style="9" bestFit="1" customWidth="1"/>
    <col min="13" max="13" width="18.140625" style="9" hidden="1" customWidth="1"/>
    <col min="14" max="16384" width="9.140625" style="9"/>
  </cols>
  <sheetData>
    <row r="1" spans="1:13" x14ac:dyDescent="0.25">
      <c r="K1" s="10">
        <v>45966</v>
      </c>
      <c r="M1" s="10"/>
    </row>
    <row r="2" spans="1:13" x14ac:dyDescent="0.25">
      <c r="A2" s="11" t="s">
        <v>0</v>
      </c>
      <c r="B2" s="12"/>
      <c r="C2" s="12"/>
      <c r="D2" s="12"/>
      <c r="E2" s="12"/>
      <c r="F2" s="12"/>
      <c r="G2" s="13" t="s">
        <v>1</v>
      </c>
      <c r="H2" s="12"/>
      <c r="I2" s="12"/>
      <c r="J2" s="12"/>
      <c r="K2" s="12"/>
      <c r="L2" s="12"/>
      <c r="M2" s="12"/>
    </row>
    <row r="3" spans="1:13" x14ac:dyDescent="0.2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</row>
    <row r="4" spans="1:13" ht="33" customHeight="1" x14ac:dyDescent="0.25">
      <c r="A4" s="9" t="s">
        <v>101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14">
        <v>32757</v>
      </c>
      <c r="I4" s="9" t="s">
        <v>21</v>
      </c>
      <c r="K4" s="9" t="s">
        <v>22</v>
      </c>
      <c r="L4" s="9" t="s">
        <v>23</v>
      </c>
    </row>
    <row r="5" spans="1:13" ht="33" customHeight="1" x14ac:dyDescent="0.25">
      <c r="A5" s="9" t="s">
        <v>24</v>
      </c>
      <c r="B5" s="9" t="s">
        <v>15</v>
      </c>
      <c r="C5" s="9" t="s">
        <v>25</v>
      </c>
      <c r="D5" s="9" t="s">
        <v>26</v>
      </c>
      <c r="F5" s="9" t="s">
        <v>27</v>
      </c>
      <c r="G5" s="9" t="s">
        <v>20</v>
      </c>
      <c r="H5" s="14">
        <v>31256.92</v>
      </c>
      <c r="I5" s="9" t="s">
        <v>28</v>
      </c>
      <c r="K5" s="9" t="s">
        <v>29</v>
      </c>
    </row>
    <row r="6" spans="1:13" ht="33" customHeight="1" x14ac:dyDescent="0.25">
      <c r="A6" s="9" t="s">
        <v>102</v>
      </c>
      <c r="B6" s="9" t="s">
        <v>30</v>
      </c>
      <c r="C6" s="9" t="s">
        <v>16</v>
      </c>
      <c r="D6" s="9" t="s">
        <v>31</v>
      </c>
      <c r="F6" s="9" t="s">
        <v>32</v>
      </c>
      <c r="G6" s="9" t="s">
        <v>20</v>
      </c>
      <c r="H6" s="14">
        <v>15636.31</v>
      </c>
      <c r="I6" s="9" t="s">
        <v>33</v>
      </c>
      <c r="K6" s="9" t="s">
        <v>34</v>
      </c>
    </row>
    <row r="7" spans="1:13" ht="33" customHeight="1" x14ac:dyDescent="0.25">
      <c r="A7" s="9" t="s">
        <v>103</v>
      </c>
      <c r="B7" s="9" t="s">
        <v>30</v>
      </c>
      <c r="C7" s="9" t="s">
        <v>16</v>
      </c>
      <c r="D7" s="9" t="s">
        <v>35</v>
      </c>
      <c r="F7" s="9" t="s">
        <v>36</v>
      </c>
      <c r="G7" s="9" t="s">
        <v>37</v>
      </c>
      <c r="H7" s="14">
        <v>18818.939999999999</v>
      </c>
      <c r="I7" s="9" t="s">
        <v>38</v>
      </c>
      <c r="K7" s="9" t="s">
        <v>39</v>
      </c>
    </row>
    <row r="8" spans="1:13" ht="33" customHeight="1" x14ac:dyDescent="0.25">
      <c r="A8" s="9" t="s">
        <v>104</v>
      </c>
      <c r="B8" s="9" t="s">
        <v>15</v>
      </c>
      <c r="C8" s="9" t="s">
        <v>16</v>
      </c>
      <c r="D8" s="9" t="s">
        <v>40</v>
      </c>
      <c r="F8" s="9" t="s">
        <v>41</v>
      </c>
      <c r="G8" s="9" t="s">
        <v>37</v>
      </c>
      <c r="H8" s="14">
        <v>39849.879999999997</v>
      </c>
      <c r="I8" s="9" t="s">
        <v>42</v>
      </c>
      <c r="K8" s="9" t="s">
        <v>43</v>
      </c>
    </row>
    <row r="9" spans="1:13" ht="33" customHeight="1" x14ac:dyDescent="0.25">
      <c r="A9" s="9" t="s">
        <v>105</v>
      </c>
      <c r="B9" s="9" t="s">
        <v>15</v>
      </c>
      <c r="C9" s="9" t="s">
        <v>16</v>
      </c>
      <c r="D9" s="9" t="s">
        <v>44</v>
      </c>
      <c r="F9" s="9" t="s">
        <v>45</v>
      </c>
      <c r="G9" s="9" t="s">
        <v>20</v>
      </c>
      <c r="H9" s="14">
        <v>25524.75</v>
      </c>
      <c r="I9" s="9" t="s">
        <v>46</v>
      </c>
      <c r="K9" s="9" t="s">
        <v>47</v>
      </c>
    </row>
    <row r="10" spans="1:13" ht="33" customHeight="1" x14ac:dyDescent="0.25">
      <c r="A10" s="9" t="s">
        <v>106</v>
      </c>
      <c r="B10" s="9" t="s">
        <v>15</v>
      </c>
      <c r="C10" s="9" t="s">
        <v>16</v>
      </c>
      <c r="D10" s="9" t="s">
        <v>48</v>
      </c>
      <c r="E10" s="17" t="s">
        <v>49</v>
      </c>
      <c r="F10" s="9" t="s">
        <v>41</v>
      </c>
      <c r="G10" s="9" t="s">
        <v>20</v>
      </c>
      <c r="H10" s="14">
        <v>25471.5</v>
      </c>
      <c r="I10" s="9" t="s">
        <v>50</v>
      </c>
      <c r="J10" s="9" t="s">
        <v>51</v>
      </c>
      <c r="K10" s="9" t="s">
        <v>52</v>
      </c>
      <c r="L10" s="9" t="s">
        <v>53</v>
      </c>
    </row>
    <row r="11" spans="1:13" ht="33" customHeight="1" x14ac:dyDescent="0.25">
      <c r="A11" s="9" t="s">
        <v>54</v>
      </c>
      <c r="B11" s="9" t="s">
        <v>15</v>
      </c>
      <c r="C11" s="9" t="s">
        <v>25</v>
      </c>
      <c r="D11" s="9" t="s">
        <v>55</v>
      </c>
      <c r="E11" s="9" t="s">
        <v>56</v>
      </c>
      <c r="F11" s="9" t="s">
        <v>57</v>
      </c>
      <c r="G11" s="9" t="s">
        <v>20</v>
      </c>
      <c r="H11" s="14">
        <v>50222.69</v>
      </c>
      <c r="I11" s="9" t="s">
        <v>58</v>
      </c>
      <c r="K11" s="9" t="s">
        <v>59</v>
      </c>
      <c r="L11" s="9" t="s">
        <v>60</v>
      </c>
    </row>
    <row r="12" spans="1:13" ht="33" customHeight="1" x14ac:dyDescent="0.25">
      <c r="A12" s="9" t="s">
        <v>107</v>
      </c>
      <c r="B12" s="9" t="s">
        <v>15</v>
      </c>
      <c r="C12" s="9" t="s">
        <v>16</v>
      </c>
      <c r="D12" s="9" t="s">
        <v>61</v>
      </c>
      <c r="F12" s="9" t="s">
        <v>19</v>
      </c>
      <c r="G12" s="9" t="s">
        <v>62</v>
      </c>
      <c r="H12" s="14">
        <v>20498.330000000002</v>
      </c>
      <c r="I12" s="9" t="s">
        <v>63</v>
      </c>
      <c r="K12" s="9" t="s">
        <v>64</v>
      </c>
    </row>
    <row r="13" spans="1:13" ht="33" customHeight="1" x14ac:dyDescent="0.25">
      <c r="A13" s="9" t="s">
        <v>108</v>
      </c>
      <c r="B13" s="9" t="s">
        <v>30</v>
      </c>
      <c r="C13" s="9" t="s">
        <v>16</v>
      </c>
      <c r="D13" s="9" t="s">
        <v>65</v>
      </c>
      <c r="F13" s="9" t="s">
        <v>66</v>
      </c>
      <c r="G13" s="9" t="s">
        <v>62</v>
      </c>
      <c r="H13" s="14">
        <v>23147.19</v>
      </c>
      <c r="I13" s="9" t="s">
        <v>67</v>
      </c>
      <c r="K13" s="9" t="s">
        <v>68</v>
      </c>
    </row>
    <row r="14" spans="1:13" ht="33" customHeight="1" x14ac:dyDescent="0.25">
      <c r="A14" s="9" t="s">
        <v>109</v>
      </c>
      <c r="B14" s="9" t="s">
        <v>30</v>
      </c>
      <c r="C14" s="9" t="s">
        <v>16</v>
      </c>
      <c r="D14" s="9" t="s">
        <v>69</v>
      </c>
      <c r="F14" s="9" t="s">
        <v>70</v>
      </c>
      <c r="G14" s="9" t="s">
        <v>62</v>
      </c>
      <c r="H14" s="14">
        <v>20671.36</v>
      </c>
      <c r="I14" s="9" t="s">
        <v>71</v>
      </c>
      <c r="K14" s="9" t="s">
        <v>72</v>
      </c>
    </row>
    <row r="15" spans="1:13" ht="33" customHeight="1" x14ac:dyDescent="0.25">
      <c r="A15" s="9" t="s">
        <v>110</v>
      </c>
      <c r="B15" s="9" t="s">
        <v>30</v>
      </c>
      <c r="C15" s="9" t="s">
        <v>16</v>
      </c>
      <c r="D15" s="9" t="s">
        <v>73</v>
      </c>
      <c r="F15" s="9" t="s">
        <v>74</v>
      </c>
      <c r="G15" s="9" t="s">
        <v>62</v>
      </c>
      <c r="H15" s="14">
        <v>33818.879999999997</v>
      </c>
      <c r="I15" s="9" t="s">
        <v>75</v>
      </c>
      <c r="K15" s="9" t="s">
        <v>76</v>
      </c>
    </row>
    <row r="16" spans="1:13" ht="33" customHeight="1" x14ac:dyDescent="0.25">
      <c r="A16" s="9" t="s">
        <v>77</v>
      </c>
      <c r="B16" s="9" t="s">
        <v>15</v>
      </c>
      <c r="C16" s="9" t="s">
        <v>25</v>
      </c>
      <c r="D16" s="9" t="s">
        <v>78</v>
      </c>
      <c r="F16" s="9" t="s">
        <v>79</v>
      </c>
      <c r="G16" s="9" t="s">
        <v>62</v>
      </c>
      <c r="H16" s="14">
        <v>30515.94</v>
      </c>
      <c r="I16" s="9" t="s">
        <v>80</v>
      </c>
      <c r="K16" s="9" t="s">
        <v>81</v>
      </c>
    </row>
    <row r="17" spans="1:13" ht="33" customHeight="1" x14ac:dyDescent="0.25">
      <c r="A17" s="9" t="s">
        <v>82</v>
      </c>
      <c r="B17" s="9" t="s">
        <v>15</v>
      </c>
      <c r="C17" s="9" t="s">
        <v>25</v>
      </c>
      <c r="D17" s="9" t="s">
        <v>83</v>
      </c>
      <c r="F17" s="9" t="s">
        <v>79</v>
      </c>
      <c r="G17" s="9" t="s">
        <v>62</v>
      </c>
      <c r="H17" s="14">
        <v>22159.69</v>
      </c>
      <c r="I17" s="9" t="s">
        <v>84</v>
      </c>
      <c r="K17" s="9" t="s">
        <v>85</v>
      </c>
    </row>
    <row r="18" spans="1:13" ht="33" customHeight="1" x14ac:dyDescent="0.25">
      <c r="A18" s="9" t="s">
        <v>111</v>
      </c>
      <c r="B18" s="9" t="s">
        <v>30</v>
      </c>
      <c r="C18" s="9" t="s">
        <v>16</v>
      </c>
      <c r="D18" s="9" t="s">
        <v>86</v>
      </c>
      <c r="F18" s="9" t="s">
        <v>87</v>
      </c>
      <c r="G18" s="9" t="s">
        <v>62</v>
      </c>
      <c r="H18" s="14">
        <v>35353.24</v>
      </c>
      <c r="K18" s="9" t="s">
        <v>88</v>
      </c>
    </row>
    <row r="19" spans="1:13" x14ac:dyDescent="0.25">
      <c r="A19" s="15"/>
      <c r="B19" s="15"/>
      <c r="C19" s="15"/>
      <c r="D19" s="15" t="s">
        <v>89</v>
      </c>
      <c r="E19" s="15"/>
      <c r="F19" s="15"/>
      <c r="G19" s="15"/>
      <c r="H19" s="16">
        <f>SUM(H4:H18)</f>
        <v>425702.62</v>
      </c>
      <c r="I19" s="15"/>
      <c r="J19" s="15"/>
      <c r="K19" s="15"/>
      <c r="L19" s="15"/>
      <c r="M19" s="15"/>
    </row>
  </sheetData>
  <mergeCells count="2">
    <mergeCell ref="A2:F2"/>
    <mergeCell ref="G2:M2"/>
  </mergeCells>
  <pageMargins left="0.7" right="0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7107-517C-4DEB-96D9-770C10FEC0C3}">
  <sheetPr>
    <pageSetUpPr fitToPage="1"/>
  </sheetPr>
  <dimension ref="A1:H31"/>
  <sheetViews>
    <sheetView topLeftCell="A20" workbookViewId="0">
      <selection activeCell="D37" sqref="D37"/>
    </sheetView>
  </sheetViews>
  <sheetFormatPr defaultRowHeight="15" x14ac:dyDescent="0.25"/>
  <cols>
    <col min="1" max="1" width="31" customWidth="1"/>
    <col min="2" max="2" width="11.28515625" customWidth="1"/>
    <col min="3" max="3" width="18.5703125" customWidth="1"/>
    <col min="4" max="4" width="19.85546875" customWidth="1"/>
    <col min="5" max="5" width="16.7109375" customWidth="1"/>
    <col min="6" max="7" width="13.28515625" customWidth="1"/>
    <col min="8" max="8" width="21.140625" customWidth="1"/>
  </cols>
  <sheetData>
    <row r="1" spans="1:8" x14ac:dyDescent="0.25">
      <c r="E1" s="4"/>
      <c r="H1" s="4">
        <v>45966.999988425923</v>
      </c>
    </row>
    <row r="2" spans="1:8" x14ac:dyDescent="0.25">
      <c r="A2" s="5" t="s">
        <v>0</v>
      </c>
      <c r="B2" s="5"/>
      <c r="C2" s="6"/>
      <c r="D2" s="6"/>
      <c r="E2" s="7" t="s">
        <v>90</v>
      </c>
      <c r="F2" s="6"/>
      <c r="G2" s="6"/>
      <c r="H2" s="6"/>
    </row>
    <row r="3" spans="1:8" x14ac:dyDescent="0.25">
      <c r="A3" t="s">
        <v>7</v>
      </c>
      <c r="B3" t="s">
        <v>113</v>
      </c>
      <c r="C3" t="s">
        <v>8</v>
      </c>
      <c r="D3" t="s">
        <v>91</v>
      </c>
      <c r="E3" t="s">
        <v>92</v>
      </c>
      <c r="F3" t="s">
        <v>93</v>
      </c>
      <c r="G3" t="s">
        <v>112</v>
      </c>
      <c r="H3" t="s">
        <v>94</v>
      </c>
    </row>
    <row r="4" spans="1:8" ht="27" customHeight="1" x14ac:dyDescent="0.25">
      <c r="A4" t="s">
        <v>32</v>
      </c>
      <c r="C4" t="s">
        <v>20</v>
      </c>
      <c r="D4" s="2">
        <v>500</v>
      </c>
      <c r="E4" s="2">
        <v>0</v>
      </c>
      <c r="F4" s="19">
        <v>15561.31</v>
      </c>
      <c r="G4" s="2"/>
      <c r="H4" s="2">
        <v>15636.31</v>
      </c>
    </row>
    <row r="5" spans="1:8" ht="21.75" customHeight="1" x14ac:dyDescent="0.25">
      <c r="D5" s="2"/>
      <c r="E5" s="2"/>
      <c r="F5" s="2"/>
      <c r="G5" s="2"/>
      <c r="H5" s="2"/>
    </row>
    <row r="6" spans="1:8" ht="27" customHeight="1" x14ac:dyDescent="0.25">
      <c r="A6" t="s">
        <v>116</v>
      </c>
      <c r="C6" t="s">
        <v>62</v>
      </c>
      <c r="D6" s="2">
        <v>650</v>
      </c>
      <c r="E6" s="2">
        <v>0</v>
      </c>
      <c r="F6" s="2">
        <v>22084.69</v>
      </c>
      <c r="G6" s="2"/>
      <c r="H6" s="2">
        <v>22159.69</v>
      </c>
    </row>
    <row r="7" spans="1:8" ht="27" customHeight="1" x14ac:dyDescent="0.25">
      <c r="A7" t="s">
        <v>116</v>
      </c>
      <c r="C7" t="s">
        <v>62</v>
      </c>
      <c r="D7" s="2">
        <v>850</v>
      </c>
      <c r="E7" s="2">
        <v>0</v>
      </c>
      <c r="F7" s="2">
        <v>30440.94</v>
      </c>
      <c r="G7" s="19">
        <f>SUM(F6:F7)</f>
        <v>52525.63</v>
      </c>
      <c r="H7" s="2">
        <v>30515.94</v>
      </c>
    </row>
    <row r="8" spans="1:8" ht="27" customHeight="1" x14ac:dyDescent="0.25">
      <c r="D8" s="2"/>
      <c r="E8" s="2"/>
      <c r="F8" s="2"/>
      <c r="G8" s="2"/>
      <c r="H8" s="2"/>
    </row>
    <row r="9" spans="1:8" ht="27" customHeight="1" x14ac:dyDescent="0.25">
      <c r="A9" t="s">
        <v>36</v>
      </c>
      <c r="C9" t="s">
        <v>37</v>
      </c>
      <c r="D9" s="2">
        <v>500</v>
      </c>
      <c r="E9" s="2">
        <v>0</v>
      </c>
      <c r="F9" s="19">
        <v>18743.939999999999</v>
      </c>
      <c r="G9" s="2"/>
      <c r="H9" s="2">
        <v>18818.939999999999</v>
      </c>
    </row>
    <row r="10" spans="1:8" ht="27" customHeight="1" x14ac:dyDescent="0.25">
      <c r="D10" s="2"/>
      <c r="E10" s="2"/>
      <c r="F10" s="19"/>
      <c r="G10" s="2"/>
      <c r="H10" s="2"/>
    </row>
    <row r="11" spans="1:8" ht="27" customHeight="1" x14ac:dyDescent="0.25">
      <c r="A11" t="s">
        <v>57</v>
      </c>
      <c r="C11" t="s">
        <v>20</v>
      </c>
      <c r="D11" s="2">
        <v>1350</v>
      </c>
      <c r="E11" s="2">
        <v>0</v>
      </c>
      <c r="F11" s="19">
        <v>50147.69</v>
      </c>
      <c r="G11" s="2"/>
      <c r="H11" s="2">
        <v>50222.69</v>
      </c>
    </row>
    <row r="12" spans="1:8" ht="27" customHeight="1" x14ac:dyDescent="0.25">
      <c r="D12" s="2"/>
      <c r="E12" s="2"/>
      <c r="F12" s="19"/>
      <c r="G12" s="2"/>
      <c r="H12" s="2"/>
    </row>
    <row r="13" spans="1:8" ht="27" customHeight="1" x14ac:dyDescent="0.25">
      <c r="A13" t="s">
        <v>114</v>
      </c>
      <c r="C13" t="s">
        <v>62</v>
      </c>
      <c r="D13" s="2">
        <v>850</v>
      </c>
      <c r="E13" s="2">
        <v>0</v>
      </c>
      <c r="F13" s="19">
        <v>33743.879999999997</v>
      </c>
      <c r="G13" s="2"/>
      <c r="H13" s="2">
        <v>33818.879999999997</v>
      </c>
    </row>
    <row r="14" spans="1:8" ht="27" customHeight="1" x14ac:dyDescent="0.25">
      <c r="D14" s="2"/>
      <c r="E14" s="2"/>
      <c r="F14" s="19"/>
      <c r="G14" s="2"/>
      <c r="H14" s="2"/>
    </row>
    <row r="15" spans="1:8" ht="27" customHeight="1" x14ac:dyDescent="0.25">
      <c r="A15" t="s">
        <v>87</v>
      </c>
      <c r="C15" t="s">
        <v>62</v>
      </c>
      <c r="D15" s="2">
        <v>950</v>
      </c>
      <c r="E15" s="2">
        <v>0</v>
      </c>
      <c r="F15" s="19">
        <v>35278.239999999998</v>
      </c>
      <c r="G15" s="2"/>
      <c r="H15" s="2">
        <v>35353.24</v>
      </c>
    </row>
    <row r="16" spans="1:8" ht="27" customHeight="1" x14ac:dyDescent="0.25">
      <c r="D16" s="2"/>
      <c r="E16" s="2"/>
      <c r="F16" s="2"/>
      <c r="G16" s="2"/>
      <c r="H16" s="2"/>
    </row>
    <row r="17" spans="1:8" ht="27" customHeight="1" x14ac:dyDescent="0.25">
      <c r="A17" t="s">
        <v>115</v>
      </c>
      <c r="C17" t="s">
        <v>20</v>
      </c>
      <c r="D17" s="2">
        <v>750</v>
      </c>
      <c r="E17" s="2">
        <v>0</v>
      </c>
      <c r="F17" s="2">
        <v>25396.5</v>
      </c>
      <c r="G17" s="2"/>
      <c r="H17" s="2">
        <v>25471.5</v>
      </c>
    </row>
    <row r="18" spans="1:8" ht="27" customHeight="1" x14ac:dyDescent="0.25">
      <c r="A18" t="s">
        <v>115</v>
      </c>
      <c r="C18" t="s">
        <v>37</v>
      </c>
      <c r="D18" s="2">
        <v>950</v>
      </c>
      <c r="E18" s="2">
        <v>0</v>
      </c>
      <c r="F18" s="2">
        <v>39774.879999999997</v>
      </c>
      <c r="G18" s="19">
        <f>SUM(F17:F18)</f>
        <v>65171.38</v>
      </c>
      <c r="H18" s="2">
        <v>39849.879999999997</v>
      </c>
    </row>
    <row r="19" spans="1:8" ht="27" customHeight="1" x14ac:dyDescent="0.25">
      <c r="D19" s="2"/>
      <c r="E19" s="2"/>
      <c r="F19" s="2"/>
      <c r="G19" s="2"/>
      <c r="H19" s="2"/>
    </row>
    <row r="20" spans="1:8" ht="27" customHeight="1" x14ac:dyDescent="0.25">
      <c r="A20" t="s">
        <v>70</v>
      </c>
      <c r="B20" s="18" t="s">
        <v>117</v>
      </c>
      <c r="C20" t="s">
        <v>62</v>
      </c>
      <c r="D20" s="2">
        <v>650</v>
      </c>
      <c r="E20" s="2">
        <v>0</v>
      </c>
      <c r="F20" s="19">
        <v>20596.36</v>
      </c>
      <c r="G20" s="2"/>
      <c r="H20" s="2">
        <v>20671.36</v>
      </c>
    </row>
    <row r="21" spans="1:8" ht="27" customHeight="1" x14ac:dyDescent="0.25">
      <c r="B21" s="18"/>
      <c r="D21" s="2"/>
      <c r="E21" s="2"/>
      <c r="F21" s="2"/>
      <c r="G21" s="2"/>
      <c r="H21" s="2"/>
    </row>
    <row r="22" spans="1:8" ht="27" customHeight="1" x14ac:dyDescent="0.25">
      <c r="A22" t="s">
        <v>19</v>
      </c>
      <c r="C22" t="s">
        <v>20</v>
      </c>
      <c r="D22" s="2">
        <v>850</v>
      </c>
      <c r="E22" s="2">
        <v>0</v>
      </c>
      <c r="F22" s="2">
        <v>32682</v>
      </c>
      <c r="G22" s="2"/>
      <c r="H22" s="2">
        <v>32757</v>
      </c>
    </row>
    <row r="23" spans="1:8" ht="27" customHeight="1" x14ac:dyDescent="0.25">
      <c r="A23" t="s">
        <v>19</v>
      </c>
      <c r="C23" t="s">
        <v>62</v>
      </c>
      <c r="D23" s="2">
        <v>650</v>
      </c>
      <c r="E23" s="2">
        <v>0</v>
      </c>
      <c r="F23" s="2">
        <v>20423.330000000002</v>
      </c>
      <c r="G23" s="19">
        <f>SUM(F22:F23)</f>
        <v>53105.33</v>
      </c>
      <c r="H23" s="2">
        <v>20498.330000000002</v>
      </c>
    </row>
    <row r="24" spans="1:8" ht="27" customHeight="1" x14ac:dyDescent="0.25">
      <c r="D24" s="2"/>
      <c r="E24" s="2"/>
      <c r="F24" s="2"/>
      <c r="G24" s="2"/>
      <c r="H24" s="2"/>
    </row>
    <row r="25" spans="1:8" ht="27" customHeight="1" x14ac:dyDescent="0.25">
      <c r="A25" t="s">
        <v>27</v>
      </c>
      <c r="C25" t="s">
        <v>20</v>
      </c>
      <c r="D25" s="2">
        <v>850</v>
      </c>
      <c r="E25" s="2">
        <v>0</v>
      </c>
      <c r="F25" s="19">
        <v>31181.919999999998</v>
      </c>
      <c r="G25" s="2"/>
      <c r="H25" s="2">
        <v>31256.92</v>
      </c>
    </row>
    <row r="26" spans="1:8" ht="27" customHeight="1" x14ac:dyDescent="0.25">
      <c r="D26" s="2"/>
      <c r="E26" s="2"/>
      <c r="F26" s="19"/>
      <c r="G26" s="2"/>
      <c r="H26" s="2"/>
    </row>
    <row r="27" spans="1:8" ht="27" customHeight="1" x14ac:dyDescent="0.25">
      <c r="A27" t="s">
        <v>45</v>
      </c>
      <c r="C27" t="s">
        <v>20</v>
      </c>
      <c r="D27" s="2">
        <v>750</v>
      </c>
      <c r="E27" s="2">
        <v>0</v>
      </c>
      <c r="F27" s="19">
        <v>25449.75</v>
      </c>
      <c r="G27" s="2"/>
      <c r="H27" s="2">
        <v>25524.75</v>
      </c>
    </row>
    <row r="28" spans="1:8" ht="27" customHeight="1" x14ac:dyDescent="0.25">
      <c r="D28" s="2"/>
      <c r="E28" s="2"/>
      <c r="F28" s="19"/>
      <c r="G28" s="2"/>
      <c r="H28" s="2"/>
    </row>
    <row r="29" spans="1:8" ht="27" customHeight="1" x14ac:dyDescent="0.25">
      <c r="A29" t="s">
        <v>66</v>
      </c>
      <c r="C29" t="s">
        <v>62</v>
      </c>
      <c r="D29" s="2">
        <v>650</v>
      </c>
      <c r="E29" s="2">
        <v>0</v>
      </c>
      <c r="F29" s="19">
        <v>23072.19</v>
      </c>
      <c r="G29" s="2"/>
      <c r="H29" s="2">
        <v>23147.19</v>
      </c>
    </row>
    <row r="30" spans="1:8" ht="14.25" customHeight="1" x14ac:dyDescent="0.25">
      <c r="D30" s="2"/>
      <c r="E30" s="2"/>
      <c r="F30" s="2"/>
      <c r="G30" s="2"/>
      <c r="H30" s="2"/>
    </row>
    <row r="31" spans="1:8" x14ac:dyDescent="0.25">
      <c r="A31" s="1"/>
      <c r="B31" s="1"/>
      <c r="C31" s="1"/>
      <c r="D31" s="3">
        <f>SUM(D4:D29)</f>
        <v>11750</v>
      </c>
      <c r="E31" s="3">
        <f>SUM(E4:E29)</f>
        <v>0</v>
      </c>
      <c r="F31" s="3">
        <f>SUM(F4:F29)</f>
        <v>424577.62</v>
      </c>
      <c r="G31" s="3"/>
      <c r="H31" s="3">
        <f>SUM(H4:H29)</f>
        <v>425702.62</v>
      </c>
    </row>
  </sheetData>
  <mergeCells count="2">
    <mergeCell ref="A2:D2"/>
    <mergeCell ref="E2:H2"/>
  </mergeCells>
  <pageMargins left="0.7" right="0.2" top="0.75" bottom="0.75" header="0.3" footer="0.3"/>
  <pageSetup scale="83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BFCB-9A20-4CE0-9FAB-E83E279E26B9}">
  <sheetPr>
    <pageSetUpPr fitToPage="1"/>
  </sheetPr>
  <dimension ref="A1:E22"/>
  <sheetViews>
    <sheetView workbookViewId="0">
      <selection activeCell="J11" sqref="J11:K11"/>
    </sheetView>
  </sheetViews>
  <sheetFormatPr defaultRowHeight="15" x14ac:dyDescent="0.25"/>
  <cols>
    <col min="1" max="1" width="12.7109375" customWidth="1"/>
    <col min="2" max="2" width="9.85546875" customWidth="1"/>
    <col min="3" max="3" width="20.28515625" customWidth="1"/>
    <col min="4" max="4" width="17" customWidth="1"/>
    <col min="5" max="5" width="25.140625" customWidth="1"/>
  </cols>
  <sheetData>
    <row r="1" spans="1:5" ht="20.100000000000001" customHeight="1" x14ac:dyDescent="0.25">
      <c r="A1" t="s">
        <v>97</v>
      </c>
      <c r="E1" s="4">
        <v>45966</v>
      </c>
    </row>
    <row r="2" spans="1:5" ht="20.100000000000001" customHeight="1" x14ac:dyDescent="0.25">
      <c r="A2" s="5" t="s">
        <v>0</v>
      </c>
      <c r="B2" s="6"/>
      <c r="C2" s="6"/>
      <c r="D2" s="7" t="s">
        <v>95</v>
      </c>
      <c r="E2" s="6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24</v>
      </c>
      <c r="B4" t="s">
        <v>25</v>
      </c>
      <c r="C4" t="s">
        <v>26</v>
      </c>
      <c r="E4" t="s">
        <v>27</v>
      </c>
    </row>
    <row r="5" spans="1:5" ht="24.95" customHeight="1" x14ac:dyDescent="0.25">
      <c r="A5" t="s">
        <v>54</v>
      </c>
      <c r="B5" t="s">
        <v>25</v>
      </c>
      <c r="C5" t="s">
        <v>55</v>
      </c>
      <c r="D5" t="s">
        <v>56</v>
      </c>
      <c r="E5" t="s">
        <v>57</v>
      </c>
    </row>
    <row r="6" spans="1:5" ht="24.95" customHeight="1" x14ac:dyDescent="0.25">
      <c r="A6" t="s">
        <v>77</v>
      </c>
      <c r="B6" t="s">
        <v>25</v>
      </c>
      <c r="C6" t="s">
        <v>78</v>
      </c>
      <c r="E6" t="s">
        <v>79</v>
      </c>
    </row>
    <row r="7" spans="1:5" ht="24.95" customHeight="1" x14ac:dyDescent="0.25">
      <c r="A7" t="s">
        <v>82</v>
      </c>
      <c r="B7" t="s">
        <v>25</v>
      </c>
      <c r="C7" t="s">
        <v>83</v>
      </c>
      <c r="E7" t="s">
        <v>79</v>
      </c>
    </row>
    <row r="8" spans="1:5" ht="24.95" customHeight="1" x14ac:dyDescent="0.25">
      <c r="A8" s="1"/>
      <c r="B8" s="1"/>
      <c r="C8" s="1" t="s">
        <v>96</v>
      </c>
      <c r="D8" s="1"/>
      <c r="E8" s="1"/>
    </row>
    <row r="13" spans="1:5" x14ac:dyDescent="0.25">
      <c r="A13" t="s">
        <v>98</v>
      </c>
      <c r="B13" s="8"/>
      <c r="C13" s="8"/>
      <c r="D13" s="8"/>
    </row>
    <row r="18" spans="1:4" x14ac:dyDescent="0.25">
      <c r="A18" t="s">
        <v>99</v>
      </c>
      <c r="B18" s="8"/>
      <c r="C18" s="8"/>
      <c r="D18" s="8"/>
    </row>
    <row r="22" spans="1:4" x14ac:dyDescent="0.25">
      <c r="A22" t="s">
        <v>100</v>
      </c>
      <c r="B22" s="8"/>
      <c r="C22" s="8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2025-11-05T19:43:26Z</cp:lastPrinted>
  <dcterms:created xsi:type="dcterms:W3CDTF">2025-11-05T19:24:45Z</dcterms:created>
  <dcterms:modified xsi:type="dcterms:W3CDTF">2025-11-05T20:03:48Z</dcterms:modified>
</cp:coreProperties>
</file>