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2C16B46A-6809-4B17-A642-8BAB3082B2B0}" xr6:coauthVersionLast="47" xr6:coauthVersionMax="47" xr10:uidLastSave="{00000000-0000-0000-0000-000000000000}"/>
  <bookViews>
    <workbookView xWindow="30360" yWindow="1560" windowWidth="20295" windowHeight="1326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G17" i="2"/>
  <c r="E17" i="2"/>
  <c r="D17" i="2"/>
  <c r="C17" i="2"/>
  <c r="H11" i="1"/>
</calcChain>
</file>

<file path=xl/sharedStrings.xml><?xml version="1.0" encoding="utf-8"?>
<sst xmlns="http://schemas.openxmlformats.org/spreadsheetml/2006/main" count="113" uniqueCount="72">
  <si>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</si>
  <si>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</si>
  <si>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</si>
  <si>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</si>
  <si>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</si>
  <si>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</si>
  <si>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</si>
  <si>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</si>
  <si>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</si>
  <si>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</si>
  <si>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</si>
  <si>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</si>
  <si>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</si>
  <si>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</si>
  <si>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</si>
  <si>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</si>
  <si>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</si>
  <si>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CRATTY, SOPHIA</t>
  </si>
  <si>
    <t>Robertson's GMC Truck, Inc</t>
  </si>
  <si>
    <t>Rachel Gorham</t>
  </si>
  <si>
    <t>SOPHIEE.HANNAHH@GMAIL.COM</t>
  </si>
  <si>
    <t>ATWOOD</t>
  </si>
  <si>
    <t>VONKRIEGENBERGH, YVONNE</t>
  </si>
  <si>
    <t>Planet Subaru</t>
  </si>
  <si>
    <t>ZDROP31@YAHOO.COM</t>
  </si>
  <si>
    <t>LEMAIRE</t>
  </si>
  <si>
    <t>ROBERGE, TYLER</t>
  </si>
  <si>
    <t>OLSSON, ISABELLE</t>
  </si>
  <si>
    <t>Marlene Braganca</t>
  </si>
  <si>
    <t>TROBERGE@LAW.HARVARD.EDU</t>
  </si>
  <si>
    <t>ISABELLE.OLSSON.410@GMAIL.COM</t>
  </si>
  <si>
    <t>PAGE</t>
  </si>
  <si>
    <t>YEO</t>
  </si>
  <si>
    <t>151131001</t>
  </si>
  <si>
    <t>Paper</t>
  </si>
  <si>
    <t>BOLIN, ROSS</t>
  </si>
  <si>
    <t>Bourne Enterprises Inc</t>
  </si>
  <si>
    <t>Neli Oliveira</t>
  </si>
  <si>
    <t>ROSSBOLIN@HOTMAIL.COM</t>
  </si>
  <si>
    <t>RUIZ</t>
  </si>
  <si>
    <t>Route One</t>
  </si>
  <si>
    <t>BENT, NATHANIEL</t>
  </si>
  <si>
    <t>Colonial Ford Inc</t>
  </si>
  <si>
    <t>natebent88@gmail.com</t>
  </si>
  <si>
    <t>SCHNEIDER</t>
  </si>
  <si>
    <t>CAREY, STEPHEN</t>
  </si>
  <si>
    <t>Patriot Auto Group Inc d/b/a</t>
  </si>
  <si>
    <t>stephen_carey@comcast.net</t>
  </si>
  <si>
    <t>LANGEVIN</t>
  </si>
  <si>
    <t>HUDSON, KYLE</t>
  </si>
  <si>
    <t>Alden Buick Pontiac GMC</t>
  </si>
  <si>
    <t>BISHUP</t>
  </si>
  <si>
    <t># 7</t>
  </si>
  <si>
    <t>Funding Worksheet - ACH Version</t>
  </si>
  <si>
    <t>Dealer Flat</t>
  </si>
  <si>
    <t>Dealer Split</t>
  </si>
  <si>
    <t>Net to Dealer</t>
  </si>
  <si>
    <t>Contracted Amount Financed</t>
  </si>
  <si>
    <t>honda-Patriot Auto Group Inc d/b/a</t>
  </si>
  <si>
    <t>Funding Worksheet - Signoff Version</t>
  </si>
  <si>
    <t># 1</t>
  </si>
  <si>
    <t>Original Note Delivered</t>
  </si>
  <si>
    <t>Delivered by:</t>
  </si>
  <si>
    <t>Received by:</t>
  </si>
  <si>
    <t>Date Signed:</t>
  </si>
  <si>
    <t>Column1</t>
  </si>
  <si>
    <t>151130938 E</t>
  </si>
  <si>
    <t>151130954 E</t>
  </si>
  <si>
    <t>151130996 E</t>
  </si>
  <si>
    <t>151131027 E</t>
  </si>
  <si>
    <t>151131043 E</t>
  </si>
  <si>
    <t>151131051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</si>
</sst>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3" fillId="0" borderId="0" xfId="0" applyFont="1"/>
    <xf numFmtId="7" fontId="3" fillId="0" borderId="0" xfId="0" applyNumberFormat="1" applyFont="1"/>
    <xf numFmtId="164" fontId="2" fillId="0" borderId="0" xfId="0" applyNumberFormat="1" applyFont="1" applyAlignment="1">
      <alignment horizontal="right"/>
    </xf>
    <xf numFmtId="0" fontId="0" fillId="0" borderId="0" xfId="0" applyAlignment="1"/>
    <xf numFmtId="14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1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733ECC-C29B-45C8-9B6C-55AB06672468}" name="Table_14" displayName="Table_14" ref="A3:G17" headerRowDxfId="17" dataDxfId="15" totalsRowDxfId="16">
  <tableColumns count="7">
    <tableColumn id="1" xr3:uid="{73CD0CA4-4867-4B4F-BE56-B030FE92F41E}" name="Dealer Name" dataDxfId="24"/>
    <tableColumn id="2" xr3:uid="{CA429422-8B49-4737-AA91-3BBA8ED0CA4F}" name="Funded by" dataDxfId="23"/>
    <tableColumn id="3" xr3:uid="{6BB50000-3416-4CD0-AD86-E8A5C0288FE5}" name="Dealer Flat" dataDxfId="22"/>
    <tableColumn id="4" xr3:uid="{68D6F45E-27C6-42A2-8741-5A519C05F603}" name="Dealer Split" dataDxfId="21"/>
    <tableColumn id="5" xr3:uid="{27E4980D-6C28-4FD1-9B51-CB532EBD153A}" name="Net to Dealer" dataDxfId="20"/>
    <tableColumn id="7" xr3:uid="{AE518462-2A7D-4E7A-A9F3-95EAF2027F08}" name="Column1" dataDxfId="19"/>
    <tableColumn id="6" xr3:uid="{2A3EFC11-F6FB-4678-BDF5-9F44346A3012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6AA99E-52CC-4308-B54C-0292CEDEC933}" name="Table_16" displayName="Table_16" ref="A3:F5">
  <tableColumns count="6">
    <tableColumn id="1" xr3:uid="{C1786A45-9845-4418-8D17-3C2B818DE98D}" name="Account Number"/>
    <tableColumn id="2" xr3:uid="{84090138-1EFB-440D-9E47-23C70E9E01E3}" name="Contract Type"/>
    <tableColumn id="3" xr3:uid="{BD1383E8-4847-40ED-BFE0-0C632222C6F3}" name="Applicant Name"/>
    <tableColumn id="4" xr3:uid="{104CF55A-2A48-4F16-8301-7F6494E91C35}" name="Co-Applicant Name"/>
    <tableColumn id="5" xr3:uid="{18F2B38D-BDC4-4846-81AC-D75AC01253DA}" name="Dealer Name"/>
    <tableColumn id="6" xr3:uid="{6CB9406D-E5C9-412B-9021-C9CD4BCF0C95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"/>
  <sheetViews>
    <sheetView tabSelected="1" workbookViewId="0">
      <pane ySplit="3" topLeftCell="A4" activePane="bottomLeft" state="frozen"/>
      <selection pane="bottomLeft" activeCell="E19" sqref="E19"/>
    </sheetView>
  </sheetViews>
  <sheetFormatPr defaultRowHeight="15.75" x14ac:dyDescent="0.25"/>
  <cols>
    <col min="1" max="1" width="14" style="7" customWidth="1"/>
    <col min="2" max="2" width="12.140625" style="7" bestFit="1" customWidth="1"/>
    <col min="3" max="3" width="10.28515625" style="7" customWidth="1"/>
    <col min="4" max="4" width="27.28515625" style="7" customWidth="1"/>
    <col min="5" max="5" width="18.7109375" style="7" bestFit="1" customWidth="1"/>
    <col min="6" max="6" width="26.7109375" style="7" bestFit="1" customWidth="1"/>
    <col min="7" max="7" width="17.7109375" style="7" bestFit="1" customWidth="1"/>
    <col min="8" max="8" width="14.85546875" style="7" customWidth="1"/>
    <col min="9" max="9" width="31.5703125" style="7" bestFit="1" customWidth="1"/>
    <col min="10" max="10" width="31.5703125" style="7" customWidth="1"/>
    <col min="11" max="11" width="13" style="7" customWidth="1"/>
    <col min="12" max="12" width="6.28515625" style="7" customWidth="1"/>
    <col min="13" max="16384" width="9.140625" style="7"/>
  </cols>
  <sheetData>
    <row r="1" spans="1:12" x14ac:dyDescent="0.25">
      <c r="A1" s="18">
        <v>45650</v>
      </c>
      <c r="K1" s="16">
        <v>45650</v>
      </c>
      <c r="L1" s="17"/>
    </row>
    <row r="2" spans="1:12" x14ac:dyDescent="0.25">
      <c r="A2" s="9" t="s">
        <v>0</v>
      </c>
      <c r="B2" s="10"/>
      <c r="C2" s="10"/>
      <c r="D2" s="10"/>
      <c r="E2" s="10"/>
      <c r="F2" s="10"/>
      <c r="G2" s="11" t="s">
        <v>1</v>
      </c>
      <c r="H2" s="10"/>
      <c r="I2" s="10"/>
      <c r="J2" s="10"/>
      <c r="K2" s="10"/>
      <c r="L2" s="10"/>
    </row>
    <row r="3" spans="1:12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</row>
    <row r="4" spans="1:12" ht="27" customHeight="1" x14ac:dyDescent="0.25">
      <c r="A4" s="7" t="s">
        <v>66</v>
      </c>
      <c r="B4" s="7" t="s">
        <v>15</v>
      </c>
      <c r="C4" s="7" t="s">
        <v>16</v>
      </c>
      <c r="D4" s="7" t="s">
        <v>17</v>
      </c>
      <c r="F4" s="7" t="s">
        <v>18</v>
      </c>
      <c r="G4" s="7" t="s">
        <v>19</v>
      </c>
      <c r="H4" s="12">
        <v>46911.75</v>
      </c>
      <c r="I4" s="7" t="s">
        <v>20</v>
      </c>
      <c r="K4" s="7" t="s">
        <v>21</v>
      </c>
    </row>
    <row r="5" spans="1:12" ht="27" customHeight="1" x14ac:dyDescent="0.25">
      <c r="A5" s="7" t="s">
        <v>67</v>
      </c>
      <c r="B5" s="7" t="s">
        <v>15</v>
      </c>
      <c r="C5" s="7" t="s">
        <v>16</v>
      </c>
      <c r="D5" s="7" t="s">
        <v>22</v>
      </c>
      <c r="F5" s="7" t="s">
        <v>23</v>
      </c>
      <c r="G5" s="7" t="s">
        <v>19</v>
      </c>
      <c r="H5" s="12">
        <v>26187</v>
      </c>
      <c r="I5" s="7" t="s">
        <v>24</v>
      </c>
      <c r="K5" s="7" t="s">
        <v>25</v>
      </c>
    </row>
    <row r="6" spans="1:12" ht="37.5" customHeight="1" x14ac:dyDescent="0.25">
      <c r="A6" s="7" t="s">
        <v>68</v>
      </c>
      <c r="B6" s="7" t="s">
        <v>15</v>
      </c>
      <c r="C6" s="7" t="s">
        <v>16</v>
      </c>
      <c r="D6" s="7" t="s">
        <v>26</v>
      </c>
      <c r="E6" s="7" t="s">
        <v>27</v>
      </c>
      <c r="F6" s="7" t="s">
        <v>23</v>
      </c>
      <c r="G6" s="7" t="s">
        <v>28</v>
      </c>
      <c r="H6" s="12">
        <v>18491.060000000001</v>
      </c>
      <c r="I6" s="7" t="s">
        <v>29</v>
      </c>
      <c r="J6" s="19" t="s">
        <v>30</v>
      </c>
      <c r="K6" s="7" t="s">
        <v>31</v>
      </c>
      <c r="L6" s="7" t="s">
        <v>32</v>
      </c>
    </row>
    <row r="7" spans="1:12" ht="27" customHeight="1" x14ac:dyDescent="0.25">
      <c r="A7" s="7" t="s">
        <v>33</v>
      </c>
      <c r="B7" s="7" t="s">
        <v>15</v>
      </c>
      <c r="C7" s="7" t="s">
        <v>34</v>
      </c>
      <c r="D7" s="7" t="s">
        <v>35</v>
      </c>
      <c r="F7" s="7" t="s">
        <v>36</v>
      </c>
      <c r="G7" s="7" t="s">
        <v>37</v>
      </c>
      <c r="H7" s="12">
        <v>25155.68</v>
      </c>
      <c r="I7" s="7" t="s">
        <v>38</v>
      </c>
      <c r="K7" s="7" t="s">
        <v>39</v>
      </c>
    </row>
    <row r="8" spans="1:12" ht="27" customHeight="1" x14ac:dyDescent="0.25">
      <c r="A8" s="7" t="s">
        <v>69</v>
      </c>
      <c r="B8" s="7" t="s">
        <v>40</v>
      </c>
      <c r="C8" s="7" t="s">
        <v>16</v>
      </c>
      <c r="D8" s="7" t="s">
        <v>41</v>
      </c>
      <c r="F8" s="7" t="s">
        <v>42</v>
      </c>
      <c r="G8" s="7" t="s">
        <v>19</v>
      </c>
      <c r="H8" s="12">
        <v>47236.25</v>
      </c>
      <c r="I8" s="7" t="s">
        <v>43</v>
      </c>
      <c r="K8" s="7" t="s">
        <v>44</v>
      </c>
    </row>
    <row r="9" spans="1:12" ht="27" customHeight="1" x14ac:dyDescent="0.25">
      <c r="A9" s="7" t="s">
        <v>70</v>
      </c>
      <c r="B9" s="7" t="s">
        <v>40</v>
      </c>
      <c r="C9" s="7" t="s">
        <v>16</v>
      </c>
      <c r="D9" s="7" t="s">
        <v>45</v>
      </c>
      <c r="F9" s="7" t="s">
        <v>46</v>
      </c>
      <c r="G9" s="7" t="s">
        <v>19</v>
      </c>
      <c r="H9" s="12">
        <v>39558.99</v>
      </c>
      <c r="I9" s="7" t="s">
        <v>47</v>
      </c>
      <c r="K9" s="7" t="s">
        <v>48</v>
      </c>
    </row>
    <row r="10" spans="1:12" ht="27" customHeight="1" x14ac:dyDescent="0.25">
      <c r="A10" s="7" t="s">
        <v>71</v>
      </c>
      <c r="B10" s="7" t="s">
        <v>40</v>
      </c>
      <c r="C10" s="7" t="s">
        <v>16</v>
      </c>
      <c r="D10" s="7" t="s">
        <v>49</v>
      </c>
      <c r="F10" s="7" t="s">
        <v>50</v>
      </c>
      <c r="G10" s="7" t="s">
        <v>37</v>
      </c>
      <c r="H10" s="12">
        <v>51343.63</v>
      </c>
      <c r="K10" s="7" t="s">
        <v>51</v>
      </c>
    </row>
    <row r="11" spans="1:12" x14ac:dyDescent="0.25">
      <c r="A11" s="14"/>
      <c r="B11" s="14"/>
      <c r="C11" s="14"/>
      <c r="D11" s="14" t="s">
        <v>52</v>
      </c>
      <c r="E11" s="14"/>
      <c r="F11" s="14"/>
      <c r="G11" s="14"/>
      <c r="H11" s="15">
        <f>SUM(H4:H10)</f>
        <v>254884.36</v>
      </c>
      <c r="I11" s="14"/>
      <c r="J11" s="14"/>
      <c r="K11" s="14"/>
      <c r="L11" s="14"/>
    </row>
  </sheetData>
  <mergeCells count="3">
    <mergeCell ref="A2:F2"/>
    <mergeCell ref="G2:L2"/>
    <mergeCell ref="K1:L1"/>
  </mergeCells>
  <pageMargins left="0.7" right="0.25" top="0.75" bottom="0.75" header="0.3" footer="0.3"/>
  <pageSetup paperSize="5" scale="7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D244-906A-46A0-B0ED-26217BF7ADE0}">
  <sheetPr>
    <pageSetUpPr fitToPage="1"/>
  </sheetPr>
  <dimension ref="A1:G17"/>
  <sheetViews>
    <sheetView topLeftCell="A6" workbookViewId="0">
      <selection activeCell="H16" sqref="H16"/>
    </sheetView>
  </sheetViews>
  <sheetFormatPr defaultRowHeight="15.75" x14ac:dyDescent="0.25"/>
  <cols>
    <col min="1" max="1" width="23.28515625" style="7" customWidth="1"/>
    <col min="2" max="2" width="11.7109375" style="7" customWidth="1"/>
    <col min="3" max="3" width="13.28515625" style="7" customWidth="1"/>
    <col min="4" max="4" width="13.140625" style="7" customWidth="1"/>
    <col min="5" max="6" width="14.140625" style="7" customWidth="1"/>
    <col min="7" max="7" width="19.140625" style="7" customWidth="1"/>
    <col min="8" max="16384" width="9.140625" style="7"/>
  </cols>
  <sheetData>
    <row r="1" spans="1:7" ht="27" customHeight="1" x14ac:dyDescent="0.25">
      <c r="D1" s="8"/>
      <c r="G1" s="8">
        <v>45650.999988425923</v>
      </c>
    </row>
    <row r="2" spans="1:7" ht="27" customHeight="1" x14ac:dyDescent="0.25">
      <c r="A2" s="9" t="s">
        <v>0</v>
      </c>
      <c r="B2" s="10"/>
      <c r="C2" s="10"/>
      <c r="D2" s="11" t="s">
        <v>53</v>
      </c>
      <c r="E2" s="10"/>
      <c r="F2" s="10"/>
      <c r="G2" s="10"/>
    </row>
    <row r="3" spans="1:7" ht="27" customHeight="1" x14ac:dyDescent="0.25">
      <c r="A3" s="7" t="s">
        <v>7</v>
      </c>
      <c r="B3" s="7" t="s">
        <v>8</v>
      </c>
      <c r="C3" s="7" t="s">
        <v>54</v>
      </c>
      <c r="D3" s="7" t="s">
        <v>55</v>
      </c>
      <c r="E3" s="7" t="s">
        <v>56</v>
      </c>
      <c r="F3" s="7" t="s">
        <v>65</v>
      </c>
      <c r="G3" s="7" t="s">
        <v>57</v>
      </c>
    </row>
    <row r="4" spans="1:7" ht="27" customHeight="1" x14ac:dyDescent="0.25">
      <c r="A4" s="7" t="s">
        <v>50</v>
      </c>
      <c r="B4" s="7" t="s">
        <v>37</v>
      </c>
      <c r="C4" s="12">
        <v>1000</v>
      </c>
      <c r="D4" s="12">
        <v>0</v>
      </c>
      <c r="E4" s="13">
        <v>51268.63</v>
      </c>
      <c r="F4" s="12"/>
      <c r="G4" s="12">
        <v>51343.63</v>
      </c>
    </row>
    <row r="5" spans="1:7" ht="27" customHeight="1" x14ac:dyDescent="0.25">
      <c r="C5" s="12"/>
      <c r="D5" s="12"/>
      <c r="E5" s="13"/>
      <c r="F5" s="12"/>
      <c r="G5" s="12"/>
    </row>
    <row r="6" spans="1:7" ht="27" customHeight="1" x14ac:dyDescent="0.25">
      <c r="A6" s="7" t="s">
        <v>36</v>
      </c>
      <c r="B6" s="7" t="s">
        <v>37</v>
      </c>
      <c r="C6" s="12">
        <v>500</v>
      </c>
      <c r="D6" s="12">
        <v>0</v>
      </c>
      <c r="E6" s="13">
        <v>25080.68</v>
      </c>
      <c r="F6" s="12"/>
      <c r="G6" s="12">
        <v>25155.68</v>
      </c>
    </row>
    <row r="7" spans="1:7" ht="27" customHeight="1" x14ac:dyDescent="0.25">
      <c r="C7" s="12"/>
      <c r="D7" s="12"/>
      <c r="E7" s="13"/>
      <c r="F7" s="12"/>
      <c r="G7" s="12"/>
    </row>
    <row r="8" spans="1:7" ht="27" customHeight="1" x14ac:dyDescent="0.25">
      <c r="A8" s="7" t="s">
        <v>42</v>
      </c>
      <c r="B8" s="7" t="s">
        <v>19</v>
      </c>
      <c r="C8" s="12">
        <v>800</v>
      </c>
      <c r="D8" s="12">
        <v>0</v>
      </c>
      <c r="E8" s="13">
        <v>47161.25</v>
      </c>
      <c r="F8" s="12"/>
      <c r="G8" s="12">
        <v>47236.25</v>
      </c>
    </row>
    <row r="9" spans="1:7" ht="27" customHeight="1" x14ac:dyDescent="0.25">
      <c r="C9" s="12"/>
      <c r="D9" s="12"/>
      <c r="E9" s="13"/>
      <c r="F9" s="12"/>
      <c r="G9" s="12"/>
    </row>
    <row r="10" spans="1:7" ht="27" customHeight="1" x14ac:dyDescent="0.25">
      <c r="A10" s="7" t="s">
        <v>58</v>
      </c>
      <c r="B10" s="7" t="s">
        <v>19</v>
      </c>
      <c r="C10" s="12">
        <v>650</v>
      </c>
      <c r="D10" s="12">
        <v>0</v>
      </c>
      <c r="E10" s="13">
        <v>39483.99</v>
      </c>
      <c r="F10" s="12"/>
      <c r="G10" s="12">
        <v>39558.99</v>
      </c>
    </row>
    <row r="11" spans="1:7" ht="27" customHeight="1" x14ac:dyDescent="0.25">
      <c r="C11" s="12"/>
      <c r="D11" s="12"/>
      <c r="E11" s="12"/>
      <c r="F11" s="12"/>
      <c r="G11" s="12"/>
    </row>
    <row r="12" spans="1:7" ht="27" customHeight="1" x14ac:dyDescent="0.25">
      <c r="A12" s="7" t="s">
        <v>23</v>
      </c>
      <c r="B12" s="7" t="s">
        <v>28</v>
      </c>
      <c r="C12" s="12">
        <v>350</v>
      </c>
      <c r="D12" s="12">
        <v>0</v>
      </c>
      <c r="E12" s="12">
        <v>18416.060000000001</v>
      </c>
      <c r="F12" s="12"/>
      <c r="G12" s="12">
        <v>18491.060000000001</v>
      </c>
    </row>
    <row r="13" spans="1:7" ht="27" customHeight="1" x14ac:dyDescent="0.25">
      <c r="A13" s="7" t="s">
        <v>23</v>
      </c>
      <c r="B13" s="7" t="s">
        <v>19</v>
      </c>
      <c r="C13" s="12">
        <v>500</v>
      </c>
      <c r="D13" s="12">
        <v>0</v>
      </c>
      <c r="E13" s="12">
        <v>26112</v>
      </c>
      <c r="F13" s="13">
        <f>SUM(E12:E13)</f>
        <v>44528.06</v>
      </c>
      <c r="G13" s="12">
        <v>26187</v>
      </c>
    </row>
    <row r="14" spans="1:7" ht="27" customHeight="1" x14ac:dyDescent="0.25">
      <c r="C14" s="12"/>
      <c r="D14" s="12"/>
      <c r="E14" s="12"/>
      <c r="F14" s="12"/>
      <c r="G14" s="12"/>
    </row>
    <row r="15" spans="1:7" ht="27" customHeight="1" x14ac:dyDescent="0.25">
      <c r="A15" s="7" t="s">
        <v>18</v>
      </c>
      <c r="B15" s="7" t="s">
        <v>19</v>
      </c>
      <c r="C15" s="12">
        <v>800</v>
      </c>
      <c r="D15" s="12">
        <v>0</v>
      </c>
      <c r="E15" s="13">
        <v>46836.75</v>
      </c>
      <c r="F15" s="12"/>
      <c r="G15" s="12">
        <v>46911.75</v>
      </c>
    </row>
    <row r="16" spans="1:7" ht="19.5" customHeight="1" x14ac:dyDescent="0.25">
      <c r="C16" s="12"/>
      <c r="D16" s="12"/>
      <c r="E16" s="13"/>
      <c r="F16" s="12"/>
      <c r="G16" s="12"/>
    </row>
    <row r="17" spans="1:7" ht="27" customHeight="1" x14ac:dyDescent="0.25">
      <c r="A17" s="14"/>
      <c r="B17" s="14"/>
      <c r="C17" s="15">
        <f>SUM(C4:C15)</f>
        <v>4600</v>
      </c>
      <c r="D17" s="15">
        <f>SUM(D4:D15)</f>
        <v>0</v>
      </c>
      <c r="E17" s="15">
        <f>SUM(E4:E15)</f>
        <v>254359.36</v>
      </c>
      <c r="F17" s="15"/>
      <c r="G17" s="15">
        <f>SUM(G4:G15)</f>
        <v>254884.36</v>
      </c>
    </row>
  </sheetData>
  <mergeCells count="2">
    <mergeCell ref="A2:C2"/>
    <mergeCell ref="D2:G2"/>
  </mergeCells>
  <pageMargins left="0.7" right="0.7" top="0.75" bottom="0.75" header="0.3" footer="0.3"/>
  <pageSetup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90C9-3502-40AC-BEC4-45CB22374829}">
  <sheetPr>
    <pageSetUpPr fitToPage="1"/>
  </sheetPr>
  <dimension ref="A1:F20"/>
  <sheetViews>
    <sheetView workbookViewId="0">
      <selection activeCell="M20" sqref="M20"/>
    </sheetView>
  </sheetViews>
  <sheetFormatPr defaultRowHeight="15" x14ac:dyDescent="0.25"/>
  <cols>
    <col min="1" max="1" width="15.5703125" customWidth="1"/>
    <col min="2" max="2" width="8.7109375" customWidth="1"/>
    <col min="3" max="3" width="14.5703125" customWidth="1"/>
    <col min="4" max="4" width="5" customWidth="1"/>
    <col min="5" max="5" width="16.7109375" customWidth="1"/>
    <col min="6" max="6" width="19.5703125" customWidth="1"/>
  </cols>
  <sheetData>
    <row r="1" spans="1:6" ht="15.75" customHeight="1" x14ac:dyDescent="0.25">
      <c r="A1" t="s">
        <v>61</v>
      </c>
      <c r="D1" s="2"/>
      <c r="F1" s="2">
        <v>45650.999988425923</v>
      </c>
    </row>
    <row r="2" spans="1:6" ht="24.95" customHeight="1" x14ac:dyDescent="0.25">
      <c r="A2" s="3" t="s">
        <v>0</v>
      </c>
      <c r="B2" s="4"/>
      <c r="C2" s="4"/>
      <c r="D2" s="5" t="s">
        <v>59</v>
      </c>
      <c r="E2" s="4"/>
      <c r="F2" s="4"/>
    </row>
    <row r="3" spans="1:6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4.95" customHeight="1" x14ac:dyDescent="0.25">
      <c r="A4" t="s">
        <v>33</v>
      </c>
      <c r="B4" t="s">
        <v>34</v>
      </c>
      <c r="C4" t="s">
        <v>35</v>
      </c>
      <c r="E4" t="s">
        <v>36</v>
      </c>
    </row>
    <row r="5" spans="1:6" ht="24.95" customHeight="1" x14ac:dyDescent="0.25">
      <c r="A5" s="1"/>
      <c r="B5" s="1"/>
      <c r="C5" s="1" t="s">
        <v>60</v>
      </c>
      <c r="D5" s="1"/>
      <c r="E5" s="1"/>
      <c r="F5" s="1"/>
    </row>
    <row r="11" spans="1:6" x14ac:dyDescent="0.25">
      <c r="A11" t="s">
        <v>62</v>
      </c>
      <c r="B11" s="6"/>
      <c r="C11" s="6"/>
      <c r="D11" s="6"/>
      <c r="E11" s="6"/>
    </row>
    <row r="15" spans="1:6" x14ac:dyDescent="0.25">
      <c r="A15" t="s">
        <v>63</v>
      </c>
      <c r="B15" s="6"/>
      <c r="C15" s="6"/>
      <c r="D15" s="6"/>
      <c r="E15" s="6"/>
    </row>
    <row r="20" spans="1:3" x14ac:dyDescent="0.25">
      <c r="A20" t="s">
        <v>64</v>
      </c>
      <c r="B20" s="6"/>
      <c r="C20" s="6"/>
    </row>
  </sheetData>
  <mergeCells count="2">
    <mergeCell ref="A2:C2"/>
    <mergeCell ref="D2:F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2024-12-24T16:32:19Z</cp:lastPrinted>
  <dcterms:created xsi:type="dcterms:W3CDTF">2024-12-24T16:12:45Z</dcterms:created>
  <dcterms:modified xsi:type="dcterms:W3CDTF">2024-12-24T16:39:46Z</dcterms:modified>
</cp:coreProperties>
</file>