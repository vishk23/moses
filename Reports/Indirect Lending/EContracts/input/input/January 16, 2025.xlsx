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9A89D5AE-9C9D-4C6B-8EB4-9FB1A6D8F2F3}" xr6:coauthVersionLast="47" xr6:coauthVersionMax="47" xr10:uidLastSave="{00000000-0000-0000-0000-000000000000}"/>
  <bookViews>
    <workbookView xWindow="30975" yWindow="2520" windowWidth="20880" windowHeight="13575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17" i="2"/>
  <c r="F17" i="2"/>
  <c r="E17" i="2"/>
  <c r="D17" i="2"/>
  <c r="H11" i="1"/>
</calcChain>
</file>

<file path=xl/sharedStrings.xml><?xml version="1.0" encoding="utf-8"?>
<sst xmlns="http://schemas.openxmlformats.org/spreadsheetml/2006/main" count="102" uniqueCount="63">
  <si>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</si>
  <si>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</si>
  <si>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</si>
  <si>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</si>
  <si>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</si>
  <si>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</si>
  <si>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</si>
  <si>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</si>
  <si>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</si>
  <si>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</si>
  <si>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</si>
  <si>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</si>
  <si>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</si>
  <si>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</si>
  <si>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</si>
  <si>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</si>
  <si>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LEE, SAMANTHA</t>
  </si>
  <si>
    <t>Planet Subaru</t>
  </si>
  <si>
    <t>Neli Oliveira</t>
  </si>
  <si>
    <t>SAMANTHA.GOODWIN@LIVE.COM</t>
  </si>
  <si>
    <t>THOMPSON</t>
  </si>
  <si>
    <t>Route One</t>
  </si>
  <si>
    <t>OUELLETTE, TIMOTHY</t>
  </si>
  <si>
    <t>OUELLETTE, KATHLEEN</t>
  </si>
  <si>
    <t>Patriot Auto Group Inc d/b/a</t>
  </si>
  <si>
    <t>Rachel Gorham</t>
  </si>
  <si>
    <t>RECEIVER17@YAHOO.COM</t>
  </si>
  <si>
    <t>KATHLEENDAILEY02360@GMAIL.COM</t>
  </si>
  <si>
    <t>PERRON</t>
  </si>
  <si>
    <t>DALY</t>
  </si>
  <si>
    <t>PINEAULT, GEORGE</t>
  </si>
  <si>
    <t>Mathieu Ford Sales, Inc</t>
  </si>
  <si>
    <t>GEORGE.P297@VERIZON.NET</t>
  </si>
  <si>
    <t>MARTIN</t>
  </si>
  <si>
    <t>ZVONTSOV, VLADIMIR</t>
  </si>
  <si>
    <t>Mastria Buick Pontiac</t>
  </si>
  <si>
    <t>CABBYLAD@GMAIL.COM</t>
  </si>
  <si>
    <t>ZHURAVSKAYA</t>
  </si>
  <si>
    <t>IGOE, KEVIN</t>
  </si>
  <si>
    <t>Herb Chambers Boston Turnpike Inc d/b/a</t>
  </si>
  <si>
    <t>IGGY8769@OUTLOOK.COM</t>
  </si>
  <si>
    <t>MAFFUCCI</t>
  </si>
  <si>
    <t>VANCOTT, LISA</t>
  </si>
  <si>
    <t>Colonial Ford Inc</t>
  </si>
  <si>
    <t>LISAVANCOTT69@GMAIL.COM</t>
  </si>
  <si>
    <t>SNYDER</t>
  </si>
  <si>
    <t># 7</t>
  </si>
  <si>
    <t>151137942 E</t>
  </si>
  <si>
    <t>151137950 E</t>
  </si>
  <si>
    <t>151137976 E</t>
  </si>
  <si>
    <t>151137984 E</t>
  </si>
  <si>
    <t>151137992 E</t>
  </si>
  <si>
    <t>151138148 E</t>
  </si>
  <si>
    <t>151138255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</si>
  <si>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</si>
  <si>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</si>
  <si>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</si>
  <si>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</si>
  <si>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</si>
  <si>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</si>
  <si>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</si>
  <si>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H-Patriot Auto Group Inc d/b/a</t>
  </si>
  <si>
    <t>4453-2150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</si>
</sst>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73" formatCode="[$-F800]dddd\,\ mmmm\ dd\,\ yyyy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16">
    <xf numFmtId="0" fontId="0" fillId="0" borderId="0" xfId="0"/>
    <xf numFmtId="14" fontId="2" fillId="0" borderId="0" xfId="0" applyNumberFormat="1" applyFont="1" applyAlignment="1">
      <alignment horizontal="lef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7" fontId="4" fillId="0" borderId="0" xfId="0" applyNumberFormat="1" applyFont="1"/>
    <xf numFmtId="164" fontId="3" fillId="0" borderId="0" xfId="0" applyNumberFormat="1" applyFont="1" applyAlignment="1">
      <alignment horizontal="right"/>
    </xf>
    <xf numFmtId="173" fontId="2" fillId="0" borderId="0" xfId="0" applyNumberFormat="1" applyFont="1" applyAlignment="1"/>
    <xf numFmtId="7" fontId="2" fillId="0" borderId="0" xfId="0" applyNumberFormat="1" applyFont="1"/>
    <xf numFmtId="0" fontId="2" fillId="0" borderId="0" xfId="0" applyFont="1"/>
  </cellXfs>
  <cellStyles count="3">
    <cellStyle name="Normal" xfId="0" builtinId="0"/>
    <cellStyle name="Normal 2" xfId="1" xr:uid="{1F6DE38F-30A9-4148-AEF0-6E73386CE875}"/>
    <cellStyle name="Normal 3" xfId="2" xr:uid="{F5107826-CEA6-4DAF-BAEB-88561BE4943A}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1" headerRowDxfId="13" dataDxfId="11" totalsRowDxfId="12">
  <tableColumns count="12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43F89-A975-48E7-9C9B-655734933A7B}" name="Table_15" displayName="Table_15" ref="A3:H17" headerRowDxfId="2" dataDxfId="0" totalsRowDxfId="1">
  <tableColumns count="8">
    <tableColumn id="1" xr3:uid="{5DD662DD-E046-4126-8605-BC5694C8A0D8}" name="Dealer Name" dataDxfId="10"/>
    <tableColumn id="8" xr3:uid="{97106727-F252-4B22-A354-1635EC95273B}" name="Column2" dataDxfId="9"/>
    <tableColumn id="2" xr3:uid="{D1C43301-F8AB-4083-B9F1-8BD25E00F628}" name="Funded by" dataDxfId="8"/>
    <tableColumn id="3" xr3:uid="{F22AA3C2-296F-44D1-BA85-A45381510BC6}" name="Dealer Flat" dataDxfId="7"/>
    <tableColumn id="4" xr3:uid="{9BF9C7C6-550E-4135-BDAE-896B5BD64D92}" name="Dealer Split" dataDxfId="6"/>
    <tableColumn id="5" xr3:uid="{E1404ECA-B6E1-4BF6-8D97-EDDEEA864F74}" name="Net to Dealer" dataDxfId="5"/>
    <tableColumn id="7" xr3:uid="{152528CB-DB8B-4943-B73D-CD8CAB0D4EC5}" name="Column1" dataDxfId="4"/>
    <tableColumn id="6" xr3:uid="{63A159E2-8953-4D6A-8395-B358CF68E9D7}" name="Contracted Amount Financed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tabSelected="1" workbookViewId="0">
      <pane ySplit="3" topLeftCell="A4" activePane="bottomLeft" state="frozen"/>
      <selection pane="bottomLeft" activeCell="E19" sqref="E19"/>
    </sheetView>
  </sheetViews>
  <sheetFormatPr defaultRowHeight="15.75" x14ac:dyDescent="0.25"/>
  <cols>
    <col min="1" max="1" width="14" style="2" customWidth="1"/>
    <col min="2" max="2" width="12.140625" style="2" bestFit="1" customWidth="1"/>
    <col min="3" max="3" width="11.5703125" style="2" customWidth="1"/>
    <col min="4" max="4" width="20.42578125" style="2" customWidth="1"/>
    <col min="5" max="5" width="20" style="2" customWidth="1"/>
    <col min="6" max="6" width="31.5703125" style="2" customWidth="1"/>
    <col min="7" max="7" width="15.140625" style="2" bestFit="1" customWidth="1"/>
    <col min="8" max="8" width="13.5703125" style="2" customWidth="1"/>
    <col min="9" max="9" width="32" style="2" customWidth="1"/>
    <col min="10" max="10" width="28.5703125" style="2" customWidth="1"/>
    <col min="11" max="11" width="12.42578125" style="2" customWidth="1"/>
    <col min="12" max="12" width="8" style="2" customWidth="1"/>
    <col min="13" max="16384" width="9.140625" style="2"/>
  </cols>
  <sheetData>
    <row r="1" spans="1:12" s="2" customFormat="1" x14ac:dyDescent="0.25">
      <c r="A1" s="1">
        <v>45673</v>
      </c>
      <c r="K1" s="3">
        <v>45673</v>
      </c>
      <c r="L1" s="4"/>
    </row>
    <row r="2" spans="1:12" s="2" customFormat="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s="2" customFormat="1" ht="30" customHeight="1" x14ac:dyDescent="0.25">
      <c r="A4" s="2" t="s">
        <v>47</v>
      </c>
      <c r="B4" s="2" t="s">
        <v>14</v>
      </c>
      <c r="C4" s="2" t="s">
        <v>15</v>
      </c>
      <c r="D4" s="2" t="s">
        <v>16</v>
      </c>
      <c r="F4" s="2" t="s">
        <v>17</v>
      </c>
      <c r="G4" s="2" t="s">
        <v>18</v>
      </c>
      <c r="H4" s="8">
        <v>28964.5</v>
      </c>
      <c r="I4" s="2" t="s">
        <v>19</v>
      </c>
      <c r="K4" s="2" t="s">
        <v>20</v>
      </c>
    </row>
    <row r="5" spans="1:12" s="2" customFormat="1" ht="30" customHeight="1" x14ac:dyDescent="0.25">
      <c r="A5" s="2" t="s">
        <v>48</v>
      </c>
      <c r="B5" s="2" t="s">
        <v>21</v>
      </c>
      <c r="C5" s="2" t="s">
        <v>15</v>
      </c>
      <c r="D5" s="2" t="s">
        <v>22</v>
      </c>
      <c r="E5" s="2" t="s">
        <v>23</v>
      </c>
      <c r="F5" s="2" t="s">
        <v>24</v>
      </c>
      <c r="G5" s="2" t="s">
        <v>25</v>
      </c>
      <c r="H5" s="8">
        <v>24397.99</v>
      </c>
      <c r="I5" s="2" t="s">
        <v>26</v>
      </c>
      <c r="J5" s="9" t="s">
        <v>27</v>
      </c>
      <c r="K5" s="2" t="s">
        <v>28</v>
      </c>
      <c r="L5" s="2" t="s">
        <v>29</v>
      </c>
    </row>
    <row r="6" spans="1:12" s="2" customFormat="1" ht="30" customHeight="1" x14ac:dyDescent="0.25">
      <c r="A6" s="2" t="s">
        <v>49</v>
      </c>
      <c r="B6" s="2" t="s">
        <v>21</v>
      </c>
      <c r="C6" s="2" t="s">
        <v>15</v>
      </c>
      <c r="D6" s="2" t="s">
        <v>30</v>
      </c>
      <c r="F6" s="2" t="s">
        <v>31</v>
      </c>
      <c r="G6" s="2" t="s">
        <v>25</v>
      </c>
      <c r="H6" s="8">
        <v>23135.63</v>
      </c>
      <c r="I6" s="2" t="s">
        <v>32</v>
      </c>
      <c r="J6" s="9"/>
      <c r="K6" s="2" t="s">
        <v>33</v>
      </c>
    </row>
    <row r="7" spans="1:12" s="2" customFormat="1" ht="30" customHeight="1" x14ac:dyDescent="0.25">
      <c r="A7" s="2" t="s">
        <v>50</v>
      </c>
      <c r="B7" s="2" t="s">
        <v>21</v>
      </c>
      <c r="C7" s="2" t="s">
        <v>15</v>
      </c>
      <c r="D7" s="2" t="s">
        <v>23</v>
      </c>
      <c r="E7" s="2" t="s">
        <v>22</v>
      </c>
      <c r="F7" s="2" t="s">
        <v>24</v>
      </c>
      <c r="G7" s="2" t="s">
        <v>25</v>
      </c>
      <c r="H7" s="8">
        <v>22988.83</v>
      </c>
      <c r="I7" s="2" t="s">
        <v>27</v>
      </c>
      <c r="J7" s="9" t="s">
        <v>26</v>
      </c>
      <c r="K7" s="2" t="s">
        <v>29</v>
      </c>
      <c r="L7" s="2" t="s">
        <v>28</v>
      </c>
    </row>
    <row r="8" spans="1:12" s="2" customFormat="1" ht="30" customHeight="1" x14ac:dyDescent="0.25">
      <c r="A8" s="2" t="s">
        <v>51</v>
      </c>
      <c r="B8" s="2" t="s">
        <v>21</v>
      </c>
      <c r="C8" s="2" t="s">
        <v>15</v>
      </c>
      <c r="D8" s="2" t="s">
        <v>34</v>
      </c>
      <c r="F8" s="2" t="s">
        <v>35</v>
      </c>
      <c r="G8" s="2" t="s">
        <v>25</v>
      </c>
      <c r="H8" s="8">
        <v>62985.36</v>
      </c>
      <c r="I8" s="2" t="s">
        <v>36</v>
      </c>
      <c r="K8" s="2" t="s">
        <v>37</v>
      </c>
    </row>
    <row r="9" spans="1:12" s="2" customFormat="1" ht="30" customHeight="1" x14ac:dyDescent="0.25">
      <c r="A9" s="2" t="s">
        <v>52</v>
      </c>
      <c r="B9" s="2" t="s">
        <v>14</v>
      </c>
      <c r="C9" s="2" t="s">
        <v>15</v>
      </c>
      <c r="D9" s="2" t="s">
        <v>38</v>
      </c>
      <c r="F9" s="2" t="s">
        <v>39</v>
      </c>
      <c r="G9" s="2" t="s">
        <v>18</v>
      </c>
      <c r="H9" s="8">
        <v>39020.5</v>
      </c>
      <c r="I9" s="2" t="s">
        <v>40</v>
      </c>
      <c r="K9" s="2" t="s">
        <v>41</v>
      </c>
    </row>
    <row r="10" spans="1:12" s="2" customFormat="1" ht="30" customHeight="1" x14ac:dyDescent="0.25">
      <c r="A10" s="2" t="s">
        <v>53</v>
      </c>
      <c r="B10" s="2" t="s">
        <v>21</v>
      </c>
      <c r="C10" s="2" t="s">
        <v>15</v>
      </c>
      <c r="D10" s="2" t="s">
        <v>42</v>
      </c>
      <c r="F10" s="2" t="s">
        <v>43</v>
      </c>
      <c r="G10" s="2" t="s">
        <v>25</v>
      </c>
      <c r="H10" s="8">
        <v>27263.88</v>
      </c>
      <c r="I10" s="2" t="s">
        <v>44</v>
      </c>
      <c r="K10" s="2" t="s">
        <v>45</v>
      </c>
    </row>
    <row r="11" spans="1:12" s="2" customFormat="1" x14ac:dyDescent="0.25">
      <c r="A11" s="10"/>
      <c r="B11" s="10"/>
      <c r="C11" s="10"/>
      <c r="D11" s="10" t="s">
        <v>46</v>
      </c>
      <c r="E11" s="10"/>
      <c r="F11" s="10"/>
      <c r="G11" s="10"/>
      <c r="H11" s="11">
        <f>SUM(H4:H10)</f>
        <v>228756.69</v>
      </c>
      <c r="I11" s="10"/>
      <c r="J11" s="10"/>
      <c r="K11" s="10"/>
      <c r="L11" s="10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CA13-9375-4C74-9DB6-16882F53219B}">
  <sheetPr>
    <pageSetUpPr fitToPage="1"/>
  </sheetPr>
  <dimension ref="A1:H17"/>
  <sheetViews>
    <sheetView workbookViewId="0">
      <selection activeCell="A6" sqref="A6"/>
    </sheetView>
  </sheetViews>
  <sheetFormatPr defaultRowHeight="15.75" x14ac:dyDescent="0.25"/>
  <cols>
    <col min="1" max="1" width="31" style="2" customWidth="1"/>
    <col min="2" max="2" width="10.85546875" style="2" customWidth="1"/>
    <col min="3" max="3" width="16.42578125" style="2" customWidth="1"/>
    <col min="4" max="4" width="14.85546875" style="2" customWidth="1"/>
    <col min="5" max="5" width="10.140625" style="2" customWidth="1"/>
    <col min="6" max="6" width="14" style="2" customWidth="1"/>
    <col min="7" max="7" width="13.28515625" style="2" customWidth="1"/>
    <col min="8" max="8" width="13.7109375" style="2" customWidth="1"/>
    <col min="9" max="16384" width="9.140625" style="2"/>
  </cols>
  <sheetData>
    <row r="1" spans="1:8" x14ac:dyDescent="0.25">
      <c r="E1" s="12"/>
      <c r="G1" s="13">
        <v>45673</v>
      </c>
      <c r="H1" s="13"/>
    </row>
    <row r="2" spans="1:8" x14ac:dyDescent="0.25">
      <c r="A2" s="5" t="s">
        <v>0</v>
      </c>
      <c r="B2" s="5"/>
      <c r="C2" s="6"/>
      <c r="D2" s="6"/>
      <c r="E2" s="7" t="s">
        <v>54</v>
      </c>
      <c r="F2" s="6"/>
      <c r="G2" s="6"/>
      <c r="H2" s="6"/>
    </row>
    <row r="3" spans="1:8" ht="19.5" customHeight="1" x14ac:dyDescent="0.25">
      <c r="A3" s="2" t="s">
        <v>7</v>
      </c>
      <c r="B3" s="2" t="s">
        <v>60</v>
      </c>
      <c r="C3" s="2" t="s">
        <v>8</v>
      </c>
      <c r="D3" s="2" t="s">
        <v>55</v>
      </c>
      <c r="E3" s="2" t="s">
        <v>56</v>
      </c>
      <c r="F3" s="2" t="s">
        <v>57</v>
      </c>
      <c r="G3" s="2" t="s">
        <v>59</v>
      </c>
      <c r="H3" s="2" t="s">
        <v>58</v>
      </c>
    </row>
    <row r="4" spans="1:8" ht="27" customHeight="1" x14ac:dyDescent="0.25">
      <c r="A4" s="2" t="s">
        <v>43</v>
      </c>
      <c r="C4" s="2" t="s">
        <v>25</v>
      </c>
      <c r="D4" s="8">
        <v>500</v>
      </c>
      <c r="E4" s="8">
        <v>0</v>
      </c>
      <c r="F4" s="14">
        <v>27188.880000000001</v>
      </c>
      <c r="G4" s="8"/>
      <c r="H4" s="8">
        <v>27263.88</v>
      </c>
    </row>
    <row r="5" spans="1:8" ht="27" customHeight="1" x14ac:dyDescent="0.25">
      <c r="D5" s="8"/>
      <c r="E5" s="8"/>
      <c r="F5" s="14"/>
      <c r="G5" s="8"/>
      <c r="H5" s="8"/>
    </row>
    <row r="6" spans="1:8" ht="27" customHeight="1" x14ac:dyDescent="0.25">
      <c r="A6" s="2" t="s">
        <v>39</v>
      </c>
      <c r="C6" s="2" t="s">
        <v>18</v>
      </c>
      <c r="D6" s="8">
        <v>650</v>
      </c>
      <c r="E6" s="8">
        <v>0</v>
      </c>
      <c r="F6" s="14">
        <v>38945.5</v>
      </c>
      <c r="G6" s="8"/>
      <c r="H6" s="8">
        <v>39020.5</v>
      </c>
    </row>
    <row r="7" spans="1:8" ht="27" customHeight="1" x14ac:dyDescent="0.25">
      <c r="D7" s="8"/>
      <c r="E7" s="8"/>
      <c r="F7" s="8"/>
      <c r="G7" s="8"/>
      <c r="H7" s="8"/>
    </row>
    <row r="8" spans="1:8" ht="27" customHeight="1" x14ac:dyDescent="0.25">
      <c r="A8" s="2" t="s">
        <v>61</v>
      </c>
      <c r="C8" s="2" t="s">
        <v>25</v>
      </c>
      <c r="D8" s="8">
        <v>450</v>
      </c>
      <c r="E8" s="8">
        <v>0</v>
      </c>
      <c r="F8" s="8">
        <v>24322.99</v>
      </c>
      <c r="G8" s="8"/>
      <c r="H8" s="8">
        <v>24397.99</v>
      </c>
    </row>
    <row r="9" spans="1:8" ht="27" customHeight="1" x14ac:dyDescent="0.25">
      <c r="A9" s="2" t="s">
        <v>61</v>
      </c>
      <c r="C9" s="2" t="s">
        <v>25</v>
      </c>
      <c r="D9" s="8">
        <v>450</v>
      </c>
      <c r="E9" s="8">
        <v>0</v>
      </c>
      <c r="F9" s="8">
        <v>22913.83</v>
      </c>
      <c r="G9" s="14">
        <f>SUM(F8:F9)</f>
        <v>47236.820000000007</v>
      </c>
      <c r="H9" s="8">
        <v>22988.83</v>
      </c>
    </row>
    <row r="10" spans="1:8" ht="27" customHeight="1" x14ac:dyDescent="0.25">
      <c r="D10" s="8"/>
      <c r="E10" s="8"/>
      <c r="F10" s="8"/>
      <c r="G10" s="8"/>
      <c r="H10" s="8"/>
    </row>
    <row r="11" spans="1:8" ht="27" customHeight="1" x14ac:dyDescent="0.25">
      <c r="A11" s="2" t="s">
        <v>35</v>
      </c>
      <c r="B11" s="15" t="s">
        <v>62</v>
      </c>
      <c r="C11" s="2" t="s">
        <v>25</v>
      </c>
      <c r="D11" s="8">
        <v>1000</v>
      </c>
      <c r="E11" s="8">
        <v>0</v>
      </c>
      <c r="F11" s="14">
        <v>62910.36</v>
      </c>
      <c r="G11" s="8"/>
      <c r="H11" s="8">
        <v>62985.36</v>
      </c>
    </row>
    <row r="12" spans="1:8" ht="27" customHeight="1" x14ac:dyDescent="0.25">
      <c r="D12" s="8"/>
      <c r="E12" s="8"/>
      <c r="F12" s="14"/>
      <c r="G12" s="8"/>
      <c r="H12" s="8"/>
    </row>
    <row r="13" spans="1:8" ht="27" customHeight="1" x14ac:dyDescent="0.25">
      <c r="A13" s="2" t="s">
        <v>31</v>
      </c>
      <c r="C13" s="2" t="s">
        <v>25</v>
      </c>
      <c r="D13" s="8">
        <v>450</v>
      </c>
      <c r="E13" s="8">
        <v>0</v>
      </c>
      <c r="F13" s="14">
        <v>23060.63</v>
      </c>
      <c r="G13" s="8"/>
      <c r="H13" s="8">
        <v>23135.63</v>
      </c>
    </row>
    <row r="14" spans="1:8" ht="27" customHeight="1" x14ac:dyDescent="0.25">
      <c r="D14" s="8"/>
      <c r="E14" s="8"/>
      <c r="F14" s="14"/>
      <c r="G14" s="8"/>
      <c r="H14" s="8"/>
    </row>
    <row r="15" spans="1:8" ht="27" customHeight="1" x14ac:dyDescent="0.25">
      <c r="A15" s="2" t="s">
        <v>17</v>
      </c>
      <c r="C15" s="2" t="s">
        <v>18</v>
      </c>
      <c r="D15" s="8">
        <v>500</v>
      </c>
      <c r="E15" s="8">
        <v>0</v>
      </c>
      <c r="F15" s="14">
        <v>28889.5</v>
      </c>
      <c r="G15" s="8"/>
      <c r="H15" s="8">
        <v>28964.5</v>
      </c>
    </row>
    <row r="16" spans="1:8" ht="16.5" customHeight="1" x14ac:dyDescent="0.25">
      <c r="D16" s="8"/>
      <c r="E16" s="8"/>
      <c r="F16" s="8"/>
      <c r="G16" s="8"/>
      <c r="H16" s="8"/>
    </row>
    <row r="17" spans="1:8" x14ac:dyDescent="0.25">
      <c r="A17" s="10"/>
      <c r="B17" s="10"/>
      <c r="C17" s="10"/>
      <c r="D17" s="11">
        <f>SUM(D4:D15)</f>
        <v>4000</v>
      </c>
      <c r="E17" s="11">
        <f>SUM(E4:E15)</f>
        <v>0</v>
      </c>
      <c r="F17" s="11">
        <f>SUM(F4:F15)</f>
        <v>228231.69</v>
      </c>
      <c r="G17" s="11"/>
      <c r="H17" s="11">
        <f>SUM(H4:H15)</f>
        <v>228756.69</v>
      </c>
    </row>
  </sheetData>
  <mergeCells count="3">
    <mergeCell ref="A2:D2"/>
    <mergeCell ref="E2:H2"/>
    <mergeCell ref="G1:H1"/>
  </mergeCells>
  <pageMargins left="0.7" right="0.2" top="0.75" bottom="0.75" header="0.3" footer="0.3"/>
  <pageSetup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2025-01-16T18:45:11Z</cp:lastPrinted>
  <dcterms:created xsi:type="dcterms:W3CDTF">2025-01-16T18:27:48Z</dcterms:created>
  <dcterms:modified xsi:type="dcterms:W3CDTF">2025-01-16T19:13:56Z</dcterms:modified>
</cp:coreProperties>
</file>