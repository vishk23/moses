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E877A8B1-609A-4480-BA0F-497B7B3F9C61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 - Folder Vers" sheetId="1" r:id="rId1"/>
    <sheet name="Funding Worksheet - ACH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G26" i="2"/>
  <c r="G22" i="2"/>
  <c r="G5" i="2"/>
  <c r="H39" i="2"/>
  <c r="F39" i="2"/>
  <c r="E39" i="2"/>
  <c r="D39" i="2"/>
  <c r="H25" i="1"/>
</calcChain>
</file>

<file path=xl/sharedStrings.xml><?xml version="1.0" encoding="utf-8"?>
<sst xmlns="http://schemas.openxmlformats.org/spreadsheetml/2006/main" count="259" uniqueCount="137">
  <si>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</si>
  <si>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</si>
  <si>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</si>
  <si>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</si>
  <si>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</si>
  <si>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</si>
  <si>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</si>
  <si>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</si>
  <si>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</si>
  <si>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</si>
  <si>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</si>
  <si>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</si>
  <si>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</si>
  <si>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</si>
  <si>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</si>
  <si>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</si>
  <si>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</si>
  <si>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SAMPSON, DOMINIQUE</t>
  </si>
  <si>
    <t>Planet Subaru</t>
  </si>
  <si>
    <t>Marlene Braganca</t>
  </si>
  <si>
    <t>DOMINO.SAMPSON8@GMAIL.COM</t>
  </si>
  <si>
    <t>MADAR</t>
  </si>
  <si>
    <t>Route One</t>
  </si>
  <si>
    <t>Hargraves, John</t>
  </si>
  <si>
    <t>Salvadore Chevrolet</t>
  </si>
  <si>
    <t>jhargraves@poci.com</t>
  </si>
  <si>
    <t>Alden</t>
  </si>
  <si>
    <t>PECK, JEREMY</t>
  </si>
  <si>
    <t>Alden Buick Pontiac GMC</t>
  </si>
  <si>
    <t>Sethares</t>
  </si>
  <si>
    <t>WITTIG, RYAN</t>
  </si>
  <si>
    <t>Bourne Enterprises Inc</t>
  </si>
  <si>
    <t>CULVERMAN1999@HOTMAIL.COM</t>
  </si>
  <si>
    <t>Dempsey</t>
  </si>
  <si>
    <t>OUELLETTE, NATHAN</t>
  </si>
  <si>
    <t>WOOLS02134@HOTMAIL.COM</t>
  </si>
  <si>
    <t>Picard</t>
  </si>
  <si>
    <t>OKOSKY, ANTONIO</t>
  </si>
  <si>
    <t>Metro Honda</t>
  </si>
  <si>
    <t>Neli Oliveira</t>
  </si>
  <si>
    <t>JOANNATESSLER@GMAIL.COM</t>
  </si>
  <si>
    <t>CAPONE</t>
  </si>
  <si>
    <t>PRESTON, MICHAEL</t>
  </si>
  <si>
    <t>Patriot Auto Group Inc d/b/a</t>
  </si>
  <si>
    <t>prestonponds@gmail.com</t>
  </si>
  <si>
    <t>HURSHEY</t>
  </si>
  <si>
    <t>151217661</t>
  </si>
  <si>
    <t>Paper</t>
  </si>
  <si>
    <t>BEAUDETTE, NANCY</t>
  </si>
  <si>
    <t>Sandy Motors, Inc</t>
  </si>
  <si>
    <t>NANCYB@VERIZON.NET</t>
  </si>
  <si>
    <t>CROTON</t>
  </si>
  <si>
    <t>Morrison, Dana</t>
  </si>
  <si>
    <t>Lucchettis Service Center Inc</t>
  </si>
  <si>
    <t>dmorrison1605@yahoo.com</t>
  </si>
  <si>
    <t>TABER</t>
  </si>
  <si>
    <t>Davis, Brian</t>
  </si>
  <si>
    <t>Davis, Karen</t>
  </si>
  <si>
    <t>bd01420@verizon.net</t>
  </si>
  <si>
    <t>WISWELL</t>
  </si>
  <si>
    <t>GIRARD</t>
  </si>
  <si>
    <t>BOAVIDA, JONATHAN</t>
  </si>
  <si>
    <t>Wareham Ford</t>
  </si>
  <si>
    <t>JONNYB6716@GMAIL.COM</t>
  </si>
  <si>
    <t>CHAVES</t>
  </si>
  <si>
    <t>RONDEAU, BETH</t>
  </si>
  <si>
    <t>RAH FALL RIVER VW, LLC</t>
  </si>
  <si>
    <t>Rachel Gorham</t>
  </si>
  <si>
    <t>ABRONDEAU2@GMAIL.COM</t>
  </si>
  <si>
    <t>CLARKE</t>
  </si>
  <si>
    <t>CREARY, KAREN</t>
  </si>
  <si>
    <t>RCKAY123@ICLOUD.COM</t>
  </si>
  <si>
    <t>HAILE</t>
  </si>
  <si>
    <t>LEITE, MOSES</t>
  </si>
  <si>
    <t>MLEITE33@GMAIL.COM</t>
  </si>
  <si>
    <t>PEIXOTO</t>
  </si>
  <si>
    <t>FOSTER, ANDREW</t>
  </si>
  <si>
    <t>Mastria Buick Pontiac</t>
  </si>
  <si>
    <t>ANDREW.LELAND.FOSTER@GMAIL.COM</t>
  </si>
  <si>
    <t>LORD</t>
  </si>
  <si>
    <t>CHURCH, SANDRA</t>
  </si>
  <si>
    <t>MEMA430@GMAIL.COM</t>
  </si>
  <si>
    <t>VALLANTE</t>
  </si>
  <si>
    <t>QUATTROMANI, JOSEPH</t>
  </si>
  <si>
    <t>JQUATTROMANI@COX.NET</t>
  </si>
  <si>
    <t>NICASTRO</t>
  </si>
  <si>
    <t>OBRIEN, KENNETH</t>
  </si>
  <si>
    <t>Viti Mercedes</t>
  </si>
  <si>
    <t>KENOBRIEN162@MSN.COM</t>
  </si>
  <si>
    <t>NERNEY</t>
  </si>
  <si>
    <t>151217794</t>
  </si>
  <si>
    <t>HOWARD, ROBERT</t>
  </si>
  <si>
    <t>Grieco Enterprises, LLC d/b/a</t>
  </si>
  <si>
    <t>HOWARDPT2@MSN.COM</t>
  </si>
  <si>
    <t>RYAN</t>
  </si>
  <si>
    <t>Hilton, Stephen</t>
  </si>
  <si>
    <t>Mathieu Ford Sales, Inc</t>
  </si>
  <si>
    <t>STEPHEN.HILTON92@GMAIL.COM</t>
  </si>
  <si>
    <t>Russell</t>
  </si>
  <si>
    <t>BERKMAN-WRIGHT, NIL</t>
  </si>
  <si>
    <t>NBERKMAN@ICLOUD.COM</t>
  </si>
  <si>
    <t>Elifoglu</t>
  </si>
  <si>
    <t># 21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</si>
  <si>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</si>
  <si>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</si>
  <si>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</si>
  <si>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</si>
  <si>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</si>
  <si>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</si>
  <si>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</si>
  <si>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</si>
  <si>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Funding Worksheet - Signoff Version</t>
  </si>
  <si>
    <t># 2</t>
  </si>
  <si>
    <t>4453-2150</t>
  </si>
  <si>
    <t>151217447 E</t>
  </si>
  <si>
    <t>151217455 E</t>
  </si>
  <si>
    <t>151217463 E</t>
  </si>
  <si>
    <t>151217554 E</t>
  </si>
  <si>
    <t>151217570 E</t>
  </si>
  <si>
    <t>151217611 E</t>
  </si>
  <si>
    <t>151217645 E</t>
  </si>
  <si>
    <t>151217679 E</t>
  </si>
  <si>
    <t>151217687 E</t>
  </si>
  <si>
    <t>151217702 E</t>
  </si>
  <si>
    <t>151217710 E</t>
  </si>
  <si>
    <t>151217728 E</t>
  </si>
  <si>
    <t>151217736 E</t>
  </si>
  <si>
    <t>151217744 E</t>
  </si>
  <si>
    <t>151217752 E</t>
  </si>
  <si>
    <t>151217760 E</t>
  </si>
  <si>
    <t>151217786 E</t>
  </si>
  <si>
    <t>151217801 E</t>
  </si>
  <si>
    <t>151217827 E</t>
  </si>
  <si>
    <t>Delivered by:</t>
  </si>
  <si>
    <t>Received by: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</si>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</sst>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7" fontId="2" fillId="0" borderId="0" xfId="0" applyNumberFormat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5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42B7BD-9AB9-42E0-93AB-929F7CE12965}" name="Table_14" displayName="Table_14" ref="A3:H39">
  <tableColumns count="8">
    <tableColumn id="1" xr3:uid="{FE3AF739-7E7C-434C-9942-B47D51980AE8}" name="Dealer Name"/>
    <tableColumn id="7" xr3:uid="{8C280DF1-C0E8-4EBD-B34F-316CE4380899}" name="Column1"/>
    <tableColumn id="2" xr3:uid="{1F7A169E-D749-4591-9EFB-CB26326FBC13}" name="Funded by"/>
    <tableColumn id="3" xr3:uid="{D1D8C6CB-D8C5-4E59-B4A9-79FC2DFF134C}" name="Dealer Flat"/>
    <tableColumn id="4" xr3:uid="{F71C2110-B4EC-4374-8B13-18A1AF1A6498}" name="Dealer Split"/>
    <tableColumn id="5" xr3:uid="{AFA392BC-58ED-4A4D-B426-3ED9F1153D6B}" name="Net to Dealer"/>
    <tableColumn id="8" xr3:uid="{B41958AF-68D7-4397-BE8B-BC5735FC55BB}" name="Column2" dataDxfId="0"/>
    <tableColumn id="6" xr3:uid="{ADC50DED-6DE7-4555-9AB5-DD1C838554E0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24D8ED-07A1-4036-B60F-3D31A12A657D}" name="Table_16" displayName="Table_16" ref="A3:F6">
  <tableColumns count="6">
    <tableColumn id="1" xr3:uid="{25B58B58-9EC8-4CB5-81CE-7BF09DDAABB4}" name="Account Number"/>
    <tableColumn id="2" xr3:uid="{D28EE096-EA10-4CF1-BBE7-BCC55155518B}" name="Contract Type"/>
    <tableColumn id="3" xr3:uid="{4C5718CD-0808-45AC-AC05-334ACD8C90C5}" name="Applicant Name"/>
    <tableColumn id="4" xr3:uid="{AD86F388-C4C0-4CE4-AA9D-5FC17D09E0E6}" name="Co-Applicant Name"/>
    <tableColumn id="5" xr3:uid="{4908310A-1084-4E94-8669-4E8B56DA1538}" name="Dealer Name"/>
    <tableColumn id="6" xr3:uid="{D0C2A31C-6350-421F-AB49-3689C2FF4A3E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tabSelected="1" zoomScaleNormal="100" workbookViewId="0">
      <pane ySplit="3" topLeftCell="A4" activePane="bottomLeft" state="frozen"/>
      <selection pane="bottomLeft" activeCell="D19" sqref="D19"/>
    </sheetView>
  </sheetViews>
  <sheetFormatPr defaultRowHeight="15" x14ac:dyDescent="0.25"/>
  <cols>
    <col min="1" max="1" width="13.140625" customWidth="1"/>
    <col min="2" max="2" width="12.140625" bestFit="1" customWidth="1"/>
    <col min="3" max="3" width="14" bestFit="1" customWidth="1"/>
    <col min="4" max="4" width="20.28515625" customWidth="1"/>
    <col min="5" max="5" width="12.85546875" customWidth="1"/>
    <col min="6" max="6" width="27.85546875" bestFit="1" customWidth="1"/>
    <col min="7" max="7" width="17.7109375" bestFit="1" customWidth="1"/>
    <col min="8" max="8" width="17.140625" bestFit="1" customWidth="1"/>
    <col min="9" max="9" width="21.85546875" customWidth="1"/>
    <col min="10" max="10" width="20.42578125" customWidth="1"/>
    <col min="11" max="11" width="16.140625" bestFit="1" customWidth="1"/>
    <col min="12" max="12" width="10.7109375" customWidth="1"/>
  </cols>
  <sheetData>
    <row r="1" spans="1:12" x14ac:dyDescent="0.25">
      <c r="K1" s="12">
        <v>45895</v>
      </c>
      <c r="L1" s="10"/>
    </row>
    <row r="2" spans="1:12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3" customHeight="1" x14ac:dyDescent="0.25">
      <c r="A4" t="s">
        <v>114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28858.54</v>
      </c>
      <c r="I4" t="s">
        <v>20</v>
      </c>
      <c r="K4" t="s">
        <v>21</v>
      </c>
    </row>
    <row r="5" spans="1:12" ht="33" customHeight="1" x14ac:dyDescent="0.25">
      <c r="A5" t="s">
        <v>115</v>
      </c>
      <c r="B5" t="s">
        <v>22</v>
      </c>
      <c r="C5" t="s">
        <v>16</v>
      </c>
      <c r="D5" t="s">
        <v>23</v>
      </c>
      <c r="F5" t="s">
        <v>24</v>
      </c>
      <c r="G5" t="s">
        <v>19</v>
      </c>
      <c r="H5" s="2">
        <v>25638.39</v>
      </c>
      <c r="I5" t="s">
        <v>25</v>
      </c>
      <c r="K5" t="s">
        <v>26</v>
      </c>
    </row>
    <row r="6" spans="1:12" ht="33" customHeight="1" x14ac:dyDescent="0.25">
      <c r="A6" t="s">
        <v>116</v>
      </c>
      <c r="B6" t="s">
        <v>22</v>
      </c>
      <c r="C6" t="s">
        <v>16</v>
      </c>
      <c r="D6" t="s">
        <v>27</v>
      </c>
      <c r="F6" t="s">
        <v>28</v>
      </c>
      <c r="G6" t="s">
        <v>19</v>
      </c>
      <c r="H6" s="2">
        <v>30201.439999999999</v>
      </c>
      <c r="K6" t="s">
        <v>29</v>
      </c>
    </row>
    <row r="7" spans="1:12" ht="33" customHeight="1" x14ac:dyDescent="0.25">
      <c r="A7" t="s">
        <v>117</v>
      </c>
      <c r="B7" t="s">
        <v>15</v>
      </c>
      <c r="C7" t="s">
        <v>16</v>
      </c>
      <c r="D7" t="s">
        <v>30</v>
      </c>
      <c r="F7" t="s">
        <v>31</v>
      </c>
      <c r="G7" t="s">
        <v>19</v>
      </c>
      <c r="H7" s="2">
        <v>56074.52</v>
      </c>
      <c r="I7" t="s">
        <v>32</v>
      </c>
      <c r="K7" t="s">
        <v>33</v>
      </c>
    </row>
    <row r="8" spans="1:12" ht="33" customHeight="1" x14ac:dyDescent="0.25">
      <c r="A8" t="s">
        <v>118</v>
      </c>
      <c r="B8" t="s">
        <v>15</v>
      </c>
      <c r="C8" t="s">
        <v>16</v>
      </c>
      <c r="D8" t="s">
        <v>34</v>
      </c>
      <c r="F8" t="s">
        <v>18</v>
      </c>
      <c r="G8" t="s">
        <v>19</v>
      </c>
      <c r="H8" s="2">
        <v>10000</v>
      </c>
      <c r="I8" t="s">
        <v>35</v>
      </c>
      <c r="K8" t="s">
        <v>36</v>
      </c>
    </row>
    <row r="9" spans="1:12" ht="33" customHeight="1" x14ac:dyDescent="0.25">
      <c r="A9" t="s">
        <v>119</v>
      </c>
      <c r="B9" t="s">
        <v>15</v>
      </c>
      <c r="C9" t="s">
        <v>16</v>
      </c>
      <c r="D9" t="s">
        <v>37</v>
      </c>
      <c r="F9" t="s">
        <v>38</v>
      </c>
      <c r="G9" t="s">
        <v>39</v>
      </c>
      <c r="H9" s="2">
        <v>33423.03</v>
      </c>
      <c r="I9" t="s">
        <v>40</v>
      </c>
      <c r="K9" t="s">
        <v>41</v>
      </c>
    </row>
    <row r="10" spans="1:12" ht="33" customHeight="1" x14ac:dyDescent="0.25">
      <c r="A10" t="s">
        <v>120</v>
      </c>
      <c r="B10" t="s">
        <v>22</v>
      </c>
      <c r="C10" t="s">
        <v>16</v>
      </c>
      <c r="D10" t="s">
        <v>42</v>
      </c>
      <c r="F10" t="s">
        <v>43</v>
      </c>
      <c r="G10" t="s">
        <v>39</v>
      </c>
      <c r="H10" s="2">
        <v>22832.13</v>
      </c>
      <c r="I10" t="s">
        <v>44</v>
      </c>
      <c r="K10" t="s">
        <v>45</v>
      </c>
    </row>
    <row r="11" spans="1:12" ht="33" customHeight="1" x14ac:dyDescent="0.25">
      <c r="A11" t="s">
        <v>46</v>
      </c>
      <c r="B11" t="s">
        <v>15</v>
      </c>
      <c r="C11" t="s">
        <v>47</v>
      </c>
      <c r="D11" t="s">
        <v>48</v>
      </c>
      <c r="F11" t="s">
        <v>49</v>
      </c>
      <c r="G11" t="s">
        <v>39</v>
      </c>
      <c r="H11" s="2">
        <v>23724.93</v>
      </c>
      <c r="I11" t="s">
        <v>50</v>
      </c>
      <c r="K11" t="s">
        <v>51</v>
      </c>
    </row>
    <row r="12" spans="1:12" ht="33" customHeight="1" x14ac:dyDescent="0.25">
      <c r="A12" t="s">
        <v>121</v>
      </c>
      <c r="B12" t="s">
        <v>22</v>
      </c>
      <c r="C12" t="s">
        <v>16</v>
      </c>
      <c r="D12" t="s">
        <v>52</v>
      </c>
      <c r="F12" t="s">
        <v>53</v>
      </c>
      <c r="G12" t="s">
        <v>39</v>
      </c>
      <c r="H12" s="2">
        <v>46261.57</v>
      </c>
      <c r="I12" t="s">
        <v>54</v>
      </c>
      <c r="K12" t="s">
        <v>55</v>
      </c>
    </row>
    <row r="13" spans="1:12" ht="33" customHeight="1" x14ac:dyDescent="0.25">
      <c r="A13" t="s">
        <v>122</v>
      </c>
      <c r="B13" t="s">
        <v>22</v>
      </c>
      <c r="C13" t="s">
        <v>16</v>
      </c>
      <c r="D13" t="s">
        <v>56</v>
      </c>
      <c r="E13" t="s">
        <v>57</v>
      </c>
      <c r="F13" t="s">
        <v>24</v>
      </c>
      <c r="G13" t="s">
        <v>39</v>
      </c>
      <c r="H13" s="2">
        <v>29580.59</v>
      </c>
      <c r="I13" t="s">
        <v>58</v>
      </c>
      <c r="J13" t="s">
        <v>58</v>
      </c>
      <c r="K13" t="s">
        <v>59</v>
      </c>
      <c r="L13" t="s">
        <v>60</v>
      </c>
    </row>
    <row r="14" spans="1:12" ht="33" customHeight="1" x14ac:dyDescent="0.25">
      <c r="A14" t="s">
        <v>123</v>
      </c>
      <c r="B14" t="s">
        <v>22</v>
      </c>
      <c r="C14" t="s">
        <v>16</v>
      </c>
      <c r="D14" t="s">
        <v>61</v>
      </c>
      <c r="F14" t="s">
        <v>62</v>
      </c>
      <c r="G14" t="s">
        <v>39</v>
      </c>
      <c r="H14" s="2">
        <v>40467.89</v>
      </c>
      <c r="I14" t="s">
        <v>63</v>
      </c>
      <c r="K14" t="s">
        <v>64</v>
      </c>
    </row>
    <row r="15" spans="1:12" ht="33" customHeight="1" x14ac:dyDescent="0.25">
      <c r="A15" t="s">
        <v>124</v>
      </c>
      <c r="B15" t="s">
        <v>15</v>
      </c>
      <c r="C15" t="s">
        <v>16</v>
      </c>
      <c r="D15" t="s">
        <v>65</v>
      </c>
      <c r="F15" t="s">
        <v>66</v>
      </c>
      <c r="G15" t="s">
        <v>67</v>
      </c>
      <c r="H15" s="2">
        <v>31751.38</v>
      </c>
      <c r="I15" t="s">
        <v>68</v>
      </c>
      <c r="K15" t="s">
        <v>69</v>
      </c>
    </row>
    <row r="16" spans="1:12" ht="33" customHeight="1" x14ac:dyDescent="0.25">
      <c r="A16" t="s">
        <v>125</v>
      </c>
      <c r="B16" t="s">
        <v>15</v>
      </c>
      <c r="C16" t="s">
        <v>16</v>
      </c>
      <c r="D16" t="s">
        <v>70</v>
      </c>
      <c r="F16" t="s">
        <v>38</v>
      </c>
      <c r="G16" t="s">
        <v>39</v>
      </c>
      <c r="H16" s="2">
        <v>41499.68</v>
      </c>
      <c r="I16" t="s">
        <v>71</v>
      </c>
      <c r="K16" t="s">
        <v>72</v>
      </c>
    </row>
    <row r="17" spans="1:12" ht="33" customHeight="1" x14ac:dyDescent="0.25">
      <c r="A17" t="s">
        <v>126</v>
      </c>
      <c r="B17" t="s">
        <v>22</v>
      </c>
      <c r="C17" t="s">
        <v>16</v>
      </c>
      <c r="D17" t="s">
        <v>73</v>
      </c>
      <c r="F17" t="s">
        <v>28</v>
      </c>
      <c r="G17" t="s">
        <v>67</v>
      </c>
      <c r="H17" s="2">
        <v>30096.75</v>
      </c>
      <c r="I17" t="s">
        <v>74</v>
      </c>
      <c r="K17" t="s">
        <v>75</v>
      </c>
    </row>
    <row r="18" spans="1:12" ht="33" customHeight="1" x14ac:dyDescent="0.25">
      <c r="A18" t="s">
        <v>127</v>
      </c>
      <c r="B18" t="s">
        <v>22</v>
      </c>
      <c r="C18" t="s">
        <v>16</v>
      </c>
      <c r="D18" t="s">
        <v>76</v>
      </c>
      <c r="F18" t="s">
        <v>77</v>
      </c>
      <c r="G18" t="s">
        <v>67</v>
      </c>
      <c r="H18" s="2">
        <v>22347.86</v>
      </c>
      <c r="I18" t="s">
        <v>78</v>
      </c>
      <c r="K18" t="s">
        <v>79</v>
      </c>
    </row>
    <row r="19" spans="1:12" ht="33" customHeight="1" x14ac:dyDescent="0.25">
      <c r="A19" t="s">
        <v>128</v>
      </c>
      <c r="B19" t="s">
        <v>15</v>
      </c>
      <c r="C19" t="s">
        <v>16</v>
      </c>
      <c r="D19" t="s">
        <v>80</v>
      </c>
      <c r="F19" t="s">
        <v>38</v>
      </c>
      <c r="G19" t="s">
        <v>67</v>
      </c>
      <c r="H19" s="2">
        <v>9126.83</v>
      </c>
      <c r="I19" t="s">
        <v>81</v>
      </c>
      <c r="K19" t="s">
        <v>82</v>
      </c>
    </row>
    <row r="20" spans="1:12" ht="33" customHeight="1" x14ac:dyDescent="0.25">
      <c r="A20" t="s">
        <v>129</v>
      </c>
      <c r="B20" t="s">
        <v>15</v>
      </c>
      <c r="C20" t="s">
        <v>16</v>
      </c>
      <c r="D20" t="s">
        <v>83</v>
      </c>
      <c r="F20" t="s">
        <v>38</v>
      </c>
      <c r="G20" t="s">
        <v>67</v>
      </c>
      <c r="H20" s="2">
        <v>30632.9</v>
      </c>
      <c r="I20" t="s">
        <v>84</v>
      </c>
      <c r="K20" t="s">
        <v>85</v>
      </c>
    </row>
    <row r="21" spans="1:12" ht="33" customHeight="1" x14ac:dyDescent="0.25">
      <c r="A21" t="s">
        <v>130</v>
      </c>
      <c r="B21" t="s">
        <v>15</v>
      </c>
      <c r="C21" t="s">
        <v>16</v>
      </c>
      <c r="D21" t="s">
        <v>86</v>
      </c>
      <c r="F21" t="s">
        <v>87</v>
      </c>
      <c r="G21" t="s">
        <v>39</v>
      </c>
      <c r="H21" s="2">
        <v>35904.97</v>
      </c>
      <c r="I21" t="s">
        <v>88</v>
      </c>
      <c r="K21" t="s">
        <v>89</v>
      </c>
    </row>
    <row r="22" spans="1:12" ht="33" customHeight="1" x14ac:dyDescent="0.25">
      <c r="A22" t="s">
        <v>90</v>
      </c>
      <c r="B22" t="s">
        <v>15</v>
      </c>
      <c r="C22" t="s">
        <v>47</v>
      </c>
      <c r="D22" t="s">
        <v>91</v>
      </c>
      <c r="F22" t="s">
        <v>92</v>
      </c>
      <c r="G22" t="s">
        <v>67</v>
      </c>
      <c r="H22" s="2">
        <v>22924.76</v>
      </c>
      <c r="I22" t="s">
        <v>93</v>
      </c>
      <c r="K22" t="s">
        <v>94</v>
      </c>
    </row>
    <row r="23" spans="1:12" ht="33" customHeight="1" x14ac:dyDescent="0.25">
      <c r="A23" t="s">
        <v>131</v>
      </c>
      <c r="B23" t="s">
        <v>22</v>
      </c>
      <c r="C23" t="s">
        <v>16</v>
      </c>
      <c r="D23" t="s">
        <v>95</v>
      </c>
      <c r="F23" t="s">
        <v>96</v>
      </c>
      <c r="G23" t="s">
        <v>39</v>
      </c>
      <c r="H23" s="2">
        <v>24338.81</v>
      </c>
      <c r="I23" t="s">
        <v>97</v>
      </c>
      <c r="K23" t="s">
        <v>98</v>
      </c>
    </row>
    <row r="24" spans="1:12" ht="33" customHeight="1" x14ac:dyDescent="0.25">
      <c r="A24" t="s">
        <v>132</v>
      </c>
      <c r="B24" t="s">
        <v>15</v>
      </c>
      <c r="C24" t="s">
        <v>16</v>
      </c>
      <c r="D24" t="s">
        <v>99</v>
      </c>
      <c r="F24" t="s">
        <v>18</v>
      </c>
      <c r="G24" t="s">
        <v>19</v>
      </c>
      <c r="H24" s="2">
        <v>17960.5</v>
      </c>
      <c r="I24" t="s">
        <v>100</v>
      </c>
      <c r="K24" t="s">
        <v>101</v>
      </c>
    </row>
    <row r="25" spans="1:12" x14ac:dyDescent="0.25">
      <c r="A25" s="1"/>
      <c r="B25" s="1"/>
      <c r="C25" s="1"/>
      <c r="D25" s="1" t="s">
        <v>102</v>
      </c>
      <c r="E25" s="1"/>
      <c r="F25" s="1"/>
      <c r="G25" s="1"/>
      <c r="H25" s="3">
        <f>SUM(H4:H24)</f>
        <v>613647.47000000009</v>
      </c>
      <c r="I25" s="1"/>
      <c r="J25" s="1"/>
      <c r="K25" s="1"/>
      <c r="L25" s="1"/>
    </row>
  </sheetData>
  <mergeCells count="3">
    <mergeCell ref="A2:F2"/>
    <mergeCell ref="G2:L2"/>
    <mergeCell ref="K1:L1"/>
  </mergeCells>
  <pageMargins left="0.7" right="0.7" top="1" bottom="0.75" header="0.3" footer="0.3"/>
  <pageSetup paperSize="5" scale="75" fitToHeight="0" orientation="landscape" r:id="rId1"/>
  <headerFooter>
    <oddFooter>Page &amp;P of &amp;N</oddFooter>
  </headerFooter>
  <rowBreaks count="1" manualBreakCount="1">
    <brk id="20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B33B-AF22-483F-B08B-BA213061592D}">
  <sheetPr>
    <pageSetUpPr fitToPage="1"/>
  </sheetPr>
  <dimension ref="A1:H39"/>
  <sheetViews>
    <sheetView topLeftCell="A20" workbookViewId="0">
      <selection activeCell="F1" sqref="F1"/>
    </sheetView>
  </sheetViews>
  <sheetFormatPr defaultRowHeight="15" x14ac:dyDescent="0.25"/>
  <cols>
    <col min="1" max="1" width="20.7109375" customWidth="1"/>
    <col min="2" max="2" width="13.7109375" customWidth="1"/>
    <col min="3" max="3" width="17.85546875" customWidth="1"/>
    <col min="4" max="4" width="18" customWidth="1"/>
    <col min="5" max="5" width="20.140625" customWidth="1"/>
    <col min="6" max="7" width="16" customWidth="1"/>
    <col min="8" max="8" width="18.28515625" customWidth="1"/>
  </cols>
  <sheetData>
    <row r="1" spans="1:8" x14ac:dyDescent="0.25">
      <c r="E1" s="4"/>
      <c r="H1" s="4">
        <v>45895.999988425923</v>
      </c>
    </row>
    <row r="2" spans="1:8" x14ac:dyDescent="0.25">
      <c r="A2" s="9" t="s">
        <v>0</v>
      </c>
      <c r="B2" s="9"/>
      <c r="C2" s="10"/>
      <c r="D2" s="10"/>
      <c r="E2" s="11" t="s">
        <v>103</v>
      </c>
      <c r="F2" s="10"/>
      <c r="G2" s="10"/>
      <c r="H2" s="10"/>
    </row>
    <row r="3" spans="1:8" x14ac:dyDescent="0.25">
      <c r="A3" t="s">
        <v>7</v>
      </c>
      <c r="B3" t="s">
        <v>108</v>
      </c>
      <c r="C3" t="s">
        <v>8</v>
      </c>
      <c r="D3" t="s">
        <v>104</v>
      </c>
      <c r="E3" t="s">
        <v>105</v>
      </c>
      <c r="F3" t="s">
        <v>106</v>
      </c>
      <c r="G3" t="s">
        <v>109</v>
      </c>
      <c r="H3" t="s">
        <v>107</v>
      </c>
    </row>
    <row r="4" spans="1:8" ht="27" customHeight="1" x14ac:dyDescent="0.25">
      <c r="A4" t="s">
        <v>28</v>
      </c>
      <c r="C4" t="s">
        <v>19</v>
      </c>
      <c r="D4" s="2">
        <v>850</v>
      </c>
      <c r="E4" s="2">
        <v>0</v>
      </c>
      <c r="F4" s="2">
        <v>30126.44</v>
      </c>
      <c r="G4" s="2"/>
      <c r="H4" s="2">
        <v>30201.439999999999</v>
      </c>
    </row>
    <row r="5" spans="1:8" ht="27" customHeight="1" x14ac:dyDescent="0.25">
      <c r="A5" t="s">
        <v>28</v>
      </c>
      <c r="C5" t="s">
        <v>67</v>
      </c>
      <c r="D5" s="2">
        <v>850</v>
      </c>
      <c r="E5" s="2">
        <v>0</v>
      </c>
      <c r="F5" s="2">
        <v>30021.75</v>
      </c>
      <c r="G5" s="5">
        <f>SUM(F4:F5)</f>
        <v>60148.19</v>
      </c>
      <c r="H5" s="2">
        <v>30096.75</v>
      </c>
    </row>
    <row r="6" spans="1:8" ht="27" customHeight="1" x14ac:dyDescent="0.25">
      <c r="D6" s="2"/>
      <c r="E6" s="2"/>
      <c r="F6" s="2"/>
      <c r="G6" s="2"/>
      <c r="H6" s="2"/>
    </row>
    <row r="7" spans="1:8" ht="27" customHeight="1" x14ac:dyDescent="0.25">
      <c r="A7" t="s">
        <v>31</v>
      </c>
      <c r="C7" t="s">
        <v>19</v>
      </c>
      <c r="D7" s="2">
        <v>1350</v>
      </c>
      <c r="E7" s="2">
        <v>0</v>
      </c>
      <c r="F7" s="5">
        <v>55999.519999999997</v>
      </c>
      <c r="G7" s="2"/>
      <c r="H7" s="2">
        <v>56074.52</v>
      </c>
    </row>
    <row r="8" spans="1:8" ht="27" customHeight="1" x14ac:dyDescent="0.25">
      <c r="D8" s="2"/>
      <c r="E8" s="2"/>
      <c r="F8" s="5"/>
      <c r="G8" s="2"/>
      <c r="H8" s="2"/>
    </row>
    <row r="9" spans="1:8" ht="27" customHeight="1" x14ac:dyDescent="0.25">
      <c r="A9" t="s">
        <v>92</v>
      </c>
      <c r="C9" t="s">
        <v>67</v>
      </c>
      <c r="D9" s="2">
        <v>650</v>
      </c>
      <c r="E9" s="2">
        <v>0</v>
      </c>
      <c r="F9" s="5">
        <v>22849.759999999998</v>
      </c>
      <c r="G9" s="2"/>
      <c r="H9" s="2">
        <v>22924.76</v>
      </c>
    </row>
    <row r="10" spans="1:8" ht="27" customHeight="1" x14ac:dyDescent="0.25">
      <c r="D10" s="2"/>
      <c r="E10" s="2"/>
      <c r="F10" s="5"/>
      <c r="G10" s="2"/>
      <c r="H10" s="2"/>
    </row>
    <row r="11" spans="1:8" ht="27" customHeight="1" x14ac:dyDescent="0.25">
      <c r="A11" t="s">
        <v>110</v>
      </c>
      <c r="C11" t="s">
        <v>39</v>
      </c>
      <c r="D11" s="2">
        <v>650</v>
      </c>
      <c r="E11" s="2">
        <v>0</v>
      </c>
      <c r="F11" s="5">
        <v>22757.13</v>
      </c>
      <c r="G11" s="2"/>
      <c r="H11" s="2">
        <v>22832.13</v>
      </c>
    </row>
    <row r="12" spans="1:8" ht="27" customHeight="1" x14ac:dyDescent="0.25">
      <c r="D12" s="2"/>
      <c r="E12" s="2"/>
      <c r="F12" s="5"/>
      <c r="G12" s="2"/>
      <c r="H12" s="2"/>
    </row>
    <row r="13" spans="1:8" ht="27" customHeight="1" x14ac:dyDescent="0.25">
      <c r="A13" t="s">
        <v>53</v>
      </c>
      <c r="C13" t="s">
        <v>39</v>
      </c>
      <c r="D13" s="2">
        <v>1150</v>
      </c>
      <c r="E13" s="2">
        <v>0</v>
      </c>
      <c r="F13" s="5">
        <v>46186.57</v>
      </c>
      <c r="G13" s="2"/>
      <c r="H13" s="2">
        <v>46261.57</v>
      </c>
    </row>
    <row r="14" spans="1:8" ht="27" customHeight="1" x14ac:dyDescent="0.25">
      <c r="D14" s="2"/>
      <c r="E14" s="2"/>
      <c r="F14" s="5"/>
      <c r="G14" s="2"/>
      <c r="H14" s="2"/>
    </row>
    <row r="15" spans="1:8" ht="27" customHeight="1" x14ac:dyDescent="0.25">
      <c r="A15" t="s">
        <v>77</v>
      </c>
      <c r="B15" s="7" t="s">
        <v>113</v>
      </c>
      <c r="C15" t="s">
        <v>67</v>
      </c>
      <c r="D15" s="2">
        <v>650</v>
      </c>
      <c r="E15" s="2">
        <v>0</v>
      </c>
      <c r="F15" s="5">
        <v>22272.86</v>
      </c>
      <c r="G15" s="2"/>
      <c r="H15" s="2">
        <v>22347.86</v>
      </c>
    </row>
    <row r="16" spans="1:8" ht="27" customHeight="1" x14ac:dyDescent="0.25">
      <c r="D16" s="2"/>
      <c r="E16" s="2"/>
      <c r="F16" s="5"/>
      <c r="G16" s="2"/>
      <c r="H16" s="2"/>
    </row>
    <row r="17" spans="1:8" ht="27" customHeight="1" x14ac:dyDescent="0.25">
      <c r="A17" t="s">
        <v>96</v>
      </c>
      <c r="C17" t="s">
        <v>39</v>
      </c>
      <c r="D17" s="2">
        <v>650</v>
      </c>
      <c r="E17" s="2">
        <v>0</v>
      </c>
      <c r="F17" s="5">
        <v>24263.81</v>
      </c>
      <c r="G17" s="2"/>
      <c r="H17" s="2">
        <v>24338.81</v>
      </c>
    </row>
    <row r="18" spans="1:8" ht="27" customHeight="1" x14ac:dyDescent="0.25">
      <c r="D18" s="2"/>
      <c r="E18" s="2"/>
      <c r="F18" s="2"/>
      <c r="G18" s="2"/>
      <c r="H18" s="2"/>
    </row>
    <row r="19" spans="1:8" ht="27" customHeight="1" x14ac:dyDescent="0.25">
      <c r="A19" t="s">
        <v>38</v>
      </c>
      <c r="B19" s="6"/>
      <c r="C19" t="s">
        <v>67</v>
      </c>
      <c r="D19" s="2">
        <v>850</v>
      </c>
      <c r="E19" s="2">
        <v>0</v>
      </c>
      <c r="F19" s="2">
        <v>30557.9</v>
      </c>
      <c r="G19" s="2"/>
      <c r="H19" s="2">
        <v>30632.9</v>
      </c>
    </row>
    <row r="20" spans="1:8" ht="27" customHeight="1" x14ac:dyDescent="0.25">
      <c r="A20" t="s">
        <v>38</v>
      </c>
      <c r="C20" t="s">
        <v>67</v>
      </c>
      <c r="D20" s="2">
        <v>150</v>
      </c>
      <c r="E20" s="2">
        <v>0</v>
      </c>
      <c r="F20" s="2">
        <v>9051.83</v>
      </c>
      <c r="G20" s="2"/>
      <c r="H20" s="2">
        <v>9126.83</v>
      </c>
    </row>
    <row r="21" spans="1:8" ht="27" customHeight="1" x14ac:dyDescent="0.25">
      <c r="A21" t="s">
        <v>38</v>
      </c>
      <c r="C21" t="s">
        <v>39</v>
      </c>
      <c r="D21" s="2">
        <v>850</v>
      </c>
      <c r="E21" s="2">
        <v>0</v>
      </c>
      <c r="F21" s="2">
        <v>33348.03</v>
      </c>
      <c r="G21" s="2"/>
      <c r="H21" s="2">
        <v>33423.03</v>
      </c>
    </row>
    <row r="22" spans="1:8" ht="27" customHeight="1" x14ac:dyDescent="0.25">
      <c r="A22" t="s">
        <v>38</v>
      </c>
      <c r="C22" t="s">
        <v>39</v>
      </c>
      <c r="D22" s="2">
        <v>1050</v>
      </c>
      <c r="E22" s="2">
        <v>0</v>
      </c>
      <c r="F22" s="2">
        <v>41424.68</v>
      </c>
      <c r="G22" s="5">
        <f>SUM(F19:F22)</f>
        <v>114382.44</v>
      </c>
      <c r="H22" s="2">
        <v>41499.68</v>
      </c>
    </row>
    <row r="23" spans="1:8" ht="27" customHeight="1" x14ac:dyDescent="0.25">
      <c r="D23" s="2"/>
      <c r="E23" s="2"/>
      <c r="F23" s="2"/>
      <c r="G23" s="2"/>
      <c r="H23" s="2"/>
    </row>
    <row r="24" spans="1:8" ht="27" customHeight="1" x14ac:dyDescent="0.25">
      <c r="A24" t="s">
        <v>18</v>
      </c>
      <c r="C24" t="s">
        <v>19</v>
      </c>
      <c r="D24" s="2">
        <v>750</v>
      </c>
      <c r="E24" s="2">
        <v>0</v>
      </c>
      <c r="F24" s="2">
        <v>28783.54</v>
      </c>
      <c r="G24" s="2"/>
      <c r="H24" s="2">
        <v>28858.54</v>
      </c>
    </row>
    <row r="25" spans="1:8" ht="27" customHeight="1" x14ac:dyDescent="0.25">
      <c r="A25" t="s">
        <v>18</v>
      </c>
      <c r="C25" t="s">
        <v>19</v>
      </c>
      <c r="D25" s="2">
        <v>500</v>
      </c>
      <c r="E25" s="2">
        <v>0</v>
      </c>
      <c r="F25" s="2">
        <v>17885.5</v>
      </c>
      <c r="G25" s="2"/>
      <c r="H25" s="2">
        <v>17960.5</v>
      </c>
    </row>
    <row r="26" spans="1:8" ht="27" customHeight="1" x14ac:dyDescent="0.25">
      <c r="A26" t="s">
        <v>18</v>
      </c>
      <c r="C26" t="s">
        <v>19</v>
      </c>
      <c r="D26" s="2">
        <v>300</v>
      </c>
      <c r="E26" s="2">
        <v>0</v>
      </c>
      <c r="F26" s="2">
        <v>9925</v>
      </c>
      <c r="G26" s="5">
        <f>SUM(F24:F26)</f>
        <v>56594.04</v>
      </c>
      <c r="H26" s="2">
        <v>10000</v>
      </c>
    </row>
    <row r="27" spans="1:8" ht="27" customHeight="1" x14ac:dyDescent="0.25">
      <c r="D27" s="2"/>
      <c r="E27" s="2"/>
      <c r="F27" s="2"/>
      <c r="G27" s="2"/>
      <c r="H27" s="2"/>
    </row>
    <row r="28" spans="1:8" ht="27" customHeight="1" x14ac:dyDescent="0.25">
      <c r="A28" t="s">
        <v>66</v>
      </c>
      <c r="C28" t="s">
        <v>67</v>
      </c>
      <c r="D28" s="2">
        <v>850</v>
      </c>
      <c r="E28" s="2">
        <v>0</v>
      </c>
      <c r="F28" s="5">
        <v>31676.38</v>
      </c>
      <c r="G28" s="2"/>
      <c r="H28" s="2">
        <v>31751.38</v>
      </c>
    </row>
    <row r="29" spans="1:8" ht="27" customHeight="1" x14ac:dyDescent="0.25">
      <c r="D29" s="2"/>
      <c r="E29" s="2"/>
      <c r="F29" s="2"/>
      <c r="G29" s="2"/>
      <c r="H29" s="2"/>
    </row>
    <row r="30" spans="1:8" ht="27" customHeight="1" x14ac:dyDescent="0.25">
      <c r="A30" t="s">
        <v>24</v>
      </c>
      <c r="C30" t="s">
        <v>19</v>
      </c>
      <c r="D30" s="2">
        <v>750</v>
      </c>
      <c r="E30" s="2">
        <v>0</v>
      </c>
      <c r="F30" s="2">
        <v>25563.39</v>
      </c>
      <c r="G30" s="2"/>
      <c r="H30" s="2">
        <v>25638.39</v>
      </c>
    </row>
    <row r="31" spans="1:8" ht="27" customHeight="1" x14ac:dyDescent="0.25">
      <c r="A31" t="s">
        <v>24</v>
      </c>
      <c r="C31" t="s">
        <v>39</v>
      </c>
      <c r="D31" s="2">
        <v>750</v>
      </c>
      <c r="E31" s="2">
        <v>0</v>
      </c>
      <c r="F31" s="2">
        <v>29505.59</v>
      </c>
      <c r="G31" s="5">
        <f>SUM(F30:F31)</f>
        <v>55068.979999999996</v>
      </c>
      <c r="H31" s="2">
        <v>29580.59</v>
      </c>
    </row>
    <row r="32" spans="1:8" ht="27" customHeight="1" x14ac:dyDescent="0.25">
      <c r="D32" s="2"/>
      <c r="E32" s="2"/>
      <c r="F32" s="2"/>
      <c r="G32" s="2"/>
      <c r="H32" s="2"/>
    </row>
    <row r="33" spans="1:8" ht="27" customHeight="1" x14ac:dyDescent="0.25">
      <c r="A33" t="s">
        <v>49</v>
      </c>
      <c r="C33" t="s">
        <v>39</v>
      </c>
      <c r="D33" s="2">
        <v>650</v>
      </c>
      <c r="E33" s="2">
        <v>0</v>
      </c>
      <c r="F33" s="5">
        <v>23649.93</v>
      </c>
      <c r="G33" s="2"/>
      <c r="H33" s="2">
        <v>23724.93</v>
      </c>
    </row>
    <row r="34" spans="1:8" ht="27" customHeight="1" x14ac:dyDescent="0.25">
      <c r="D34" s="2"/>
      <c r="E34" s="2"/>
      <c r="F34" s="5"/>
      <c r="G34" s="2"/>
      <c r="H34" s="2"/>
    </row>
    <row r="35" spans="1:8" ht="27" customHeight="1" x14ac:dyDescent="0.25">
      <c r="A35" t="s">
        <v>87</v>
      </c>
      <c r="C35" t="s">
        <v>39</v>
      </c>
      <c r="D35" s="2">
        <v>950</v>
      </c>
      <c r="E35" s="2">
        <v>0</v>
      </c>
      <c r="F35" s="5">
        <v>35829.97</v>
      </c>
      <c r="G35" s="2"/>
      <c r="H35" s="2">
        <v>35904.97</v>
      </c>
    </row>
    <row r="36" spans="1:8" ht="27" customHeight="1" x14ac:dyDescent="0.25">
      <c r="D36" s="2"/>
      <c r="E36" s="2"/>
      <c r="F36" s="5"/>
      <c r="G36" s="2"/>
      <c r="H36" s="2"/>
    </row>
    <row r="37" spans="1:8" ht="27" customHeight="1" x14ac:dyDescent="0.25">
      <c r="A37" t="s">
        <v>62</v>
      </c>
      <c r="C37" t="s">
        <v>39</v>
      </c>
      <c r="D37" s="2">
        <v>1050</v>
      </c>
      <c r="E37" s="2">
        <v>0</v>
      </c>
      <c r="F37" s="5">
        <v>40392.89</v>
      </c>
      <c r="G37" s="2"/>
      <c r="H37" s="2">
        <v>40467.89</v>
      </c>
    </row>
    <row r="38" spans="1:8" x14ac:dyDescent="0.25">
      <c r="D38" s="2"/>
      <c r="E38" s="2"/>
      <c r="F38" s="2"/>
      <c r="G38" s="2"/>
      <c r="H38" s="2"/>
    </row>
    <row r="39" spans="1:8" x14ac:dyDescent="0.25">
      <c r="A39" s="1"/>
      <c r="B39" s="1"/>
      <c r="C39" s="1"/>
      <c r="D39" s="3">
        <f>SUM(D4:D37)</f>
        <v>16250</v>
      </c>
      <c r="E39" s="3">
        <f>SUM(E4:E37)</f>
        <v>0</v>
      </c>
      <c r="F39" s="3">
        <f>SUM(F4:F37)</f>
        <v>612072.47000000009</v>
      </c>
      <c r="G39" s="3"/>
      <c r="H39" s="3">
        <f>SUM(H4:H37)</f>
        <v>613647.47000000009</v>
      </c>
    </row>
  </sheetData>
  <mergeCells count="2">
    <mergeCell ref="A2:D2"/>
    <mergeCell ref="E2:H2"/>
  </mergeCells>
  <pageMargins left="0.7" right="0.2" top="0.75" bottom="0.75" header="0.3" footer="0.3"/>
  <pageSetup scale="85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E847-193C-4B08-858D-3088E4002450}">
  <sheetPr>
    <pageSetUpPr fitToPage="1"/>
  </sheetPr>
  <dimension ref="A1:F20"/>
  <sheetViews>
    <sheetView workbookViewId="0">
      <selection activeCell="H3" sqref="H3"/>
    </sheetView>
  </sheetViews>
  <sheetFormatPr defaultRowHeight="15" x14ac:dyDescent="0.25"/>
  <cols>
    <col min="1" max="1" width="13.42578125" customWidth="1"/>
    <col min="2" max="2" width="15.42578125" customWidth="1"/>
    <col min="3" max="3" width="21" customWidth="1"/>
    <col min="4" max="4" width="2.28515625" customWidth="1"/>
    <col min="5" max="5" width="18.5703125" customWidth="1"/>
    <col min="6" max="6" width="15.140625" customWidth="1"/>
  </cols>
  <sheetData>
    <row r="1" spans="1:6" ht="24.95" customHeight="1" x14ac:dyDescent="0.25">
      <c r="A1" t="s">
        <v>136</v>
      </c>
      <c r="D1" s="4"/>
      <c r="F1" s="4">
        <v>45895.999988425923</v>
      </c>
    </row>
    <row r="2" spans="1:6" ht="24.95" customHeight="1" x14ac:dyDescent="0.25">
      <c r="A2" s="9" t="s">
        <v>0</v>
      </c>
      <c r="B2" s="10"/>
      <c r="C2" s="10"/>
      <c r="D2" s="11" t="s">
        <v>111</v>
      </c>
      <c r="E2" s="10"/>
      <c r="F2" s="10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46</v>
      </c>
      <c r="B4" t="s">
        <v>47</v>
      </c>
      <c r="C4" t="s">
        <v>48</v>
      </c>
      <c r="E4" t="s">
        <v>49</v>
      </c>
    </row>
    <row r="5" spans="1:6" ht="24.95" customHeight="1" x14ac:dyDescent="0.25">
      <c r="A5" t="s">
        <v>90</v>
      </c>
      <c r="B5" t="s">
        <v>47</v>
      </c>
      <c r="C5" t="s">
        <v>91</v>
      </c>
      <c r="E5" t="s">
        <v>92</v>
      </c>
    </row>
    <row r="6" spans="1:6" ht="24.95" customHeight="1" x14ac:dyDescent="0.25">
      <c r="A6" s="1"/>
      <c r="B6" s="1"/>
      <c r="C6" s="1" t="s">
        <v>112</v>
      </c>
      <c r="D6" s="1"/>
      <c r="E6" s="1"/>
      <c r="F6" s="1"/>
    </row>
    <row r="7" spans="1:6" ht="24.95" customHeight="1" x14ac:dyDescent="0.25"/>
    <row r="11" spans="1:6" x14ac:dyDescent="0.25">
      <c r="A11" t="s">
        <v>133</v>
      </c>
      <c r="B11" s="8"/>
      <c r="C11" s="8"/>
      <c r="D11" s="8"/>
      <c r="E11" s="8"/>
    </row>
    <row r="16" spans="1:6" x14ac:dyDescent="0.25">
      <c r="A16" t="s">
        <v>134</v>
      </c>
      <c r="B16" s="8"/>
      <c r="C16" s="8"/>
      <c r="D16" s="8"/>
      <c r="E16" s="8"/>
    </row>
    <row r="20" spans="1:2" x14ac:dyDescent="0.25">
      <c r="A20" t="s">
        <v>135</v>
      </c>
      <c r="B20" s="8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2025-08-26T19:33:03Z</cp:lastPrinted>
  <dcterms:created xsi:type="dcterms:W3CDTF">2025-08-26T18:50:14Z</dcterms:created>
  <dcterms:modified xsi:type="dcterms:W3CDTF">2025-08-27T11:47:21Z</dcterms:modified>
</cp:coreProperties>
</file>