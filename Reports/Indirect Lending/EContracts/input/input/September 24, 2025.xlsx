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0BE556CC-2B85-4571-ABD5-77876B3788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F31" i="1"/>
  <c r="F28" i="1"/>
  <c r="F19" i="1"/>
  <c r="F12" i="1"/>
  <c r="F9" i="1"/>
  <c r="H36" i="1"/>
  <c r="E36" i="1"/>
  <c r="D36" i="1"/>
  <c r="C36" i="1"/>
</calcChain>
</file>

<file path=xl/sharedStrings.xml><?xml version="1.0" encoding="utf-8"?>
<sst xmlns="http://schemas.openxmlformats.org/spreadsheetml/2006/main" count="262" uniqueCount="129">
  <si>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</si>
  <si>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</si>
  <si>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</si>
  <si>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</si>
  <si>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</si>
  <si>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</si>
  <si>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</si>
  <si>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</si>
  <si>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</si>
  <si>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</si>
  <si>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</si>
  <si>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Neli Oliveira</t>
  </si>
  <si>
    <t>Battles Nissan, LLC</t>
  </si>
  <si>
    <t>Marlene Braganca</t>
  </si>
  <si>
    <t>Bourne Enterprises Inc</t>
  </si>
  <si>
    <t>Grieco Toyota</t>
  </si>
  <si>
    <t>Langway Toyota of Newport</t>
  </si>
  <si>
    <t>NARSA AMC LLC d/b/a</t>
  </si>
  <si>
    <t>Patriot Auto Group Inc d/b/a</t>
  </si>
  <si>
    <t>Paul Masse Chevrolet South Inc</t>
  </si>
  <si>
    <t>Planet Automotive Sales LLC</t>
  </si>
  <si>
    <t>Rachel Gorham</t>
  </si>
  <si>
    <t>Salvadore Chrysler</t>
  </si>
  <si>
    <t>Sandy Motors, Inc</t>
  </si>
  <si>
    <t>T F Murphy Enterprises Inc</t>
  </si>
  <si>
    <t>Tasca Buick GMC</t>
  </si>
  <si>
    <t>Volvo of Tiverton</t>
  </si>
  <si>
    <t>Column1</t>
  </si>
  <si>
    <t>Column2</t>
  </si>
  <si>
    <t># 19</t>
  </si>
  <si>
    <t>REILLY</t>
  </si>
  <si>
    <t>JOHNRIORDAN2276@GMAIL.COM</t>
  </si>
  <si>
    <t>RIORDAN, JOHN</t>
  </si>
  <si>
    <t>Paper</t>
  </si>
  <si>
    <t>Route One</t>
  </si>
  <si>
    <t>151228155</t>
  </si>
  <si>
    <t>WALSH</t>
  </si>
  <si>
    <t>WATERS</t>
  </si>
  <si>
    <t>ADAM.ZANDONELLA@GMAIL.COM</t>
  </si>
  <si>
    <t>ZANDONELLA, JILLIAN</t>
  </si>
  <si>
    <t>ZANDONELLA, ADAM</t>
  </si>
  <si>
    <t>DealerTrack</t>
  </si>
  <si>
    <t>151228147</t>
  </si>
  <si>
    <t>CHAPMAN</t>
  </si>
  <si>
    <t>COLINMASCOLA@GMAIL.COM</t>
  </si>
  <si>
    <t>MASCOLA, COLIN</t>
  </si>
  <si>
    <t>151228121</t>
  </si>
  <si>
    <t>MONHAS</t>
  </si>
  <si>
    <t>BROSTUEND98@GMAIL.COM</t>
  </si>
  <si>
    <t>BROSTUEN, DIEGO</t>
  </si>
  <si>
    <t>151228113</t>
  </si>
  <si>
    <t>TUDOR</t>
  </si>
  <si>
    <t>MJOS79@MSN.COM</t>
  </si>
  <si>
    <t>OSULLIVAN, MATTHEW</t>
  </si>
  <si>
    <t>E Contract</t>
  </si>
  <si>
    <t>151228105E</t>
  </si>
  <si>
    <t>BERARD</t>
  </si>
  <si>
    <t>NICOLEMARTINO263@GMAIL.COM</t>
  </si>
  <si>
    <t>MARTINO, NICOLE</t>
  </si>
  <si>
    <t>151228098E</t>
  </si>
  <si>
    <t>SPIRLET</t>
  </si>
  <si>
    <t>tarashea70@comcast.net</t>
  </si>
  <si>
    <t>Spirlet-Johnson, Tara</t>
  </si>
  <si>
    <t>151228080E</t>
  </si>
  <si>
    <t>Estrella</t>
  </si>
  <si>
    <t>Rebelo</t>
  </si>
  <si>
    <t>aflorgoop@gmai.com</t>
  </si>
  <si>
    <t>pattymarco7905@gmail.com</t>
  </si>
  <si>
    <t>FLOR, MARCO</t>
  </si>
  <si>
    <t>FLOR, AMANDA</t>
  </si>
  <si>
    <t>151228072</t>
  </si>
  <si>
    <t>CONSECION</t>
  </si>
  <si>
    <t>RONALDMARTINEZINBOX@GMAIL.COM</t>
  </si>
  <si>
    <t>MARTINEZ, RONALD</t>
  </si>
  <si>
    <t>151228030</t>
  </si>
  <si>
    <t>RONAN</t>
  </si>
  <si>
    <t>j.lucchesse@hotmaIL.COM</t>
  </si>
  <si>
    <t>LUCCHESE, JOSEPH</t>
  </si>
  <si>
    <t>151228022E</t>
  </si>
  <si>
    <t>PROZINSKI</t>
  </si>
  <si>
    <t>SLEIN, PATRICK</t>
  </si>
  <si>
    <t>151228014E</t>
  </si>
  <si>
    <t>Santurri</t>
  </si>
  <si>
    <t>Bradley</t>
  </si>
  <si>
    <t>ITALYN7095@GMAIL.COM</t>
  </si>
  <si>
    <t>VHATOMICPUNK@GMAIL.COM</t>
  </si>
  <si>
    <t>AMARAL, CHRISTINE</t>
  </si>
  <si>
    <t>AMARAL, SCOTT</t>
  </si>
  <si>
    <t>151227991E</t>
  </si>
  <si>
    <t>BREININGER</t>
  </si>
  <si>
    <t>jaechmalian@yahoo.com</t>
  </si>
  <si>
    <t>ECHMALIAN, JOEL</t>
  </si>
  <si>
    <t>151227975E</t>
  </si>
  <si>
    <t>Carreiro</t>
  </si>
  <si>
    <t>ROSEN, ALICIA</t>
  </si>
  <si>
    <t>151227967E</t>
  </si>
  <si>
    <t>Simao</t>
  </si>
  <si>
    <t>DIAS, LOURDES</t>
  </si>
  <si>
    <t>151227959E</t>
  </si>
  <si>
    <t>AMENDOLARE</t>
  </si>
  <si>
    <t>JENNIFERRUSSELL623@YAHOO.COM</t>
  </si>
  <si>
    <t>RUSSELL, JENNIFER</t>
  </si>
  <si>
    <t>151227941E</t>
  </si>
  <si>
    <t>CRESPI, BRIEL</t>
  </si>
  <si>
    <t>151227933E</t>
  </si>
  <si>
    <t>Wright</t>
  </si>
  <si>
    <t>BRIANWHORF@GMAIL.COM</t>
  </si>
  <si>
    <t>WHORF, BRIAN</t>
  </si>
  <si>
    <t>151227917E</t>
  </si>
  <si>
    <t>WIGHT</t>
  </si>
  <si>
    <t>gary@garyslawncare.com</t>
  </si>
  <si>
    <t>WELLINGTON, GARY</t>
  </si>
  <si>
    <t>151227909E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</si>
  <si>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</si>
  <si>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</si>
  <si>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</si>
  <si>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</si>
  <si>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</si>
  <si>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</si>
  <si>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</si>
  <si>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</si>
  <si>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</si>
  <si>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</si>
  <si>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</si>
  <si>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</t>
  </si>
  <si>
    <t>Received BY____________________________________________________________________________</t>
  </si>
  <si>
    <t>Delivered By___________________________________________________________________________</t>
  </si>
  <si>
    <t># 6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</si>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</sst>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37D66A27-BC04-435C-B404-82C10A040ECA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36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B5D1955F-E464-4807-8345-B2787E9D76A9}" name="Column1" dataDxfId="23"/>
    <tableColumn id="8" xr3:uid="{381E47C2-10B5-45B8-8CC5-F03CDA485F46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F1781C-2005-433B-AB7D-381DBD7B35FD}" name="Table_13" displayName="Table_13" ref="A3:L23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75099D-2A88-4838-8059-E2972CAD9DE7}" name="Table_14" displayName="Table_14" ref="A3:E10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6"/>
  <sheetViews>
    <sheetView tabSelected="1" workbookViewId="0">
      <pane ySplit="3" topLeftCell="A19" activePane="bottomLeft" state="frozen"/>
      <selection pane="bottomLeft" activeCell="E35" sqref="E35"/>
    </sheetView>
  </sheetViews>
  <sheetFormatPr defaultRowHeight="15" x14ac:dyDescent="0.25"/>
  <cols>
    <col min="1" max="1" width="30" bestFit="1" customWidth="1"/>
    <col min="2" max="2" width="17.7109375" bestFit="1" customWidth="1"/>
    <col min="3" max="3" width="11.140625" bestFit="1" customWidth="1"/>
    <col min="4" max="4" width="19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45924</v>
      </c>
      <c r="E1" t="s">
        <v>2</v>
      </c>
      <c r="H1" s="4">
        <v>45924.999988425923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27</v>
      </c>
      <c r="G3" t="s">
        <v>28</v>
      </c>
      <c r="H3" t="s">
        <v>9</v>
      </c>
    </row>
    <row r="4" spans="1:8" x14ac:dyDescent="0.25">
      <c r="A4" t="s">
        <v>10</v>
      </c>
      <c r="B4" t="s">
        <v>11</v>
      </c>
      <c r="C4" s="2">
        <v>500</v>
      </c>
      <c r="D4" s="2">
        <v>0</v>
      </c>
      <c r="E4" s="2">
        <v>19262</v>
      </c>
      <c r="F4" s="2"/>
      <c r="G4" s="2"/>
      <c r="H4" s="2">
        <v>19337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750</v>
      </c>
      <c r="D6" s="2">
        <v>0</v>
      </c>
      <c r="E6" s="2">
        <v>26955.93</v>
      </c>
      <c r="F6" s="2"/>
      <c r="G6" s="2"/>
      <c r="H6" s="2">
        <v>27030.93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11</v>
      </c>
      <c r="C8" s="2">
        <v>650</v>
      </c>
      <c r="D8" s="2">
        <v>0</v>
      </c>
      <c r="E8" s="2">
        <v>24353.53</v>
      </c>
      <c r="F8" s="2"/>
      <c r="G8" s="2"/>
      <c r="H8" s="2">
        <v>24428.53</v>
      </c>
    </row>
    <row r="9" spans="1:8" x14ac:dyDescent="0.25">
      <c r="A9" t="s">
        <v>14</v>
      </c>
      <c r="B9" t="s">
        <v>11</v>
      </c>
      <c r="C9" s="2">
        <v>850</v>
      </c>
      <c r="D9" s="2">
        <v>0</v>
      </c>
      <c r="E9" s="2">
        <v>30877.74</v>
      </c>
      <c r="F9" s="2">
        <f>SUM(E8:E9)</f>
        <v>55231.270000000004</v>
      </c>
      <c r="G9" s="2"/>
      <c r="H9" s="2">
        <v>30952.74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13</v>
      </c>
      <c r="C11" s="2">
        <v>750</v>
      </c>
      <c r="D11" s="2">
        <v>0</v>
      </c>
      <c r="E11" s="2">
        <v>27903.81</v>
      </c>
      <c r="F11" s="2"/>
      <c r="G11" s="2"/>
      <c r="H11" s="2">
        <v>27978.81</v>
      </c>
    </row>
    <row r="12" spans="1:8" x14ac:dyDescent="0.25">
      <c r="A12" t="s">
        <v>15</v>
      </c>
      <c r="B12" t="s">
        <v>13</v>
      </c>
      <c r="C12" s="2">
        <v>950</v>
      </c>
      <c r="D12" s="2">
        <v>0</v>
      </c>
      <c r="E12" s="2">
        <v>35446.83</v>
      </c>
      <c r="F12" s="2">
        <f>SUM(E11:E12)</f>
        <v>63350.64</v>
      </c>
      <c r="G12" s="2"/>
      <c r="H12" s="2">
        <v>35521.83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11</v>
      </c>
      <c r="C14" s="2">
        <v>850</v>
      </c>
      <c r="D14" s="2">
        <v>0</v>
      </c>
      <c r="E14" s="2">
        <v>32160.81</v>
      </c>
      <c r="F14" s="2"/>
      <c r="G14" s="2"/>
      <c r="H14" s="2">
        <v>32235.81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13</v>
      </c>
      <c r="C16" s="2">
        <v>650</v>
      </c>
      <c r="D16" s="2">
        <v>0</v>
      </c>
      <c r="E16" s="2">
        <v>20315.939999999999</v>
      </c>
      <c r="F16" s="2"/>
      <c r="G16" s="2"/>
      <c r="H16" s="2">
        <v>20390.939999999999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18</v>
      </c>
      <c r="B18" t="s">
        <v>13</v>
      </c>
      <c r="C18" s="2">
        <v>650</v>
      </c>
      <c r="D18" s="2">
        <v>0</v>
      </c>
      <c r="E18" s="2">
        <v>21822.69</v>
      </c>
      <c r="F18" s="2"/>
      <c r="G18" s="2"/>
      <c r="H18" s="2">
        <v>21897.69</v>
      </c>
    </row>
    <row r="19" spans="1:8" x14ac:dyDescent="0.25">
      <c r="A19" t="s">
        <v>18</v>
      </c>
      <c r="B19" t="s">
        <v>13</v>
      </c>
      <c r="C19" s="2">
        <v>750</v>
      </c>
      <c r="D19" s="2">
        <v>0</v>
      </c>
      <c r="E19" s="2">
        <v>25358.880000000001</v>
      </c>
      <c r="F19" s="2">
        <f>SUM(E18:E19)</f>
        <v>47181.57</v>
      </c>
      <c r="G19" s="2"/>
      <c r="H19" s="2">
        <v>25433.88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19</v>
      </c>
      <c r="B21" t="s">
        <v>13</v>
      </c>
      <c r="C21" s="2">
        <v>1150</v>
      </c>
      <c r="D21" s="2">
        <v>0</v>
      </c>
      <c r="E21" s="2">
        <v>44925</v>
      </c>
      <c r="F21" s="2"/>
      <c r="G21" s="2"/>
      <c r="H21" s="2">
        <v>45000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21</v>
      </c>
      <c r="C23" s="2">
        <v>1150</v>
      </c>
      <c r="D23" s="2">
        <v>0</v>
      </c>
      <c r="E23" s="2">
        <v>49810.63</v>
      </c>
      <c r="F23" s="2"/>
      <c r="G23" s="2"/>
      <c r="H23" s="2">
        <v>49885.63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22</v>
      </c>
      <c r="B25" t="s">
        <v>11</v>
      </c>
      <c r="C25" s="2">
        <v>850</v>
      </c>
      <c r="D25" s="2">
        <v>0</v>
      </c>
      <c r="E25" s="2">
        <v>33675.72</v>
      </c>
      <c r="F25" s="2"/>
      <c r="G25" s="2"/>
      <c r="H25" s="2">
        <v>33750.720000000001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23</v>
      </c>
      <c r="B27" t="s">
        <v>13</v>
      </c>
      <c r="C27" s="2">
        <v>650</v>
      </c>
      <c r="D27" s="2">
        <v>0</v>
      </c>
      <c r="E27" s="2">
        <v>23999.93</v>
      </c>
      <c r="F27" s="2"/>
      <c r="G27" s="2"/>
      <c r="H27" s="2">
        <v>24074.93</v>
      </c>
    </row>
    <row r="28" spans="1:8" x14ac:dyDescent="0.25">
      <c r="A28" t="s">
        <v>23</v>
      </c>
      <c r="B28" t="s">
        <v>21</v>
      </c>
      <c r="C28" s="2">
        <v>650</v>
      </c>
      <c r="D28" s="2">
        <v>0</v>
      </c>
      <c r="E28" s="2">
        <v>21824.93</v>
      </c>
      <c r="F28" s="2">
        <f>SUM(E27:E28)</f>
        <v>45824.86</v>
      </c>
      <c r="G28" s="2"/>
      <c r="H28" s="2">
        <v>21899.93</v>
      </c>
    </row>
    <row r="29" spans="1:8" x14ac:dyDescent="0.25">
      <c r="C29" s="2"/>
      <c r="D29" s="2"/>
      <c r="E29" s="2"/>
      <c r="F29" s="2"/>
      <c r="G29" s="2"/>
      <c r="H29" s="2"/>
    </row>
    <row r="30" spans="1:8" x14ac:dyDescent="0.25">
      <c r="A30" t="s">
        <v>24</v>
      </c>
      <c r="B30" t="s">
        <v>21</v>
      </c>
      <c r="C30" s="2">
        <v>1350</v>
      </c>
      <c r="D30" s="2">
        <v>0</v>
      </c>
      <c r="E30" s="2">
        <v>50420.93</v>
      </c>
      <c r="F30" s="2"/>
      <c r="G30" s="2"/>
      <c r="H30" s="2">
        <v>50495.93</v>
      </c>
    </row>
    <row r="31" spans="1:8" x14ac:dyDescent="0.25">
      <c r="A31" t="s">
        <v>24</v>
      </c>
      <c r="B31" t="s">
        <v>11</v>
      </c>
      <c r="C31" s="2">
        <v>1350</v>
      </c>
      <c r="D31" s="2">
        <v>0</v>
      </c>
      <c r="E31" s="2">
        <v>51204.38</v>
      </c>
      <c r="F31" s="2">
        <f>SUM(E30:E31)</f>
        <v>101625.31</v>
      </c>
      <c r="G31" s="2"/>
      <c r="H31" s="2">
        <v>51279.38</v>
      </c>
    </row>
    <row r="32" spans="1:8" x14ac:dyDescent="0.25">
      <c r="C32" s="2"/>
      <c r="D32" s="2"/>
      <c r="E32" s="2"/>
      <c r="F32" s="2"/>
      <c r="G32" s="2"/>
      <c r="H32" s="2"/>
    </row>
    <row r="33" spans="1:8" x14ac:dyDescent="0.25">
      <c r="A33" t="s">
        <v>25</v>
      </c>
      <c r="B33" t="s">
        <v>11</v>
      </c>
      <c r="C33" s="2">
        <v>750</v>
      </c>
      <c r="D33" s="2">
        <v>0</v>
      </c>
      <c r="E33" s="2">
        <v>29706.33</v>
      </c>
      <c r="F33" s="2"/>
      <c r="G33" s="2"/>
      <c r="H33" s="2">
        <v>29781.33</v>
      </c>
    </row>
    <row r="34" spans="1:8" x14ac:dyDescent="0.25">
      <c r="C34" s="2"/>
      <c r="D34" s="2"/>
      <c r="E34" s="2"/>
      <c r="F34" s="2"/>
      <c r="G34" s="2"/>
      <c r="H34" s="2"/>
    </row>
    <row r="35" spans="1:8" x14ac:dyDescent="0.25">
      <c r="A35" t="s">
        <v>26</v>
      </c>
      <c r="B35" t="s">
        <v>21</v>
      </c>
      <c r="C35" s="2">
        <v>850</v>
      </c>
      <c r="D35" s="2">
        <v>0</v>
      </c>
      <c r="E35" s="2">
        <v>30463.5</v>
      </c>
      <c r="F35" s="2"/>
      <c r="G35" s="2"/>
      <c r="H35" s="2">
        <v>30538.5</v>
      </c>
    </row>
    <row r="36" spans="1:8" x14ac:dyDescent="0.25">
      <c r="A36" s="1"/>
      <c r="B36" s="1"/>
      <c r="C36" s="3">
        <f>SUM(C4:C35)</f>
        <v>16100</v>
      </c>
      <c r="D36" s="3">
        <f>SUM(D4:D35)</f>
        <v>0</v>
      </c>
      <c r="E36" s="3">
        <f>SUM(E4:E35)</f>
        <v>600489.50999999989</v>
      </c>
      <c r="F36" s="3"/>
      <c r="G36" s="3"/>
      <c r="H36" s="3">
        <f>SUM(H4:H35)</f>
        <v>601914.50999999989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346F-6A0C-406E-8A03-3CBD1AB376F0}">
  <sheetPr>
    <pageSetUpPr fitToPage="1"/>
  </sheetPr>
  <dimension ref="A1:L25"/>
  <sheetViews>
    <sheetView workbookViewId="0">
      <pane ySplit="3" topLeftCell="A12" activePane="bottomLeft" state="frozen"/>
      <selection pane="bottomLeft" activeCell="A22" sqref="A4:A22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2" style="8" bestFit="1" customWidth="1"/>
    <col min="5" max="5" width="21" style="8" bestFit="1" customWidth="1"/>
    <col min="6" max="6" width="30" style="8" bestFit="1" customWidth="1"/>
    <col min="7" max="7" width="17.7109375" style="8" bestFit="1" customWidth="1"/>
    <col min="8" max="8" width="17.140625" style="8" bestFit="1" customWidth="1"/>
    <col min="9" max="9" width="36.7109375" style="8" bestFit="1" customWidth="1"/>
    <col min="10" max="10" width="32.28515625" style="8" bestFit="1" customWidth="1"/>
    <col min="11" max="11" width="19.8554687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45924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123</v>
      </c>
      <c r="H2" s="12"/>
      <c r="I2" s="12"/>
      <c r="J2" s="12"/>
      <c r="K2" s="12"/>
      <c r="L2" s="12"/>
    </row>
    <row r="3" spans="1:12" ht="35.1" customHeight="1" x14ac:dyDescent="0.25">
      <c r="A3" s="9" t="s">
        <v>122</v>
      </c>
      <c r="B3" s="9" t="s">
        <v>121</v>
      </c>
      <c r="C3" s="9" t="s">
        <v>120</v>
      </c>
      <c r="D3" s="9" t="s">
        <v>119</v>
      </c>
      <c r="E3" s="9" t="s">
        <v>118</v>
      </c>
      <c r="F3" s="9" t="s">
        <v>4</v>
      </c>
      <c r="G3" s="9" t="s">
        <v>5</v>
      </c>
      <c r="H3" s="9" t="s">
        <v>117</v>
      </c>
      <c r="I3" s="9" t="s">
        <v>116</v>
      </c>
      <c r="J3" s="9" t="s">
        <v>115</v>
      </c>
      <c r="K3" s="9" t="s">
        <v>114</v>
      </c>
      <c r="L3" s="9" t="s">
        <v>113</v>
      </c>
    </row>
    <row r="4" spans="1:12" ht="35.1" customHeight="1" x14ac:dyDescent="0.25">
      <c r="A4" s="9" t="s">
        <v>112</v>
      </c>
      <c r="B4" s="9" t="s">
        <v>34</v>
      </c>
      <c r="C4" s="9" t="s">
        <v>54</v>
      </c>
      <c r="D4" s="9" t="s">
        <v>111</v>
      </c>
      <c r="E4" s="9"/>
      <c r="F4" s="9" t="s">
        <v>18</v>
      </c>
      <c r="G4" s="9" t="s">
        <v>13</v>
      </c>
      <c r="H4" s="14">
        <v>25433.88</v>
      </c>
      <c r="I4" s="9" t="s">
        <v>110</v>
      </c>
      <c r="J4" s="9"/>
      <c r="K4" s="9" t="s">
        <v>109</v>
      </c>
      <c r="L4" s="9"/>
    </row>
    <row r="5" spans="1:12" ht="35.1" customHeight="1" x14ac:dyDescent="0.25">
      <c r="A5" s="9" t="s">
        <v>108</v>
      </c>
      <c r="B5" s="9" t="s">
        <v>41</v>
      </c>
      <c r="C5" s="9" t="s">
        <v>54</v>
      </c>
      <c r="D5" s="9" t="s">
        <v>107</v>
      </c>
      <c r="E5" s="9"/>
      <c r="F5" s="9" t="s">
        <v>12</v>
      </c>
      <c r="G5" s="9" t="s">
        <v>13</v>
      </c>
      <c r="H5" s="14">
        <v>27030.93</v>
      </c>
      <c r="I5" s="9" t="s">
        <v>106</v>
      </c>
      <c r="J5" s="9"/>
      <c r="K5" s="9" t="s">
        <v>105</v>
      </c>
      <c r="L5" s="9"/>
    </row>
    <row r="6" spans="1:12" ht="35.1" customHeight="1" x14ac:dyDescent="0.25">
      <c r="A6" s="9" t="s">
        <v>104</v>
      </c>
      <c r="B6" s="9" t="s">
        <v>34</v>
      </c>
      <c r="C6" s="9" t="s">
        <v>54</v>
      </c>
      <c r="D6" s="9" t="s">
        <v>103</v>
      </c>
      <c r="E6" s="9"/>
      <c r="F6" s="9" t="s">
        <v>24</v>
      </c>
      <c r="G6" s="9" t="s">
        <v>11</v>
      </c>
      <c r="H6" s="14">
        <v>51279.38</v>
      </c>
      <c r="I6" s="9"/>
      <c r="J6" s="9"/>
      <c r="K6" s="9"/>
      <c r="L6" s="9"/>
    </row>
    <row r="7" spans="1:12" ht="35.1" customHeight="1" x14ac:dyDescent="0.25">
      <c r="A7" s="9" t="s">
        <v>102</v>
      </c>
      <c r="B7" s="9" t="s">
        <v>41</v>
      </c>
      <c r="C7" s="9" t="s">
        <v>54</v>
      </c>
      <c r="D7" s="9" t="s">
        <v>101</v>
      </c>
      <c r="E7" s="9"/>
      <c r="F7" s="9" t="s">
        <v>14</v>
      </c>
      <c r="G7" s="9" t="s">
        <v>11</v>
      </c>
      <c r="H7" s="14">
        <v>24428.53</v>
      </c>
      <c r="I7" s="9" t="s">
        <v>100</v>
      </c>
      <c r="J7" s="9"/>
      <c r="K7" s="9" t="s">
        <v>99</v>
      </c>
      <c r="L7" s="9"/>
    </row>
    <row r="8" spans="1:12" ht="35.1" customHeight="1" x14ac:dyDescent="0.25">
      <c r="A8" s="9" t="s">
        <v>98</v>
      </c>
      <c r="B8" s="9" t="s">
        <v>34</v>
      </c>
      <c r="C8" s="9" t="s">
        <v>54</v>
      </c>
      <c r="D8" s="9" t="s">
        <v>97</v>
      </c>
      <c r="E8" s="9"/>
      <c r="F8" s="9" t="s">
        <v>15</v>
      </c>
      <c r="G8" s="9" t="s">
        <v>13</v>
      </c>
      <c r="H8" s="14">
        <v>35521.83</v>
      </c>
      <c r="I8" s="9"/>
      <c r="J8" s="9"/>
      <c r="K8" s="9" t="s">
        <v>96</v>
      </c>
      <c r="L8" s="9"/>
    </row>
    <row r="9" spans="1:12" ht="35.1" customHeight="1" x14ac:dyDescent="0.25">
      <c r="A9" s="9" t="s">
        <v>95</v>
      </c>
      <c r="B9" s="9" t="s">
        <v>34</v>
      </c>
      <c r="C9" s="9" t="s">
        <v>54</v>
      </c>
      <c r="D9" s="9" t="s">
        <v>94</v>
      </c>
      <c r="E9" s="9"/>
      <c r="F9" s="9" t="s">
        <v>15</v>
      </c>
      <c r="G9" s="9" t="s">
        <v>13</v>
      </c>
      <c r="H9" s="14">
        <v>27978.81</v>
      </c>
      <c r="I9" s="9"/>
      <c r="J9" s="9"/>
      <c r="K9" s="9" t="s">
        <v>93</v>
      </c>
      <c r="L9" s="9"/>
    </row>
    <row r="10" spans="1:12" ht="35.1" customHeight="1" x14ac:dyDescent="0.25">
      <c r="A10" s="9" t="s">
        <v>92</v>
      </c>
      <c r="B10" s="9" t="s">
        <v>34</v>
      </c>
      <c r="C10" s="9" t="s">
        <v>54</v>
      </c>
      <c r="D10" s="9" t="s">
        <v>91</v>
      </c>
      <c r="E10" s="9"/>
      <c r="F10" s="9" t="s">
        <v>18</v>
      </c>
      <c r="G10" s="9" t="s">
        <v>13</v>
      </c>
      <c r="H10" s="14">
        <v>21897.69</v>
      </c>
      <c r="I10" s="9" t="s">
        <v>90</v>
      </c>
      <c r="J10" s="9"/>
      <c r="K10" s="9" t="s">
        <v>89</v>
      </c>
      <c r="L10" s="9"/>
    </row>
    <row r="11" spans="1:12" ht="35.1" customHeight="1" x14ac:dyDescent="0.25">
      <c r="A11" s="9" t="s">
        <v>88</v>
      </c>
      <c r="B11" s="9" t="s">
        <v>34</v>
      </c>
      <c r="C11" s="9" t="s">
        <v>54</v>
      </c>
      <c r="D11" s="9" t="s">
        <v>87</v>
      </c>
      <c r="E11" s="9" t="s">
        <v>86</v>
      </c>
      <c r="F11" s="9" t="s">
        <v>19</v>
      </c>
      <c r="G11" s="9" t="s">
        <v>13</v>
      </c>
      <c r="H11" s="14">
        <v>45000</v>
      </c>
      <c r="I11" s="9" t="s">
        <v>85</v>
      </c>
      <c r="J11" s="9" t="s">
        <v>84</v>
      </c>
      <c r="K11" s="9" t="s">
        <v>83</v>
      </c>
      <c r="L11" s="9" t="s">
        <v>82</v>
      </c>
    </row>
    <row r="12" spans="1:12" ht="35.1" customHeight="1" x14ac:dyDescent="0.25">
      <c r="A12" s="9" t="s">
        <v>81</v>
      </c>
      <c r="B12" s="9" t="s">
        <v>34</v>
      </c>
      <c r="C12" s="9" t="s">
        <v>54</v>
      </c>
      <c r="D12" s="9" t="s">
        <v>80</v>
      </c>
      <c r="E12" s="9"/>
      <c r="F12" s="9" t="s">
        <v>16</v>
      </c>
      <c r="G12" s="9" t="s">
        <v>11</v>
      </c>
      <c r="H12" s="14">
        <v>32235.81</v>
      </c>
      <c r="I12" s="9"/>
      <c r="J12" s="9"/>
      <c r="K12" s="9" t="s">
        <v>79</v>
      </c>
      <c r="L12" s="9"/>
    </row>
    <row r="13" spans="1:12" ht="35.1" customHeight="1" x14ac:dyDescent="0.25">
      <c r="A13" s="9" t="s">
        <v>78</v>
      </c>
      <c r="B13" s="9" t="s">
        <v>34</v>
      </c>
      <c r="C13" s="9" t="s">
        <v>54</v>
      </c>
      <c r="D13" s="9" t="s">
        <v>77</v>
      </c>
      <c r="E13" s="9"/>
      <c r="F13" s="9" t="s">
        <v>22</v>
      </c>
      <c r="G13" s="9" t="s">
        <v>11</v>
      </c>
      <c r="H13" s="14">
        <v>33750.720000000001</v>
      </c>
      <c r="I13" s="9" t="s">
        <v>76</v>
      </c>
      <c r="J13" s="9"/>
      <c r="K13" s="9" t="s">
        <v>75</v>
      </c>
      <c r="L13" s="9"/>
    </row>
    <row r="14" spans="1:12" ht="35.1" customHeight="1" x14ac:dyDescent="0.25">
      <c r="A14" s="9" t="s">
        <v>74</v>
      </c>
      <c r="B14" s="9" t="s">
        <v>41</v>
      </c>
      <c r="C14" s="9" t="s">
        <v>33</v>
      </c>
      <c r="D14" s="9" t="s">
        <v>73</v>
      </c>
      <c r="E14" s="9"/>
      <c r="F14" s="9" t="s">
        <v>17</v>
      </c>
      <c r="G14" s="9" t="s">
        <v>13</v>
      </c>
      <c r="H14" s="14">
        <v>20390.939999999999</v>
      </c>
      <c r="I14" s="9" t="s">
        <v>72</v>
      </c>
      <c r="J14" s="9"/>
      <c r="K14" s="9" t="s">
        <v>71</v>
      </c>
      <c r="L14" s="9"/>
    </row>
    <row r="15" spans="1:12" ht="35.1" customHeight="1" x14ac:dyDescent="0.25">
      <c r="A15" s="9" t="s">
        <v>70</v>
      </c>
      <c r="B15" s="9" t="s">
        <v>41</v>
      </c>
      <c r="C15" s="9" t="s">
        <v>33</v>
      </c>
      <c r="D15" s="9" t="s">
        <v>69</v>
      </c>
      <c r="E15" s="9" t="s">
        <v>68</v>
      </c>
      <c r="F15" s="9" t="s">
        <v>23</v>
      </c>
      <c r="G15" s="9" t="s">
        <v>13</v>
      </c>
      <c r="H15" s="14">
        <v>24074.93</v>
      </c>
      <c r="I15" s="9" t="s">
        <v>67</v>
      </c>
      <c r="J15" s="9" t="s">
        <v>66</v>
      </c>
      <c r="K15" s="9" t="s">
        <v>65</v>
      </c>
      <c r="L15" s="9" t="s">
        <v>64</v>
      </c>
    </row>
    <row r="16" spans="1:12" ht="35.1" customHeight="1" x14ac:dyDescent="0.25">
      <c r="A16" s="9" t="s">
        <v>63</v>
      </c>
      <c r="B16" s="9" t="s">
        <v>34</v>
      </c>
      <c r="C16" s="9" t="s">
        <v>54</v>
      </c>
      <c r="D16" s="9" t="s">
        <v>62</v>
      </c>
      <c r="E16" s="9"/>
      <c r="F16" s="9" t="s">
        <v>10</v>
      </c>
      <c r="G16" s="9" t="s">
        <v>11</v>
      </c>
      <c r="H16" s="14">
        <v>19337</v>
      </c>
      <c r="I16" s="9" t="s">
        <v>61</v>
      </c>
      <c r="J16" s="9"/>
      <c r="K16" s="9" t="s">
        <v>60</v>
      </c>
      <c r="L16" s="9"/>
    </row>
    <row r="17" spans="1:12" ht="35.1" customHeight="1" x14ac:dyDescent="0.25">
      <c r="A17" s="9" t="s">
        <v>59</v>
      </c>
      <c r="B17" s="9" t="s">
        <v>34</v>
      </c>
      <c r="C17" s="9" t="s">
        <v>54</v>
      </c>
      <c r="D17" s="9" t="s">
        <v>58</v>
      </c>
      <c r="E17" s="9"/>
      <c r="F17" s="9" t="s">
        <v>25</v>
      </c>
      <c r="G17" s="9" t="s">
        <v>11</v>
      </c>
      <c r="H17" s="14">
        <v>29781.33</v>
      </c>
      <c r="I17" s="9" t="s">
        <v>57</v>
      </c>
      <c r="J17" s="9"/>
      <c r="K17" s="9" t="s">
        <v>56</v>
      </c>
      <c r="L17" s="9"/>
    </row>
    <row r="18" spans="1:12" ht="35.1" customHeight="1" x14ac:dyDescent="0.25">
      <c r="A18" s="9" t="s">
        <v>55</v>
      </c>
      <c r="B18" s="9" t="s">
        <v>41</v>
      </c>
      <c r="C18" s="9" t="s">
        <v>54</v>
      </c>
      <c r="D18" s="9" t="s">
        <v>53</v>
      </c>
      <c r="E18" s="9"/>
      <c r="F18" s="9" t="s">
        <v>14</v>
      </c>
      <c r="G18" s="9" t="s">
        <v>11</v>
      </c>
      <c r="H18" s="14">
        <v>30952.74</v>
      </c>
      <c r="I18" s="9" t="s">
        <v>52</v>
      </c>
      <c r="J18" s="9"/>
      <c r="K18" s="9" t="s">
        <v>51</v>
      </c>
      <c r="L18" s="9"/>
    </row>
    <row r="19" spans="1:12" ht="35.1" customHeight="1" x14ac:dyDescent="0.25">
      <c r="A19" s="9" t="s">
        <v>50</v>
      </c>
      <c r="B19" s="9" t="s">
        <v>41</v>
      </c>
      <c r="C19" s="9" t="s">
        <v>33</v>
      </c>
      <c r="D19" s="9" t="s">
        <v>49</v>
      </c>
      <c r="E19" s="9"/>
      <c r="F19" s="9" t="s">
        <v>26</v>
      </c>
      <c r="G19" s="9" t="s">
        <v>21</v>
      </c>
      <c r="H19" s="14">
        <v>30538.5</v>
      </c>
      <c r="I19" s="9" t="s">
        <v>48</v>
      </c>
      <c r="J19" s="9"/>
      <c r="K19" s="9" t="s">
        <v>47</v>
      </c>
      <c r="L19" s="9"/>
    </row>
    <row r="20" spans="1:12" ht="35.1" customHeight="1" x14ac:dyDescent="0.25">
      <c r="A20" s="9" t="s">
        <v>46</v>
      </c>
      <c r="B20" s="9" t="s">
        <v>41</v>
      </c>
      <c r="C20" s="9" t="s">
        <v>33</v>
      </c>
      <c r="D20" s="9" t="s">
        <v>45</v>
      </c>
      <c r="E20" s="9"/>
      <c r="F20" s="9" t="s">
        <v>23</v>
      </c>
      <c r="G20" s="9" t="s">
        <v>21</v>
      </c>
      <c r="H20" s="14">
        <v>21899.93</v>
      </c>
      <c r="I20" s="9" t="s">
        <v>44</v>
      </c>
      <c r="J20" s="9"/>
      <c r="K20" s="9" t="s">
        <v>43</v>
      </c>
      <c r="L20" s="9"/>
    </row>
    <row r="21" spans="1:12" ht="35.1" customHeight="1" x14ac:dyDescent="0.25">
      <c r="A21" s="9" t="s">
        <v>42</v>
      </c>
      <c r="B21" s="9" t="s">
        <v>41</v>
      </c>
      <c r="C21" s="9" t="s">
        <v>33</v>
      </c>
      <c r="D21" s="9" t="s">
        <v>40</v>
      </c>
      <c r="E21" s="9" t="s">
        <v>39</v>
      </c>
      <c r="F21" s="9" t="s">
        <v>20</v>
      </c>
      <c r="G21" s="9" t="s">
        <v>21</v>
      </c>
      <c r="H21" s="14">
        <v>49885.63</v>
      </c>
      <c r="I21" s="9" t="s">
        <v>38</v>
      </c>
      <c r="J21" s="9" t="s">
        <v>38</v>
      </c>
      <c r="K21" s="9" t="s">
        <v>37</v>
      </c>
      <c r="L21" s="9" t="s">
        <v>36</v>
      </c>
    </row>
    <row r="22" spans="1:12" ht="35.1" customHeight="1" x14ac:dyDescent="0.25">
      <c r="A22" s="9" t="s">
        <v>35</v>
      </c>
      <c r="B22" s="9" t="s">
        <v>34</v>
      </c>
      <c r="C22" s="9" t="s">
        <v>33</v>
      </c>
      <c r="D22" s="9" t="s">
        <v>32</v>
      </c>
      <c r="E22" s="9"/>
      <c r="F22" s="9" t="s">
        <v>24</v>
      </c>
      <c r="G22" s="9" t="s">
        <v>21</v>
      </c>
      <c r="H22" s="14">
        <v>50495.93</v>
      </c>
      <c r="I22" s="9" t="s">
        <v>31</v>
      </c>
      <c r="J22" s="9"/>
      <c r="K22" s="9" t="s">
        <v>30</v>
      </c>
      <c r="L22" s="9"/>
    </row>
    <row r="23" spans="1:12" ht="35.1" customHeight="1" x14ac:dyDescent="0.25">
      <c r="A23" s="15"/>
      <c r="B23" s="15"/>
      <c r="C23" s="15"/>
      <c r="D23" s="15" t="s">
        <v>29</v>
      </c>
      <c r="E23" s="15"/>
      <c r="F23" s="15"/>
      <c r="G23" s="15"/>
      <c r="H23" s="16">
        <f>SUM(H4:H22)</f>
        <v>601914.51</v>
      </c>
      <c r="I23" s="15"/>
      <c r="J23" s="15"/>
      <c r="K23" s="15"/>
      <c r="L23" s="15"/>
    </row>
    <row r="24" spans="1:12" ht="35.1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3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871D-AE6C-4202-B27E-A26EEC0CFFF6}">
  <sheetPr>
    <pageSetUpPr fitToPage="1"/>
  </sheetPr>
  <dimension ref="A1:E29"/>
  <sheetViews>
    <sheetView workbookViewId="0">
      <pane ySplit="3" topLeftCell="A4" activePane="bottomLeft" state="frozen"/>
      <selection pane="bottomLeft" activeCell="D18" sqref="D18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2" style="8" bestFit="1" customWidth="1"/>
    <col min="4" max="4" width="21" style="8" bestFit="1" customWidth="1"/>
    <col min="5" max="5" width="30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45924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128</v>
      </c>
      <c r="E2" s="12"/>
    </row>
    <row r="3" spans="1:5" x14ac:dyDescent="0.25">
      <c r="A3" s="9" t="s">
        <v>122</v>
      </c>
      <c r="B3" s="9" t="s">
        <v>120</v>
      </c>
      <c r="C3" s="9" t="s">
        <v>119</v>
      </c>
      <c r="D3" s="9" t="s">
        <v>118</v>
      </c>
      <c r="E3" s="9" t="s">
        <v>4</v>
      </c>
    </row>
    <row r="4" spans="1:5" x14ac:dyDescent="0.25">
      <c r="A4" s="9" t="s">
        <v>74</v>
      </c>
      <c r="B4" s="9" t="s">
        <v>33</v>
      </c>
      <c r="C4" s="9" t="s">
        <v>73</v>
      </c>
      <c r="D4" s="9"/>
      <c r="E4" s="9" t="s">
        <v>17</v>
      </c>
    </row>
    <row r="5" spans="1:5" x14ac:dyDescent="0.25">
      <c r="A5" s="9" t="s">
        <v>70</v>
      </c>
      <c r="B5" s="9" t="s">
        <v>33</v>
      </c>
      <c r="C5" s="9" t="s">
        <v>69</v>
      </c>
      <c r="D5" s="9" t="s">
        <v>68</v>
      </c>
      <c r="E5" s="9" t="s">
        <v>23</v>
      </c>
    </row>
    <row r="6" spans="1:5" x14ac:dyDescent="0.25">
      <c r="A6" s="9" t="s">
        <v>50</v>
      </c>
      <c r="B6" s="9" t="s">
        <v>33</v>
      </c>
      <c r="C6" s="9" t="s">
        <v>49</v>
      </c>
      <c r="D6" s="9"/>
      <c r="E6" s="9" t="s">
        <v>26</v>
      </c>
    </row>
    <row r="7" spans="1:5" x14ac:dyDescent="0.25">
      <c r="A7" s="9" t="s">
        <v>46</v>
      </c>
      <c r="B7" s="9" t="s">
        <v>33</v>
      </c>
      <c r="C7" s="9" t="s">
        <v>45</v>
      </c>
      <c r="D7" s="9"/>
      <c r="E7" s="9" t="s">
        <v>23</v>
      </c>
    </row>
    <row r="8" spans="1:5" x14ac:dyDescent="0.25">
      <c r="A8" s="9" t="s">
        <v>42</v>
      </c>
      <c r="B8" s="9" t="s">
        <v>33</v>
      </c>
      <c r="C8" s="9" t="s">
        <v>40</v>
      </c>
      <c r="D8" s="9" t="s">
        <v>39</v>
      </c>
      <c r="E8" s="9" t="s">
        <v>20</v>
      </c>
    </row>
    <row r="9" spans="1:5" x14ac:dyDescent="0.25">
      <c r="A9" s="9" t="s">
        <v>35</v>
      </c>
      <c r="B9" s="9" t="s">
        <v>33</v>
      </c>
      <c r="C9" s="9" t="s">
        <v>32</v>
      </c>
      <c r="D9" s="9"/>
      <c r="E9" s="9" t="s">
        <v>24</v>
      </c>
    </row>
    <row r="10" spans="1:5" x14ac:dyDescent="0.25">
      <c r="A10" s="15"/>
      <c r="B10" s="15"/>
      <c r="C10" s="15" t="s">
        <v>127</v>
      </c>
      <c r="D10" s="15"/>
      <c r="E10" s="15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126</v>
      </c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 t="s">
        <v>125</v>
      </c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 t="s">
        <v>124</v>
      </c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  <row r="27" spans="1:5" x14ac:dyDescent="0.25">
      <c r="A27" s="9"/>
      <c r="B27" s="9"/>
      <c r="C27" s="9"/>
      <c r="D27" s="9"/>
      <c r="E27" s="9"/>
    </row>
    <row r="28" spans="1:5" x14ac:dyDescent="0.25">
      <c r="A28" s="9"/>
      <c r="B28" s="9"/>
      <c r="C28" s="9"/>
      <c r="D28" s="9"/>
      <c r="E28" s="9"/>
    </row>
    <row r="29" spans="1:5" x14ac:dyDescent="0.25">
      <c r="A29" s="9"/>
      <c r="B29" s="9"/>
      <c r="C29" s="9"/>
      <c r="D29" s="9"/>
      <c r="E29" s="9"/>
    </row>
  </sheetData>
  <mergeCells count="2">
    <mergeCell ref="A2:C2"/>
    <mergeCell ref="D2:E2"/>
  </mergeCells>
  <pageMargins left="0.7" right="0.7" top="0.75" bottom="0.75" header="0.3" footer="0.3"/>
  <pageSetup scale="8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2025-09-24T18:11:04Z</cp:lastPrinted>
  <dcterms:created xsi:type="dcterms:W3CDTF">2025-09-24T18:04:07Z</dcterms:created>
  <dcterms:modified xsi:type="dcterms:W3CDTF">2025-09-24T18:35:57Z</dcterms:modified>
</cp:coreProperties>
</file>