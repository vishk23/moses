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J:\Alex\Funding Worksheets\"/>
    </mc:Choice>
  </mc:AlternateContent>
  <xr:revisionPtr revIDLastSave="0" documentId="8_{9EDD18E2-22E4-4609-957F-D03FBA2FEDF1}" xr6:coauthVersionLast="47" xr6:coauthVersionMax="47" xr10:uidLastSave="{00000000-0000-0000-0000-000000000000}"/>
  <bookViews>
    <workbookView xWindow="0" yWindow="600" windowWidth="29040" windowHeight="15600" xr2:uid="{00000000-000D-0000-FFFF-FFFF00000000}"/>
  </bookViews>
  <sheets>
    <sheet name="Funding Worksheet - Folder Ver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4" i="1" l="1"/>
</calcChain>
</file>

<file path=xl/sharedStrings.xml><?xml version="1.0" encoding="utf-8"?>
<sst xmlns="http://schemas.openxmlformats.org/spreadsheetml/2006/main" count="188" uniqueCount="129">
  <si>
    <t>Bristol County Savings Bank</t>
  </si>
  <si>
    <t>Funding Worksheet - Folder Version</t>
  </si>
  <si>
    <t>To</t>
  </si>
  <si>
    <t>From</t>
  </si>
  <si>
    <t>Account Number</t>
  </si>
  <si>
    <t>Portal</t>
  </si>
  <si>
    <t>Contract Type</t>
  </si>
  <si>
    <t>Applicant Name</t>
  </si>
  <si>
    <t>Co-Applicant Name</t>
  </si>
  <si>
    <t>Dealer Name</t>
  </si>
  <si>
    <t>Funded by</t>
  </si>
  <si>
    <t>Amount Financed</t>
  </si>
  <si>
    <t>Applicant Email</t>
  </si>
  <si>
    <t>Co-Applicant Email</t>
  </si>
  <si>
    <t>App MMN</t>
  </si>
  <si>
    <t>Co-App MMN</t>
  </si>
  <si>
    <t>Business Name</t>
  </si>
  <si>
    <t>151205939</t>
  </si>
  <si>
    <t>DealerTrack</t>
  </si>
  <si>
    <t>E Contract</t>
  </si>
  <si>
    <t>KEARNEY, DEIRDRE</t>
  </si>
  <si>
    <t>Planet Subaru</t>
  </si>
  <si>
    <t>Marlene Braganca</t>
  </si>
  <si>
    <t>deirdreckearney@gmail.com</t>
  </si>
  <si>
    <t>Seggelin</t>
  </si>
  <si>
    <t>151205963</t>
  </si>
  <si>
    <t>Route One</t>
  </si>
  <si>
    <t>Paper</t>
  </si>
  <si>
    <t>PASTNER, GERARD</t>
  </si>
  <si>
    <t>PASTNER, PATRICIA</t>
  </si>
  <si>
    <t>T F Murphy Enterprises Inc</t>
  </si>
  <si>
    <t>Neli Oliveira</t>
  </si>
  <si>
    <t>GPAS38@HOTMAIL.COM</t>
  </si>
  <si>
    <t>Broderick</t>
  </si>
  <si>
    <t>ROMAN</t>
  </si>
  <si>
    <t>151205989</t>
  </si>
  <si>
    <t>KHOUNVICHITH, TOMMY</t>
  </si>
  <si>
    <t>Grieco Toyota</t>
  </si>
  <si>
    <t>Khounvichith</t>
  </si>
  <si>
    <t>151206002</t>
  </si>
  <si>
    <t>ALLAIN, CLEMENT</t>
  </si>
  <si>
    <t>ALLAIN, DEBRA</t>
  </si>
  <si>
    <t>Colonial South Chevrolet</t>
  </si>
  <si>
    <t>COASTALDREAM17@GMAIL.COM</t>
  </si>
  <si>
    <t>Brodeur</t>
  </si>
  <si>
    <t>Acucena</t>
  </si>
  <si>
    <t>151206036</t>
  </si>
  <si>
    <t>PIKOR, JANE</t>
  </si>
  <si>
    <t>Patriot Auto Group Inc d/b/a</t>
  </si>
  <si>
    <t>janepikor@gmail.com</t>
  </si>
  <si>
    <t>VERVILLE</t>
  </si>
  <si>
    <t>151206052</t>
  </si>
  <si>
    <t>WHITCOMB, MARK</t>
  </si>
  <si>
    <t>Salvadore Chrysler</t>
  </si>
  <si>
    <t>mjwhitcomb@hotmail.com</t>
  </si>
  <si>
    <t>DAIGLE</t>
  </si>
  <si>
    <t>151206086</t>
  </si>
  <si>
    <t>SARMA, AMY</t>
  </si>
  <si>
    <t>PRITESH.J.MEHTA@GMAIL.COM</t>
  </si>
  <si>
    <t>PUDIPEDDI</t>
  </si>
  <si>
    <t>151206094</t>
  </si>
  <si>
    <t>CALDWELL SERIPAIS, ABIGAIL</t>
  </si>
  <si>
    <t>NARSA AMC LLC d/b/a</t>
  </si>
  <si>
    <t>Rachel Gorham</t>
  </si>
  <si>
    <t>ABBYPC@GMAIL.COM</t>
  </si>
  <si>
    <t>POWERS</t>
  </si>
  <si>
    <t>151206127</t>
  </si>
  <si>
    <t>CAPPELLO, CECELIA</t>
  </si>
  <si>
    <t>Planet Automotive Sales LLC</t>
  </si>
  <si>
    <t>CELIACAPPELLO@GMAIL.COM</t>
  </si>
  <si>
    <t>RANIERI</t>
  </si>
  <si>
    <t>151206143</t>
  </si>
  <si>
    <t>COUCCI, HILLARY</t>
  </si>
  <si>
    <t>Robertson's GMC Truck, Inc</t>
  </si>
  <si>
    <t>HILLARY625@GMAIL.COM</t>
  </si>
  <si>
    <t>DEGRATOLA</t>
  </si>
  <si>
    <t>151206169</t>
  </si>
  <si>
    <t>SAMUELS, MONTANA</t>
  </si>
  <si>
    <t>Volvo of Tiverton</t>
  </si>
  <si>
    <t>BYMONTANASAMUELS@GMAIL.COM</t>
  </si>
  <si>
    <t>SELLS</t>
  </si>
  <si>
    <t>151206185</t>
  </si>
  <si>
    <t>HALTON, JUSTIN</t>
  </si>
  <si>
    <t>HALTON, JESSICA</t>
  </si>
  <si>
    <t>JUSTIN.HALTON@GMAIL.COM</t>
  </si>
  <si>
    <t>JESSICA.HALTON@GMAIL.COM</t>
  </si>
  <si>
    <t>ROGERS</t>
  </si>
  <si>
    <t>DAVIS</t>
  </si>
  <si>
    <t>151206234</t>
  </si>
  <si>
    <t>DePree, David</t>
  </si>
  <si>
    <t>Hiller Co Inc</t>
  </si>
  <si>
    <t>daved@cathartes.com</t>
  </si>
  <si>
    <t>LUBBERS</t>
  </si>
  <si>
    <t>151206250</t>
  </si>
  <si>
    <t>SHAW, MORGAN</t>
  </si>
  <si>
    <t>morganmshaw15@gmail.com</t>
  </si>
  <si>
    <t>Curnow</t>
  </si>
  <si>
    <t>151206268</t>
  </si>
  <si>
    <t>OATLEY, SCOTT</t>
  </si>
  <si>
    <t>Paul Masse Buick GMC South, Inc</t>
  </si>
  <si>
    <t>soatley33@hotmail.com</t>
  </si>
  <si>
    <t>GOULD</t>
  </si>
  <si>
    <t>151206276</t>
  </si>
  <si>
    <t>TEMLAK, JULIE</t>
  </si>
  <si>
    <t>Grieco Enterprises, LLC d/b/a</t>
  </si>
  <si>
    <t>JLTIGER143@YAHOO.COM</t>
  </si>
  <si>
    <t>TEMLAK</t>
  </si>
  <si>
    <t>151206309</t>
  </si>
  <si>
    <t>LAFRANCE, ROBERT</t>
  </si>
  <si>
    <t>Mathieu Ford Sales, Inc</t>
  </si>
  <si>
    <t>LAFRANCE1526@GMAIL.COM</t>
  </si>
  <si>
    <t>SANGSTER</t>
  </si>
  <si>
    <t>151206341</t>
  </si>
  <si>
    <t>COLE, DEBRA</t>
  </si>
  <si>
    <t>COLE, LAWRENCE</t>
  </si>
  <si>
    <t>Mastria Kia</t>
  </si>
  <si>
    <t>DBLC95@COMCAST.NET</t>
  </si>
  <si>
    <t>MCINTIRE</t>
  </si>
  <si>
    <t>DUMONT</t>
  </si>
  <si>
    <t>151206375</t>
  </si>
  <si>
    <t>MONROY, MARGERY</t>
  </si>
  <si>
    <t>margerymaine@me.com</t>
  </si>
  <si>
    <t>WAGNER</t>
  </si>
  <si>
    <t>151206424</t>
  </si>
  <si>
    <t>MENDES, MONICA</t>
  </si>
  <si>
    <t>Coastal Volkswagon</t>
  </si>
  <si>
    <t>MONICAMENDES@LIVE.COM</t>
  </si>
  <si>
    <t>CARDOSO</t>
  </si>
  <si>
    <t># 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</si>
</sst>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7" formatCode="&quot;$&quot;#,##0.00_);\(&quot;$&quot;#,##0.00\)"/>
    <numFmt numFmtId="164" formatCode="[$-409]mmmm\ d\,\ yyyy;@"/>
  </numFmts>
  <fonts count="2" x14ac:knownFonts="1">
    <font>
      <sz val="11"/>
      <color indexed="8"/>
      <name val="Aptos Narrow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7" fontId="0" fillId="0" borderId="0" xfId="0" applyNumberFormat="1"/>
    <xf numFmtId="7" fontId="1" fillId="0" borderId="0" xfId="0" applyNumberFormat="1" applyFont="1"/>
    <xf numFmtId="164" fontId="0" fillId="0" borderId="0" xfId="0" applyNumberFormat="1" applyAlignment="1">
      <alignment horizontal="right"/>
    </xf>
    <xf numFmtId="0" fontId="1" fillId="0" borderId="0" xfId="0" applyFont="1" applyAlignment="1">
      <alignment horizontal="left"/>
    </xf>
    <xf numFmtId="0" fontId="0" fillId="0" borderId="0" xfId="0"/>
    <xf numFmtId="0" fontId="1" fillId="0" borderId="0" xfId="0" applyFon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_1" ref="A3:M24">
  <tableColumns count="13">
    <tableColumn id="1" xr3:uid="{00000000-0010-0000-0000-000001000000}" name="Account Number"/>
    <tableColumn id="2" xr3:uid="{00000000-0010-0000-0000-000002000000}" name="Portal"/>
    <tableColumn id="3" xr3:uid="{00000000-0010-0000-0000-000003000000}" name="Contract Type"/>
    <tableColumn id="4" xr3:uid="{00000000-0010-0000-0000-000004000000}" name="Applicant Name"/>
    <tableColumn id="5" xr3:uid="{00000000-0010-0000-0000-000005000000}" name="Co-Applicant Name"/>
    <tableColumn id="6" xr3:uid="{00000000-0010-0000-0000-000006000000}" name="Dealer Name"/>
    <tableColumn id="7" xr3:uid="{00000000-0010-0000-0000-000007000000}" name="Funded by"/>
    <tableColumn id="8" xr3:uid="{00000000-0010-0000-0000-000008000000}" name="Amount Financed"/>
    <tableColumn id="9" xr3:uid="{00000000-0010-0000-0000-000009000000}" name="Applicant Email"/>
    <tableColumn id="10" xr3:uid="{00000000-0010-0000-0000-00000A000000}" name="Co-Applicant Email"/>
    <tableColumn id="11" xr3:uid="{00000000-0010-0000-0000-00000B000000}" name="App MMN"/>
    <tableColumn id="12" xr3:uid="{00000000-0010-0000-0000-00000C000000}" name="Co-App MMN"/>
    <tableColumn id="13" xr3:uid="{00000000-0010-0000-0000-00000D000000}" name="Business Name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4"/>
  <sheetViews>
    <sheetView tabSelected="1" workbookViewId="0">
      <pane ySplit="3" topLeftCell="A4" activePane="bottomLeft" state="frozen"/>
      <selection pane="bottomLeft" activeCell="H29" sqref="H29"/>
    </sheetView>
  </sheetViews>
  <sheetFormatPr defaultRowHeight="15" x14ac:dyDescent="0.25"/>
  <cols>
    <col min="1" max="1" width="16.42578125" bestFit="1" customWidth="1"/>
    <col min="2" max="2" width="12.140625" bestFit="1" customWidth="1"/>
    <col min="3" max="3" width="14" bestFit="1" customWidth="1"/>
    <col min="4" max="4" width="28.28515625" bestFit="1" customWidth="1"/>
    <col min="5" max="5" width="19" bestFit="1" customWidth="1"/>
    <col min="6" max="6" width="31.5703125" bestFit="1" customWidth="1"/>
    <col min="7" max="7" width="17.7109375" bestFit="1" customWidth="1"/>
    <col min="8" max="8" width="17.140625" bestFit="1" customWidth="1"/>
    <col min="9" max="9" width="34" bestFit="1" customWidth="1"/>
    <col min="10" max="10" width="31.140625" bestFit="1" customWidth="1"/>
    <col min="11" max="11" width="13.140625" bestFit="1" customWidth="1"/>
    <col min="12" max="12" width="12.85546875" bestFit="1" customWidth="1"/>
    <col min="13" max="13" width="15.140625" bestFit="1" customWidth="1"/>
  </cols>
  <sheetData>
    <row r="1" spans="1:13" x14ac:dyDescent="0.25">
      <c r="J1" t="s">
        <v>3</v>
      </c>
      <c r="K1" s="4">
        <v>45863</v>
      </c>
      <c r="L1" t="s">
        <v>2</v>
      </c>
      <c r="M1" s="4">
        <v>45863.999988425923</v>
      </c>
    </row>
    <row r="2" spans="1:13" x14ac:dyDescent="0.25">
      <c r="A2" s="5" t="s">
        <v>0</v>
      </c>
      <c r="B2" s="6"/>
      <c r="C2" s="6"/>
      <c r="D2" s="6"/>
      <c r="E2" s="6"/>
      <c r="F2" s="6"/>
      <c r="G2" s="7" t="s">
        <v>1</v>
      </c>
      <c r="H2" s="6"/>
      <c r="I2" s="6"/>
      <c r="J2" s="6"/>
      <c r="K2" s="6"/>
      <c r="L2" s="6"/>
      <c r="M2" s="6"/>
    </row>
    <row r="3" spans="1:13" x14ac:dyDescent="0.25">
      <c r="A3" t="s">
        <v>4</v>
      </c>
      <c r="B3" t="s">
        <v>5</v>
      </c>
      <c r="C3" t="s">
        <v>6</v>
      </c>
      <c r="D3" t="s">
        <v>7</v>
      </c>
      <c r="E3" t="s">
        <v>8</v>
      </c>
      <c r="F3" t="s">
        <v>9</v>
      </c>
      <c r="G3" t="s">
        <v>10</v>
      </c>
      <c r="H3" t="s">
        <v>11</v>
      </c>
      <c r="I3" t="s">
        <v>12</v>
      </c>
      <c r="J3" t="s">
        <v>13</v>
      </c>
      <c r="K3" t="s">
        <v>14</v>
      </c>
      <c r="L3" t="s">
        <v>15</v>
      </c>
      <c r="M3" t="s">
        <v>16</v>
      </c>
    </row>
    <row r="4" spans="1:13" x14ac:dyDescent="0.25">
      <c r="A4" t="s">
        <v>17</v>
      </c>
      <c r="B4" t="s">
        <v>18</v>
      </c>
      <c r="C4" t="s">
        <v>19</v>
      </c>
      <c r="D4" t="s">
        <v>20</v>
      </c>
      <c r="F4" t="s">
        <v>21</v>
      </c>
      <c r="G4" t="s">
        <v>22</v>
      </c>
      <c r="H4" s="2">
        <v>14011</v>
      </c>
      <c r="I4" t="s">
        <v>23</v>
      </c>
      <c r="K4" t="s">
        <v>24</v>
      </c>
    </row>
    <row r="5" spans="1:13" x14ac:dyDescent="0.25">
      <c r="A5" t="s">
        <v>25</v>
      </c>
      <c r="B5" t="s">
        <v>26</v>
      </c>
      <c r="C5" t="s">
        <v>27</v>
      </c>
      <c r="D5" t="s">
        <v>28</v>
      </c>
      <c r="E5" t="s">
        <v>29</v>
      </c>
      <c r="F5" t="s">
        <v>30</v>
      </c>
      <c r="G5" t="s">
        <v>31</v>
      </c>
      <c r="H5" s="2">
        <v>31093.56</v>
      </c>
      <c r="I5" t="s">
        <v>32</v>
      </c>
      <c r="K5" t="s">
        <v>33</v>
      </c>
      <c r="L5" t="s">
        <v>34</v>
      </c>
    </row>
    <row r="6" spans="1:13" x14ac:dyDescent="0.25">
      <c r="A6" t="s">
        <v>35</v>
      </c>
      <c r="B6" t="s">
        <v>26</v>
      </c>
      <c r="C6" t="s">
        <v>19</v>
      </c>
      <c r="D6" t="s">
        <v>36</v>
      </c>
      <c r="F6" t="s">
        <v>37</v>
      </c>
      <c r="G6" t="s">
        <v>22</v>
      </c>
      <c r="H6" s="2">
        <v>35773.4</v>
      </c>
      <c r="K6" t="s">
        <v>38</v>
      </c>
    </row>
    <row r="7" spans="1:13" x14ac:dyDescent="0.25">
      <c r="A7" t="s">
        <v>39</v>
      </c>
      <c r="B7" t="s">
        <v>26</v>
      </c>
      <c r="C7" t="s">
        <v>19</v>
      </c>
      <c r="D7" t="s">
        <v>40</v>
      </c>
      <c r="E7" t="s">
        <v>41</v>
      </c>
      <c r="F7" t="s">
        <v>42</v>
      </c>
      <c r="G7" t="s">
        <v>22</v>
      </c>
      <c r="H7" s="2">
        <v>16419.75</v>
      </c>
      <c r="I7" t="s">
        <v>43</v>
      </c>
      <c r="J7" t="s">
        <v>43</v>
      </c>
      <c r="K7" t="s">
        <v>44</v>
      </c>
      <c r="L7" t="s">
        <v>45</v>
      </c>
    </row>
    <row r="8" spans="1:13" x14ac:dyDescent="0.25">
      <c r="A8" t="s">
        <v>46</v>
      </c>
      <c r="B8" t="s">
        <v>26</v>
      </c>
      <c r="C8" t="s">
        <v>19</v>
      </c>
      <c r="D8" t="s">
        <v>47</v>
      </c>
      <c r="F8" t="s">
        <v>48</v>
      </c>
      <c r="G8" t="s">
        <v>31</v>
      </c>
      <c r="H8" s="2">
        <v>28585.19</v>
      </c>
      <c r="I8" t="s">
        <v>49</v>
      </c>
      <c r="K8" t="s">
        <v>50</v>
      </c>
    </row>
    <row r="9" spans="1:13" x14ac:dyDescent="0.25">
      <c r="A9" t="s">
        <v>51</v>
      </c>
      <c r="B9" t="s">
        <v>26</v>
      </c>
      <c r="C9" t="s">
        <v>19</v>
      </c>
      <c r="D9" t="s">
        <v>52</v>
      </c>
      <c r="F9" t="s">
        <v>53</v>
      </c>
      <c r="G9" t="s">
        <v>31</v>
      </c>
      <c r="H9" s="2">
        <v>30634.14</v>
      </c>
      <c r="I9" t="s">
        <v>54</v>
      </c>
      <c r="K9" t="s">
        <v>55</v>
      </c>
    </row>
    <row r="10" spans="1:13" x14ac:dyDescent="0.25">
      <c r="A10" t="s">
        <v>56</v>
      </c>
      <c r="B10" t="s">
        <v>18</v>
      </c>
      <c r="C10" t="s">
        <v>19</v>
      </c>
      <c r="D10" t="s">
        <v>57</v>
      </c>
      <c r="F10" t="s">
        <v>21</v>
      </c>
      <c r="G10" t="s">
        <v>22</v>
      </c>
      <c r="H10" s="2">
        <v>26944.78</v>
      </c>
      <c r="I10" t="s">
        <v>58</v>
      </c>
      <c r="K10" t="s">
        <v>59</v>
      </c>
    </row>
    <row r="11" spans="1:13" x14ac:dyDescent="0.25">
      <c r="A11" t="s">
        <v>60</v>
      </c>
      <c r="B11" t="s">
        <v>18</v>
      </c>
      <c r="C11" t="s">
        <v>27</v>
      </c>
      <c r="D11" t="s">
        <v>61</v>
      </c>
      <c r="F11" t="s">
        <v>62</v>
      </c>
      <c r="G11" t="s">
        <v>63</v>
      </c>
      <c r="H11" s="2">
        <v>22478.44</v>
      </c>
      <c r="I11" t="s">
        <v>64</v>
      </c>
      <c r="K11" t="s">
        <v>65</v>
      </c>
    </row>
    <row r="12" spans="1:13" x14ac:dyDescent="0.25">
      <c r="A12" t="s">
        <v>66</v>
      </c>
      <c r="B12" t="s">
        <v>18</v>
      </c>
      <c r="C12" t="s">
        <v>27</v>
      </c>
      <c r="D12" t="s">
        <v>67</v>
      </c>
      <c r="F12" t="s">
        <v>68</v>
      </c>
      <c r="G12" t="s">
        <v>63</v>
      </c>
      <c r="H12" s="2">
        <v>28914.59</v>
      </c>
      <c r="I12" t="s">
        <v>69</v>
      </c>
      <c r="K12" t="s">
        <v>70</v>
      </c>
    </row>
    <row r="13" spans="1:13" x14ac:dyDescent="0.25">
      <c r="A13" t="s">
        <v>71</v>
      </c>
      <c r="B13" t="s">
        <v>18</v>
      </c>
      <c r="C13" t="s">
        <v>19</v>
      </c>
      <c r="D13" t="s">
        <v>72</v>
      </c>
      <c r="F13" t="s">
        <v>73</v>
      </c>
      <c r="G13" t="s">
        <v>63</v>
      </c>
      <c r="H13" s="2">
        <v>43852.06</v>
      </c>
      <c r="I13" t="s">
        <v>74</v>
      </c>
      <c r="K13" t="s">
        <v>75</v>
      </c>
    </row>
    <row r="14" spans="1:13" x14ac:dyDescent="0.25">
      <c r="A14" t="s">
        <v>76</v>
      </c>
      <c r="B14" t="s">
        <v>18</v>
      </c>
      <c r="C14" t="s">
        <v>27</v>
      </c>
      <c r="D14" t="s">
        <v>77</v>
      </c>
      <c r="F14" t="s">
        <v>78</v>
      </c>
      <c r="G14" t="s">
        <v>31</v>
      </c>
      <c r="H14" s="2">
        <v>25790.79</v>
      </c>
      <c r="I14" t="s">
        <v>79</v>
      </c>
      <c r="K14" t="s">
        <v>80</v>
      </c>
    </row>
    <row r="15" spans="1:13" x14ac:dyDescent="0.25">
      <c r="A15" t="s">
        <v>81</v>
      </c>
      <c r="B15" t="s">
        <v>18</v>
      </c>
      <c r="C15" t="s">
        <v>27</v>
      </c>
      <c r="D15" t="s">
        <v>82</v>
      </c>
      <c r="E15" t="s">
        <v>83</v>
      </c>
      <c r="F15" t="s">
        <v>68</v>
      </c>
      <c r="G15" t="s">
        <v>31</v>
      </c>
      <c r="H15" s="2">
        <v>36510.379999999997</v>
      </c>
      <c r="I15" t="s">
        <v>84</v>
      </c>
      <c r="J15" t="s">
        <v>85</v>
      </c>
      <c r="K15" t="s">
        <v>86</v>
      </c>
      <c r="L15" t="s">
        <v>87</v>
      </c>
    </row>
    <row r="16" spans="1:13" x14ac:dyDescent="0.25">
      <c r="A16" t="s">
        <v>88</v>
      </c>
      <c r="B16" t="s">
        <v>26</v>
      </c>
      <c r="C16" t="s">
        <v>19</v>
      </c>
      <c r="D16" t="s">
        <v>89</v>
      </c>
      <c r="F16" t="s">
        <v>90</v>
      </c>
      <c r="G16" t="s">
        <v>31</v>
      </c>
      <c r="H16" s="2">
        <v>39243.86</v>
      </c>
      <c r="I16" t="s">
        <v>91</v>
      </c>
      <c r="K16" t="s">
        <v>92</v>
      </c>
    </row>
    <row r="17" spans="1:13" x14ac:dyDescent="0.25">
      <c r="A17" t="s">
        <v>93</v>
      </c>
      <c r="B17" t="s">
        <v>26</v>
      </c>
      <c r="C17" t="s">
        <v>19</v>
      </c>
      <c r="D17" t="s">
        <v>94</v>
      </c>
      <c r="F17" t="s">
        <v>37</v>
      </c>
      <c r="G17" t="s">
        <v>22</v>
      </c>
      <c r="H17" s="2">
        <v>34650.83</v>
      </c>
      <c r="I17" t="s">
        <v>95</v>
      </c>
      <c r="K17" t="s">
        <v>96</v>
      </c>
    </row>
    <row r="18" spans="1:13" x14ac:dyDescent="0.25">
      <c r="A18" t="s">
        <v>97</v>
      </c>
      <c r="B18" t="s">
        <v>26</v>
      </c>
      <c r="C18" t="s">
        <v>19</v>
      </c>
      <c r="D18" t="s">
        <v>98</v>
      </c>
      <c r="F18" t="s">
        <v>99</v>
      </c>
      <c r="G18" t="s">
        <v>31</v>
      </c>
      <c r="H18" s="2">
        <v>40017.839999999997</v>
      </c>
      <c r="I18" t="s">
        <v>100</v>
      </c>
      <c r="K18" t="s">
        <v>101</v>
      </c>
    </row>
    <row r="19" spans="1:13" x14ac:dyDescent="0.25">
      <c r="A19" t="s">
        <v>102</v>
      </c>
      <c r="B19" t="s">
        <v>18</v>
      </c>
      <c r="C19" t="s">
        <v>19</v>
      </c>
      <c r="D19" t="s">
        <v>103</v>
      </c>
      <c r="F19" t="s">
        <v>104</v>
      </c>
      <c r="G19" t="s">
        <v>31</v>
      </c>
      <c r="H19" s="2">
        <v>31183.68</v>
      </c>
      <c r="I19" t="s">
        <v>105</v>
      </c>
      <c r="K19" t="s">
        <v>106</v>
      </c>
    </row>
    <row r="20" spans="1:13" x14ac:dyDescent="0.25">
      <c r="A20" t="s">
        <v>107</v>
      </c>
      <c r="B20" t="s">
        <v>26</v>
      </c>
      <c r="C20" t="s">
        <v>19</v>
      </c>
      <c r="D20" t="s">
        <v>108</v>
      </c>
      <c r="F20" t="s">
        <v>109</v>
      </c>
      <c r="G20" t="s">
        <v>63</v>
      </c>
      <c r="H20" s="2">
        <v>26707.25</v>
      </c>
      <c r="I20" t="s">
        <v>110</v>
      </c>
      <c r="K20" t="s">
        <v>111</v>
      </c>
    </row>
    <row r="21" spans="1:13" x14ac:dyDescent="0.25">
      <c r="A21" t="s">
        <v>112</v>
      </c>
      <c r="B21" t="s">
        <v>18</v>
      </c>
      <c r="C21" t="s">
        <v>19</v>
      </c>
      <c r="D21" t="s">
        <v>113</v>
      </c>
      <c r="E21" t="s">
        <v>114</v>
      </c>
      <c r="F21" t="s">
        <v>115</v>
      </c>
      <c r="G21" t="s">
        <v>63</v>
      </c>
      <c r="H21" s="2">
        <v>42164.62</v>
      </c>
      <c r="I21" t="s">
        <v>116</v>
      </c>
      <c r="J21" t="s">
        <v>116</v>
      </c>
      <c r="K21" t="s">
        <v>117</v>
      </c>
      <c r="L21" t="s">
        <v>118</v>
      </c>
    </row>
    <row r="22" spans="1:13" x14ac:dyDescent="0.25">
      <c r="A22" t="s">
        <v>119</v>
      </c>
      <c r="B22" t="s">
        <v>26</v>
      </c>
      <c r="C22" t="s">
        <v>27</v>
      </c>
      <c r="D22" t="s">
        <v>120</v>
      </c>
      <c r="F22" t="s">
        <v>42</v>
      </c>
      <c r="G22" t="s">
        <v>63</v>
      </c>
      <c r="H22" s="2">
        <v>19425.849999999999</v>
      </c>
      <c r="I22" t="s">
        <v>121</v>
      </c>
      <c r="K22" t="s">
        <v>122</v>
      </c>
    </row>
    <row r="23" spans="1:13" x14ac:dyDescent="0.25">
      <c r="A23" t="s">
        <v>123</v>
      </c>
      <c r="B23" t="s">
        <v>18</v>
      </c>
      <c r="C23" t="s">
        <v>19</v>
      </c>
      <c r="D23" t="s">
        <v>124</v>
      </c>
      <c r="F23" t="s">
        <v>125</v>
      </c>
      <c r="G23" t="s">
        <v>63</v>
      </c>
      <c r="H23" s="2">
        <v>33110.81</v>
      </c>
      <c r="I23" t="s">
        <v>126</v>
      </c>
      <c r="K23" t="s">
        <v>127</v>
      </c>
    </row>
    <row r="24" spans="1:13" x14ac:dyDescent="0.25">
      <c r="A24" s="1"/>
      <c r="B24" s="1"/>
      <c r="C24" s="1"/>
      <c r="D24" s="1" t="s">
        <v>128</v>
      </c>
      <c r="E24" s="1"/>
      <c r="F24" s="1"/>
      <c r="G24" s="1"/>
      <c r="H24" s="3">
        <f>SUM(H4:H23)</f>
        <v>607512.82000000007</v>
      </c>
      <c r="I24" s="1"/>
      <c r="J24" s="1"/>
      <c r="K24" s="1"/>
      <c r="L24" s="1"/>
      <c r="M24" s="1"/>
    </row>
  </sheetData>
  <mergeCells count="2">
    <mergeCell ref="A2:F2"/>
    <mergeCell ref="G2:M2"/>
  </mergeCell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Funding Worksheet - Folder Vers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Neli Oliveira</cp:lastModifiedBy>
  <dcterms:created xsi:type="dcterms:W3CDTF">2025-07-25T18:43:05Z</dcterms:created>
  <dcterms:modified xsi:type="dcterms:W3CDTF">2025-07-25T18:44:45Z</dcterms:modified>
</cp:coreProperties>
</file>