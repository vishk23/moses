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8416CD2A-D42B-46D0-B636-84E5693DAE65}" xr6:coauthVersionLast="47" xr6:coauthVersionMax="47" xr10:uidLastSave="{00000000-0000-0000-0000-000000000000}"/>
  <bookViews>
    <workbookView xWindow="30750" yWindow="1950" windowWidth="20580" windowHeight="13680" xr2:uid="{00000000-000D-0000-FFFF-FFFF00000000}"/>
  </bookViews>
  <sheets>
    <sheet name="Funding Worksheet - Folder Vers" sheetId="1" r:id="rId1"/>
    <sheet name="Funding Worksheet - ACH" sheetId="3" r:id="rId2"/>
    <sheet name="Original Note Log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3" l="1"/>
  <c r="F28" i="3"/>
  <c r="E28" i="3"/>
  <c r="D28" i="3"/>
  <c r="H16" i="1"/>
</calcChain>
</file>

<file path=xl/sharedStrings.xml><?xml version="1.0" encoding="utf-8"?>
<sst xmlns="http://schemas.openxmlformats.org/spreadsheetml/2006/main" count="173" uniqueCount="101">
  <si>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</si>
  <si>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</si>
  <si>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</si>
  <si>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</si>
  <si>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</si>
  <si>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</si>
  <si>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</si>
  <si>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</si>
  <si>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</si>
  <si>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</si>
  <si>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</si>
  <si>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</si>
  <si>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</si>
  <si>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</si>
  <si>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</si>
  <si>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DealerTrack</t>
  </si>
  <si>
    <t>E Contract</t>
  </si>
  <si>
    <t>CRAGIN, RICHARD</t>
  </si>
  <si>
    <t>Metro Honda</t>
  </si>
  <si>
    <t>Marlene Braganca</t>
  </si>
  <si>
    <t>McGill</t>
  </si>
  <si>
    <t>JORDAN, AMANDA</t>
  </si>
  <si>
    <t>Bald Hill Kia</t>
  </si>
  <si>
    <t>MANDY.JORDAN@GMAIL.COM</t>
  </si>
  <si>
    <t>Miller</t>
  </si>
  <si>
    <t>Route One</t>
  </si>
  <si>
    <t>LHEUREUX, MICHELLE</t>
  </si>
  <si>
    <t>Colonial South Chevrolet</t>
  </si>
  <si>
    <t>Neli Oliveira</t>
  </si>
  <si>
    <t>LHEUREUX152@COMCAST.NET</t>
  </si>
  <si>
    <t>OTIS</t>
  </si>
  <si>
    <t>OLIVEIRA, STEVE</t>
  </si>
  <si>
    <t>Grieco Toyota</t>
  </si>
  <si>
    <t>Fedele</t>
  </si>
  <si>
    <t>SILVIA, MICHAEL</t>
  </si>
  <si>
    <t>Morris Motor Sales Inc d/b/a</t>
  </si>
  <si>
    <t>SILVIA1492@GMAIL.COM</t>
  </si>
  <si>
    <t>Juhl</t>
  </si>
  <si>
    <t>Stickney, Henry</t>
  </si>
  <si>
    <t>Stickney, Shannon</t>
  </si>
  <si>
    <t>Salvadore Chrysler</t>
  </si>
  <si>
    <t>stickneyhank@gmail.com</t>
  </si>
  <si>
    <t>stickney49@comcast.net</t>
  </si>
  <si>
    <t>ROY</t>
  </si>
  <si>
    <t>PAUL</t>
  </si>
  <si>
    <t>151170497</t>
  </si>
  <si>
    <t>Paper</t>
  </si>
  <si>
    <t>JEFFERS, KARIN</t>
  </si>
  <si>
    <t>Viti Mercedes</t>
  </si>
  <si>
    <t>Rachel Gorham</t>
  </si>
  <si>
    <t>KEJA21@COMCAST.NET</t>
  </si>
  <si>
    <t>MILLER</t>
  </si>
  <si>
    <t>VEZINA, CHERYL</t>
  </si>
  <si>
    <t>BAXTER, KATHERINE</t>
  </si>
  <si>
    <t>Bald Hill Dodge Chrysler</t>
  </si>
  <si>
    <t>vizzy55@gmail.com</t>
  </si>
  <si>
    <t>liitlebird216@gmail.com</t>
  </si>
  <si>
    <t>BEAUVAIS</t>
  </si>
  <si>
    <t>EKSTROM</t>
  </si>
  <si>
    <t>151170512</t>
  </si>
  <si>
    <t>WALULIK, BARBARA</t>
  </si>
  <si>
    <t>T F Murphy Enterprises Inc</t>
  </si>
  <si>
    <t>BRWALULIK@COMCAST.NET</t>
  </si>
  <si>
    <t>MAREK</t>
  </si>
  <si>
    <t>151170520</t>
  </si>
  <si>
    <t>NJUGUNA, AMOS</t>
  </si>
  <si>
    <t>NARSA AMC LLC d/b/a</t>
  </si>
  <si>
    <t>ANJUGANA@ME.COM</t>
  </si>
  <si>
    <t>NJUGANA</t>
  </si>
  <si>
    <t>FERRY, TYLER</t>
  </si>
  <si>
    <t>Patriot Auto Group Inc d/b/a</t>
  </si>
  <si>
    <t>tyeferry@gmail.com</t>
  </si>
  <si>
    <t>FREITAS</t>
  </si>
  <si>
    <t>FOSTELLO, KRISTEN</t>
  </si>
  <si>
    <t>Planet Subaru</t>
  </si>
  <si>
    <t>Mullen</t>
  </si>
  <si>
    <t># 12</t>
  </si>
  <si>
    <t>Funding Worksheet - Signoff Version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</si>
  <si>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</si>
  <si>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</si>
  <si>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</si>
  <si>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</si>
  <si>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</si>
  <si>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</si>
  <si>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</si>
  <si>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Auto-NARSA AMC LLC d/b/a</t>
  </si>
  <si>
    <t>Honda-Patriot Auto Group Inc d/b/a</t>
  </si>
  <si>
    <t># 3</t>
  </si>
  <si>
    <t>Delivered by:</t>
  </si>
  <si>
    <t>Received by:</t>
  </si>
  <si>
    <t>Date Signed:</t>
  </si>
  <si>
    <t>Original Notes Delivered</t>
  </si>
  <si>
    <t>151169987 E</t>
  </si>
  <si>
    <t>151169995 E</t>
  </si>
  <si>
    <t>151170190 E</t>
  </si>
  <si>
    <t>151170273 E</t>
  </si>
  <si>
    <t>151170330 E</t>
  </si>
  <si>
    <t>151170439 E</t>
  </si>
  <si>
    <t>151170504 E</t>
  </si>
  <si>
    <t>151170538 E</t>
  </si>
  <si>
    <t>151170546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</si>
</sst>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7" fontId="4" fillId="0" borderId="0" xfId="0" applyNumberFormat="1" applyFont="1"/>
    <xf numFmtId="0" fontId="0" fillId="0" borderId="1" xfId="0" applyBorder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6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387137-FB37-4A96-8152-3D641A9A6920}" name="Table_15" displayName="Table_15" ref="A3:H28" headerRowDxfId="17" dataDxfId="15" totalsRowDxfId="16">
  <sortState xmlns:xlrd2="http://schemas.microsoft.com/office/spreadsheetml/2017/richdata2" ref="A4:H28">
    <sortCondition ref="A4:A28"/>
  </sortState>
  <tableColumns count="8">
    <tableColumn id="1" xr3:uid="{085E18E6-7F60-48D8-A5F7-2F1C4B31A480}" name="Dealer Name" dataDxfId="25"/>
    <tableColumn id="7" xr3:uid="{DB364BB0-3321-4267-AFA8-0730989CF255}" name="Column1" dataDxfId="24"/>
    <tableColumn id="2" xr3:uid="{3D7E9A1A-AA84-408E-88E4-68F08722E1CF}" name="Funded by" dataDxfId="23"/>
    <tableColumn id="3" xr3:uid="{16380583-5891-457E-AEC8-C1D220C6609F}" name="Dealer Flat" dataDxfId="22"/>
    <tableColumn id="4" xr3:uid="{3C784EE3-2A9E-4330-AF71-368A7C930913}" name="Dealer Split" dataDxfId="21"/>
    <tableColumn id="5" xr3:uid="{A614A31F-C1D8-4A8A-BDA6-2FF0EFE1892C}" name="Net to Dealer" dataDxfId="20"/>
    <tableColumn id="8" xr3:uid="{7D0F1C8D-CCB3-4D7F-9000-32783E2AFD6F}" name="Column2" dataDxfId="19"/>
    <tableColumn id="6" xr3:uid="{25CBE337-A11C-40BD-98FA-561603317D39}" name="Contracted Amount Financed" dataDxfId="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85F639-B968-425C-9CAA-CF62DD070C16}" name="Table_14" displayName="Table_14" ref="A3:F7">
  <tableColumns count="6">
    <tableColumn id="1" xr3:uid="{DC8B974A-9791-4688-8281-1B2FADC43EF4}" name="Account Number"/>
    <tableColumn id="2" xr3:uid="{59C277A9-AE28-466E-A402-31CBDCA469D6}" name="Contract Type"/>
    <tableColumn id="3" xr3:uid="{CDD9CF8D-F7B6-4A16-866E-F1AC5FBBCED4}" name="Applicant Name"/>
    <tableColumn id="4" xr3:uid="{43F4103C-E432-4D2C-A402-4F4897F0285D}" name="Co-Applicant Name"/>
    <tableColumn id="5" xr3:uid="{8004B2A0-A800-4580-999D-2970FBD6EEDD}" name="Dealer Name"/>
    <tableColumn id="6" xr3:uid="{D7439C0D-88E3-4AB7-A1C2-AB52F08F33DF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"/>
  <sheetViews>
    <sheetView tabSelected="1" workbookViewId="0">
      <pane ySplit="3" topLeftCell="A4" activePane="bottomLeft" state="frozen"/>
      <selection pane="bottomLeft" activeCell="E5" sqref="E5"/>
    </sheetView>
  </sheetViews>
  <sheetFormatPr defaultRowHeight="15.75" x14ac:dyDescent="0.25"/>
  <cols>
    <col min="1" max="1" width="14.85546875" style="6" customWidth="1"/>
    <col min="2" max="2" width="12.140625" style="6" bestFit="1" customWidth="1"/>
    <col min="3" max="3" width="13.140625" style="6" customWidth="1"/>
    <col min="4" max="4" width="21.28515625" style="6" bestFit="1" customWidth="1"/>
    <col min="5" max="5" width="20" style="6" bestFit="1" customWidth="1"/>
    <col min="6" max="6" width="26.7109375" style="6" bestFit="1" customWidth="1"/>
    <col min="7" max="7" width="17.7109375" style="6" bestFit="1" customWidth="1"/>
    <col min="8" max="8" width="17.140625" style="6" bestFit="1" customWidth="1"/>
    <col min="9" max="9" width="29.7109375" style="6" bestFit="1" customWidth="1"/>
    <col min="10" max="10" width="24.140625" style="6" bestFit="1" customWidth="1"/>
    <col min="11" max="11" width="14" style="6" bestFit="1" customWidth="1"/>
    <col min="12" max="12" width="12.85546875" style="6" bestFit="1" customWidth="1"/>
    <col min="13" max="16384" width="9.140625" style="6"/>
  </cols>
  <sheetData>
    <row r="1" spans="1:12" x14ac:dyDescent="0.25">
      <c r="K1" s="7">
        <v>45764</v>
      </c>
    </row>
    <row r="2" spans="1:12" x14ac:dyDescent="0.25">
      <c r="A2" s="8" t="s">
        <v>0</v>
      </c>
      <c r="B2" s="9"/>
      <c r="C2" s="9"/>
      <c r="D2" s="9"/>
      <c r="E2" s="9"/>
      <c r="F2" s="9"/>
      <c r="G2" s="10" t="s">
        <v>1</v>
      </c>
      <c r="H2" s="9"/>
      <c r="I2" s="9"/>
      <c r="J2" s="9"/>
      <c r="K2" s="9"/>
      <c r="L2" s="9"/>
    </row>
    <row r="3" spans="1:12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</row>
    <row r="4" spans="1:12" ht="33" customHeight="1" x14ac:dyDescent="0.25">
      <c r="A4" s="6" t="s">
        <v>92</v>
      </c>
      <c r="B4" s="6" t="s">
        <v>15</v>
      </c>
      <c r="C4" s="6" t="s">
        <v>16</v>
      </c>
      <c r="D4" s="6" t="s">
        <v>17</v>
      </c>
      <c r="F4" s="6" t="s">
        <v>18</v>
      </c>
      <c r="G4" s="6" t="s">
        <v>19</v>
      </c>
      <c r="H4" s="11">
        <v>25135.05</v>
      </c>
      <c r="K4" s="6" t="s">
        <v>20</v>
      </c>
    </row>
    <row r="5" spans="1:12" ht="33" customHeight="1" x14ac:dyDescent="0.25">
      <c r="A5" s="6" t="s">
        <v>93</v>
      </c>
      <c r="B5" s="6" t="s">
        <v>15</v>
      </c>
      <c r="C5" s="6" t="s">
        <v>16</v>
      </c>
      <c r="D5" s="6" t="s">
        <v>21</v>
      </c>
      <c r="F5" s="6" t="s">
        <v>22</v>
      </c>
      <c r="G5" s="6" t="s">
        <v>19</v>
      </c>
      <c r="H5" s="11">
        <v>33372.35</v>
      </c>
      <c r="I5" s="6" t="s">
        <v>23</v>
      </c>
      <c r="K5" s="6" t="s">
        <v>24</v>
      </c>
    </row>
    <row r="6" spans="1:12" ht="33" customHeight="1" x14ac:dyDescent="0.25">
      <c r="A6" s="6" t="s">
        <v>94</v>
      </c>
      <c r="B6" s="6" t="s">
        <v>25</v>
      </c>
      <c r="C6" s="6" t="s">
        <v>16</v>
      </c>
      <c r="D6" s="6" t="s">
        <v>26</v>
      </c>
      <c r="F6" s="6" t="s">
        <v>27</v>
      </c>
      <c r="G6" s="6" t="s">
        <v>28</v>
      </c>
      <c r="H6" s="11">
        <v>13787.69</v>
      </c>
      <c r="I6" s="6" t="s">
        <v>29</v>
      </c>
      <c r="K6" s="6" t="s">
        <v>30</v>
      </c>
    </row>
    <row r="7" spans="1:12" ht="33" customHeight="1" x14ac:dyDescent="0.25">
      <c r="A7" s="6" t="s">
        <v>95</v>
      </c>
      <c r="B7" s="6" t="s">
        <v>25</v>
      </c>
      <c r="C7" s="6" t="s">
        <v>16</v>
      </c>
      <c r="D7" s="6" t="s">
        <v>31</v>
      </c>
      <c r="F7" s="6" t="s">
        <v>32</v>
      </c>
      <c r="G7" s="6" t="s">
        <v>19</v>
      </c>
      <c r="H7" s="11">
        <v>38811.629999999997</v>
      </c>
      <c r="K7" s="6" t="s">
        <v>33</v>
      </c>
    </row>
    <row r="8" spans="1:12" ht="33" customHeight="1" x14ac:dyDescent="0.25">
      <c r="A8" s="6" t="s">
        <v>96</v>
      </c>
      <c r="B8" s="6" t="s">
        <v>15</v>
      </c>
      <c r="C8" s="6" t="s">
        <v>16</v>
      </c>
      <c r="D8" s="6" t="s">
        <v>34</v>
      </c>
      <c r="F8" s="6" t="s">
        <v>35</v>
      </c>
      <c r="G8" s="6" t="s">
        <v>19</v>
      </c>
      <c r="H8" s="11">
        <v>17956.18</v>
      </c>
      <c r="I8" s="6" t="s">
        <v>36</v>
      </c>
      <c r="K8" s="6" t="s">
        <v>37</v>
      </c>
    </row>
    <row r="9" spans="1:12" ht="33" customHeight="1" x14ac:dyDescent="0.25">
      <c r="A9" s="6" t="s">
        <v>97</v>
      </c>
      <c r="B9" s="6" t="s">
        <v>25</v>
      </c>
      <c r="C9" s="6" t="s">
        <v>16</v>
      </c>
      <c r="D9" s="6" t="s">
        <v>38</v>
      </c>
      <c r="E9" s="6" t="s">
        <v>39</v>
      </c>
      <c r="F9" s="6" t="s">
        <v>40</v>
      </c>
      <c r="G9" s="6" t="s">
        <v>28</v>
      </c>
      <c r="H9" s="11">
        <v>42228.88</v>
      </c>
      <c r="I9" s="6" t="s">
        <v>41</v>
      </c>
      <c r="J9" s="6" t="s">
        <v>42</v>
      </c>
      <c r="K9" s="6" t="s">
        <v>43</v>
      </c>
      <c r="L9" s="6" t="s">
        <v>44</v>
      </c>
    </row>
    <row r="10" spans="1:12" ht="33" customHeight="1" x14ac:dyDescent="0.25">
      <c r="A10" s="6" t="s">
        <v>45</v>
      </c>
      <c r="B10" s="6" t="s">
        <v>15</v>
      </c>
      <c r="C10" s="6" t="s">
        <v>46</v>
      </c>
      <c r="D10" s="6" t="s">
        <v>47</v>
      </c>
      <c r="F10" s="6" t="s">
        <v>48</v>
      </c>
      <c r="G10" s="6" t="s">
        <v>49</v>
      </c>
      <c r="H10" s="11">
        <v>43638.5</v>
      </c>
      <c r="I10" s="6" t="s">
        <v>50</v>
      </c>
      <c r="K10" s="6" t="s">
        <v>51</v>
      </c>
    </row>
    <row r="11" spans="1:12" ht="33" customHeight="1" x14ac:dyDescent="0.25">
      <c r="A11" s="6" t="s">
        <v>98</v>
      </c>
      <c r="B11" s="6" t="s">
        <v>25</v>
      </c>
      <c r="C11" s="6" t="s">
        <v>16</v>
      </c>
      <c r="D11" s="6" t="s">
        <v>52</v>
      </c>
      <c r="E11" s="6" t="s">
        <v>53</v>
      </c>
      <c r="F11" s="6" t="s">
        <v>54</v>
      </c>
      <c r="G11" s="6" t="s">
        <v>49</v>
      </c>
      <c r="H11" s="11">
        <v>40066.589999999997</v>
      </c>
      <c r="I11" s="6" t="s">
        <v>55</v>
      </c>
      <c r="J11" s="6" t="s">
        <v>56</v>
      </c>
      <c r="K11" s="6" t="s">
        <v>57</v>
      </c>
      <c r="L11" s="6" t="s">
        <v>58</v>
      </c>
    </row>
    <row r="12" spans="1:12" ht="33" customHeight="1" x14ac:dyDescent="0.25">
      <c r="A12" s="6" t="s">
        <v>59</v>
      </c>
      <c r="B12" s="6" t="s">
        <v>25</v>
      </c>
      <c r="C12" s="6" t="s">
        <v>46</v>
      </c>
      <c r="D12" s="6" t="s">
        <v>60</v>
      </c>
      <c r="F12" s="6" t="s">
        <v>61</v>
      </c>
      <c r="G12" s="6" t="s">
        <v>49</v>
      </c>
      <c r="H12" s="11">
        <v>18129</v>
      </c>
      <c r="I12" s="6" t="s">
        <v>62</v>
      </c>
      <c r="K12" s="6" t="s">
        <v>63</v>
      </c>
    </row>
    <row r="13" spans="1:12" ht="33" customHeight="1" x14ac:dyDescent="0.25">
      <c r="A13" s="6" t="s">
        <v>64</v>
      </c>
      <c r="B13" s="6" t="s">
        <v>15</v>
      </c>
      <c r="C13" s="6" t="s">
        <v>46</v>
      </c>
      <c r="D13" s="6" t="s">
        <v>65</v>
      </c>
      <c r="F13" s="6" t="s">
        <v>66</v>
      </c>
      <c r="G13" s="6" t="s">
        <v>49</v>
      </c>
      <c r="H13" s="11">
        <v>25003.439999999999</v>
      </c>
      <c r="I13" s="6" t="s">
        <v>67</v>
      </c>
      <c r="K13" s="6" t="s">
        <v>68</v>
      </c>
    </row>
    <row r="14" spans="1:12" ht="33" customHeight="1" x14ac:dyDescent="0.25">
      <c r="A14" s="6" t="s">
        <v>99</v>
      </c>
      <c r="B14" s="6" t="s">
        <v>25</v>
      </c>
      <c r="C14" s="6" t="s">
        <v>16</v>
      </c>
      <c r="D14" s="6" t="s">
        <v>69</v>
      </c>
      <c r="F14" s="6" t="s">
        <v>70</v>
      </c>
      <c r="G14" s="6" t="s">
        <v>28</v>
      </c>
      <c r="H14" s="11">
        <v>28695.13</v>
      </c>
      <c r="I14" s="6" t="s">
        <v>71</v>
      </c>
      <c r="K14" s="6" t="s">
        <v>72</v>
      </c>
    </row>
    <row r="15" spans="1:12" ht="33" customHeight="1" x14ac:dyDescent="0.25">
      <c r="A15" s="6" t="s">
        <v>100</v>
      </c>
      <c r="B15" s="6" t="s">
        <v>15</v>
      </c>
      <c r="C15" s="6" t="s">
        <v>16</v>
      </c>
      <c r="D15" s="6" t="s">
        <v>73</v>
      </c>
      <c r="F15" s="6" t="s">
        <v>74</v>
      </c>
      <c r="G15" s="6" t="s">
        <v>19</v>
      </c>
      <c r="H15" s="11">
        <v>22183.88</v>
      </c>
      <c r="K15" s="6" t="s">
        <v>75</v>
      </c>
    </row>
    <row r="16" spans="1:12" x14ac:dyDescent="0.25">
      <c r="A16" s="12"/>
      <c r="B16" s="12"/>
      <c r="C16" s="12"/>
      <c r="D16" s="12" t="s">
        <v>76</v>
      </c>
      <c r="E16" s="12"/>
      <c r="F16" s="12"/>
      <c r="G16" s="12"/>
      <c r="H16" s="13">
        <f>SUM(H4:H15)</f>
        <v>349008.32</v>
      </c>
      <c r="I16" s="12"/>
      <c r="J16" s="12"/>
      <c r="K16" s="12"/>
      <c r="L16" s="12"/>
    </row>
  </sheetData>
  <mergeCells count="2">
    <mergeCell ref="A2:F2"/>
    <mergeCell ref="G2:L2"/>
  </mergeCells>
  <pageMargins left="0.7" right="0.2" top="0.75" bottom="0.75" header="0.3" footer="0.3"/>
  <pageSetup paperSize="5" scale="74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43BF-4527-455F-AD3F-820284A1502D}">
  <sheetPr>
    <pageSetUpPr fitToPage="1"/>
  </sheetPr>
  <dimension ref="A1:H28"/>
  <sheetViews>
    <sheetView topLeftCell="A11" workbookViewId="0">
      <selection activeCell="F32" sqref="F32"/>
    </sheetView>
  </sheetViews>
  <sheetFormatPr defaultRowHeight="15.75" x14ac:dyDescent="0.25"/>
  <cols>
    <col min="1" max="1" width="21.42578125" style="6" customWidth="1"/>
    <col min="2" max="2" width="5.42578125" style="6" customWidth="1"/>
    <col min="3" max="3" width="17" style="6" customWidth="1"/>
    <col min="4" max="4" width="14.140625" style="6" customWidth="1"/>
    <col min="5" max="5" width="16.85546875" style="6" customWidth="1"/>
    <col min="6" max="6" width="15.140625" style="6" customWidth="1"/>
    <col min="7" max="7" width="8.5703125" style="6" customWidth="1"/>
    <col min="8" max="8" width="20.7109375" style="6" customWidth="1"/>
    <col min="9" max="16384" width="9.140625" style="6"/>
  </cols>
  <sheetData>
    <row r="1" spans="1:8" x14ac:dyDescent="0.25">
      <c r="E1" s="7"/>
      <c r="H1" s="7">
        <v>45764.999988425923</v>
      </c>
    </row>
    <row r="2" spans="1:8" ht="27" customHeight="1" x14ac:dyDescent="0.25">
      <c r="A2" s="8" t="s">
        <v>0</v>
      </c>
      <c r="B2" s="8"/>
      <c r="C2" s="9"/>
      <c r="D2" s="9"/>
      <c r="E2" s="10" t="s">
        <v>78</v>
      </c>
      <c r="F2" s="9"/>
      <c r="G2" s="9"/>
      <c r="H2" s="9"/>
    </row>
    <row r="3" spans="1:8" ht="27" customHeight="1" x14ac:dyDescent="0.25">
      <c r="A3" s="6" t="s">
        <v>7</v>
      </c>
      <c r="B3" s="6" t="s">
        <v>83</v>
      </c>
      <c r="C3" s="6" t="s">
        <v>8</v>
      </c>
      <c r="D3" s="6" t="s">
        <v>79</v>
      </c>
      <c r="E3" s="6" t="s">
        <v>80</v>
      </c>
      <c r="F3" s="6" t="s">
        <v>81</v>
      </c>
      <c r="G3" s="6" t="s">
        <v>84</v>
      </c>
      <c r="H3" s="6" t="s">
        <v>82</v>
      </c>
    </row>
    <row r="4" spans="1:8" ht="27" customHeight="1" x14ac:dyDescent="0.25">
      <c r="A4" s="6" t="s">
        <v>85</v>
      </c>
      <c r="C4" s="6" t="s">
        <v>49</v>
      </c>
      <c r="D4" s="11">
        <v>750</v>
      </c>
      <c r="E4" s="11">
        <v>0</v>
      </c>
      <c r="F4" s="14">
        <v>24928.44</v>
      </c>
      <c r="G4" s="11"/>
      <c r="H4" s="11">
        <v>25003.439999999999</v>
      </c>
    </row>
    <row r="5" spans="1:8" ht="27" customHeight="1" x14ac:dyDescent="0.25">
      <c r="D5" s="11"/>
      <c r="E5" s="11"/>
      <c r="F5" s="14"/>
      <c r="G5" s="11"/>
      <c r="H5" s="11"/>
    </row>
    <row r="6" spans="1:8" ht="27" customHeight="1" x14ac:dyDescent="0.25">
      <c r="A6" s="6" t="s">
        <v>54</v>
      </c>
      <c r="C6" s="6" t="s">
        <v>49</v>
      </c>
      <c r="D6" s="11">
        <v>1050</v>
      </c>
      <c r="E6" s="11">
        <v>0</v>
      </c>
      <c r="F6" s="14">
        <v>39991.589999999997</v>
      </c>
      <c r="G6" s="11"/>
      <c r="H6" s="11">
        <v>40066.589999999997</v>
      </c>
    </row>
    <row r="7" spans="1:8" ht="27" customHeight="1" x14ac:dyDescent="0.25">
      <c r="D7" s="11"/>
      <c r="E7" s="11"/>
      <c r="F7" s="14"/>
      <c r="G7" s="11"/>
      <c r="H7" s="11"/>
    </row>
    <row r="8" spans="1:8" ht="27" customHeight="1" x14ac:dyDescent="0.25">
      <c r="A8" s="6" t="s">
        <v>22</v>
      </c>
      <c r="C8" s="6" t="s">
        <v>19</v>
      </c>
      <c r="D8" s="11">
        <v>850</v>
      </c>
      <c r="E8" s="11">
        <v>0</v>
      </c>
      <c r="F8" s="14">
        <v>33297.35</v>
      </c>
      <c r="G8" s="11"/>
      <c r="H8" s="11">
        <v>33372.35</v>
      </c>
    </row>
    <row r="9" spans="1:8" ht="27" customHeight="1" x14ac:dyDescent="0.25">
      <c r="D9" s="11"/>
      <c r="E9" s="11"/>
      <c r="F9" s="14"/>
      <c r="G9" s="11"/>
      <c r="H9" s="11"/>
    </row>
    <row r="10" spans="1:8" ht="27" customHeight="1" x14ac:dyDescent="0.25">
      <c r="A10" s="6" t="s">
        <v>27</v>
      </c>
      <c r="C10" s="6" t="s">
        <v>28</v>
      </c>
      <c r="D10" s="11">
        <v>300</v>
      </c>
      <c r="E10" s="11">
        <v>0</v>
      </c>
      <c r="F10" s="14">
        <v>13712.69</v>
      </c>
      <c r="G10" s="11"/>
      <c r="H10" s="11">
        <v>13787.69</v>
      </c>
    </row>
    <row r="11" spans="1:8" ht="27" customHeight="1" x14ac:dyDescent="0.25">
      <c r="D11" s="11"/>
      <c r="E11" s="11"/>
      <c r="F11" s="14"/>
      <c r="G11" s="11"/>
      <c r="H11" s="11"/>
    </row>
    <row r="12" spans="1:8" ht="27" customHeight="1" x14ac:dyDescent="0.25">
      <c r="A12" s="6" t="s">
        <v>32</v>
      </c>
      <c r="C12" s="6" t="s">
        <v>19</v>
      </c>
      <c r="D12" s="11">
        <v>950</v>
      </c>
      <c r="E12" s="11">
        <v>0</v>
      </c>
      <c r="F12" s="14">
        <v>38736.629999999997</v>
      </c>
      <c r="G12" s="11"/>
      <c r="H12" s="11">
        <v>38811.629999999997</v>
      </c>
    </row>
    <row r="13" spans="1:8" ht="27" customHeight="1" x14ac:dyDescent="0.25">
      <c r="D13" s="11"/>
      <c r="E13" s="11"/>
      <c r="F13" s="14"/>
      <c r="G13" s="11"/>
      <c r="H13" s="11"/>
    </row>
    <row r="14" spans="1:8" ht="27" customHeight="1" x14ac:dyDescent="0.25">
      <c r="A14" s="6" t="s">
        <v>86</v>
      </c>
      <c r="C14" s="6" t="s">
        <v>28</v>
      </c>
      <c r="D14" s="11">
        <v>750</v>
      </c>
      <c r="E14" s="11">
        <v>0</v>
      </c>
      <c r="F14" s="14">
        <v>28620.13</v>
      </c>
      <c r="G14" s="11"/>
      <c r="H14" s="11">
        <v>28695.13</v>
      </c>
    </row>
    <row r="15" spans="1:8" ht="27" customHeight="1" x14ac:dyDescent="0.25">
      <c r="D15" s="11"/>
      <c r="E15" s="11"/>
      <c r="F15" s="14"/>
      <c r="G15" s="11"/>
      <c r="H15" s="11"/>
    </row>
    <row r="16" spans="1:8" ht="27" customHeight="1" x14ac:dyDescent="0.25">
      <c r="A16" s="6" t="s">
        <v>18</v>
      </c>
      <c r="C16" s="6" t="s">
        <v>19</v>
      </c>
      <c r="D16" s="11">
        <v>750</v>
      </c>
      <c r="E16" s="11">
        <v>0</v>
      </c>
      <c r="F16" s="14">
        <v>25060.05</v>
      </c>
      <c r="G16" s="11"/>
      <c r="H16" s="11">
        <v>25135.05</v>
      </c>
    </row>
    <row r="17" spans="1:8" ht="27" customHeight="1" x14ac:dyDescent="0.25">
      <c r="D17" s="11"/>
      <c r="E17" s="11"/>
      <c r="F17" s="14"/>
      <c r="G17" s="11"/>
      <c r="H17" s="11"/>
    </row>
    <row r="18" spans="1:8" ht="27" customHeight="1" x14ac:dyDescent="0.25">
      <c r="A18" s="6" t="s">
        <v>35</v>
      </c>
      <c r="C18" s="6" t="s">
        <v>19</v>
      </c>
      <c r="D18" s="11">
        <v>500</v>
      </c>
      <c r="E18" s="11">
        <v>0</v>
      </c>
      <c r="F18" s="14">
        <v>17881.18</v>
      </c>
      <c r="G18" s="11"/>
      <c r="H18" s="11">
        <v>17956.18</v>
      </c>
    </row>
    <row r="19" spans="1:8" ht="27" customHeight="1" x14ac:dyDescent="0.25">
      <c r="D19" s="11"/>
      <c r="E19" s="11"/>
      <c r="F19" s="14"/>
      <c r="G19" s="11"/>
      <c r="H19" s="11"/>
    </row>
    <row r="20" spans="1:8" ht="27" customHeight="1" x14ac:dyDescent="0.25">
      <c r="A20" s="6" t="s">
        <v>74</v>
      </c>
      <c r="C20" s="6" t="s">
        <v>19</v>
      </c>
      <c r="D20" s="11">
        <v>650</v>
      </c>
      <c r="E20" s="11">
        <v>0</v>
      </c>
      <c r="F20" s="14">
        <v>22108.880000000001</v>
      </c>
      <c r="G20" s="11"/>
      <c r="H20" s="11">
        <v>22183.88</v>
      </c>
    </row>
    <row r="21" spans="1:8" ht="27" customHeight="1" x14ac:dyDescent="0.25">
      <c r="D21" s="11"/>
      <c r="E21" s="11"/>
      <c r="F21" s="14"/>
      <c r="G21" s="11"/>
      <c r="H21" s="11"/>
    </row>
    <row r="22" spans="1:8" ht="27" customHeight="1" x14ac:dyDescent="0.25">
      <c r="A22" s="6" t="s">
        <v>40</v>
      </c>
      <c r="C22" s="6" t="s">
        <v>28</v>
      </c>
      <c r="D22" s="11">
        <v>1050</v>
      </c>
      <c r="E22" s="11">
        <v>0</v>
      </c>
      <c r="F22" s="14">
        <v>42153.88</v>
      </c>
      <c r="G22" s="11"/>
      <c r="H22" s="11">
        <v>42228.88</v>
      </c>
    </row>
    <row r="23" spans="1:8" ht="27" customHeight="1" x14ac:dyDescent="0.25">
      <c r="D23" s="11"/>
      <c r="E23" s="11"/>
      <c r="F23" s="14"/>
      <c r="G23" s="11"/>
      <c r="H23" s="11"/>
    </row>
    <row r="24" spans="1:8" ht="27" customHeight="1" x14ac:dyDescent="0.25">
      <c r="A24" s="6" t="s">
        <v>61</v>
      </c>
      <c r="C24" s="6" t="s">
        <v>49</v>
      </c>
      <c r="D24" s="11">
        <v>500</v>
      </c>
      <c r="E24" s="11">
        <v>0</v>
      </c>
      <c r="F24" s="14">
        <v>18054</v>
      </c>
      <c r="G24" s="11"/>
      <c r="H24" s="11">
        <v>18129</v>
      </c>
    </row>
    <row r="25" spans="1:8" ht="27" customHeight="1" x14ac:dyDescent="0.25">
      <c r="D25" s="11"/>
      <c r="E25" s="11"/>
      <c r="F25" s="14"/>
      <c r="G25" s="11"/>
      <c r="H25" s="11"/>
    </row>
    <row r="26" spans="1:8" ht="27" customHeight="1" x14ac:dyDescent="0.25">
      <c r="A26" s="6" t="s">
        <v>48</v>
      </c>
      <c r="C26" s="6" t="s">
        <v>49</v>
      </c>
      <c r="D26" s="11">
        <v>1050</v>
      </c>
      <c r="E26" s="11">
        <v>0</v>
      </c>
      <c r="F26" s="14">
        <v>43563.5</v>
      </c>
      <c r="G26" s="11"/>
      <c r="H26" s="11">
        <v>43638.5</v>
      </c>
    </row>
    <row r="27" spans="1:8" ht="27" customHeight="1" x14ac:dyDescent="0.25">
      <c r="D27" s="11"/>
      <c r="E27" s="11"/>
      <c r="F27" s="11"/>
      <c r="G27" s="11"/>
      <c r="H27" s="11"/>
    </row>
    <row r="28" spans="1:8" ht="27" customHeight="1" x14ac:dyDescent="0.25">
      <c r="A28" s="12"/>
      <c r="B28" s="12"/>
      <c r="C28" s="12"/>
      <c r="D28" s="13">
        <f>SUM(D4:D26)</f>
        <v>9150</v>
      </c>
      <c r="E28" s="13">
        <f>SUM(E4:E26)</f>
        <v>0</v>
      </c>
      <c r="F28" s="13">
        <f>SUM(F4:F26)</f>
        <v>348108.32</v>
      </c>
      <c r="G28" s="13"/>
      <c r="H28" s="13">
        <f>SUM(H4:H26)</f>
        <v>349008.32</v>
      </c>
    </row>
  </sheetData>
  <mergeCells count="2">
    <mergeCell ref="A2:D2"/>
    <mergeCell ref="E2:H2"/>
  </mergeCells>
  <pageMargins left="0.7" right="0.7" top="0.75" bottom="0.75" header="0.3" footer="0.3"/>
  <pageSetup scale="95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F8E7-D784-43A3-8E07-F13A0817FF8F}">
  <sheetPr>
    <pageSetUpPr fitToPage="1"/>
  </sheetPr>
  <dimension ref="A1:F21"/>
  <sheetViews>
    <sheetView workbookViewId="0">
      <selection activeCell="H8" sqref="H8"/>
    </sheetView>
  </sheetViews>
  <sheetFormatPr defaultRowHeight="15" x14ac:dyDescent="0.25"/>
  <cols>
    <col min="1" max="1" width="15.140625" customWidth="1"/>
    <col min="2" max="2" width="14.5703125" customWidth="1"/>
    <col min="3" max="3" width="17.28515625" customWidth="1"/>
    <col min="4" max="4" width="3.5703125" customWidth="1"/>
    <col min="5" max="5" width="15.7109375" customWidth="1"/>
    <col min="6" max="6" width="20" customWidth="1"/>
  </cols>
  <sheetData>
    <row r="1" spans="1:6" ht="24.95" customHeight="1" x14ac:dyDescent="0.25">
      <c r="A1" t="s">
        <v>91</v>
      </c>
      <c r="D1" s="2"/>
      <c r="F1" s="2">
        <v>45764.999988425923</v>
      </c>
    </row>
    <row r="2" spans="1:6" ht="24.95" customHeight="1" x14ac:dyDescent="0.25">
      <c r="A2" s="3" t="s">
        <v>0</v>
      </c>
      <c r="B2" s="4"/>
      <c r="C2" s="4"/>
      <c r="D2" s="5" t="s">
        <v>77</v>
      </c>
      <c r="E2" s="4"/>
      <c r="F2" s="4"/>
    </row>
    <row r="3" spans="1:6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14</v>
      </c>
    </row>
    <row r="4" spans="1:6" ht="24.95" customHeight="1" x14ac:dyDescent="0.25">
      <c r="A4" t="s">
        <v>45</v>
      </c>
      <c r="B4" t="s">
        <v>46</v>
      </c>
      <c r="C4" t="s">
        <v>47</v>
      </c>
      <c r="E4" t="s">
        <v>48</v>
      </c>
    </row>
    <row r="5" spans="1:6" ht="24.95" customHeight="1" x14ac:dyDescent="0.25">
      <c r="A5" t="s">
        <v>59</v>
      </c>
      <c r="B5" t="s">
        <v>46</v>
      </c>
      <c r="C5" t="s">
        <v>60</v>
      </c>
      <c r="E5" t="s">
        <v>61</v>
      </c>
    </row>
    <row r="6" spans="1:6" ht="24.95" customHeight="1" x14ac:dyDescent="0.25">
      <c r="A6" t="s">
        <v>64</v>
      </c>
      <c r="B6" t="s">
        <v>46</v>
      </c>
      <c r="C6" t="s">
        <v>65</v>
      </c>
      <c r="E6" t="s">
        <v>66</v>
      </c>
    </row>
    <row r="7" spans="1:6" ht="24.95" customHeight="1" x14ac:dyDescent="0.25">
      <c r="A7" s="1"/>
      <c r="B7" s="1"/>
      <c r="C7" s="1" t="s">
        <v>87</v>
      </c>
      <c r="D7" s="1"/>
      <c r="E7" s="1"/>
      <c r="F7" s="1"/>
    </row>
    <row r="12" spans="1:6" x14ac:dyDescent="0.25">
      <c r="A12" t="s">
        <v>88</v>
      </c>
      <c r="B12" s="15"/>
      <c r="C12" s="15"/>
      <c r="D12" s="15"/>
      <c r="E12" s="15"/>
    </row>
    <row r="17" spans="1:5" x14ac:dyDescent="0.25">
      <c r="A17" t="s">
        <v>89</v>
      </c>
      <c r="B17" s="15"/>
      <c r="C17" s="15"/>
      <c r="D17" s="15"/>
      <c r="E17" s="15"/>
    </row>
    <row r="21" spans="1:5" x14ac:dyDescent="0.25">
      <c r="A21" t="s">
        <v>90</v>
      </c>
      <c r="B21" s="15"/>
      <c r="C21" s="15"/>
    </row>
  </sheetData>
  <mergeCells count="2">
    <mergeCell ref="A2:C2"/>
    <mergeCell ref="D2:F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2025-04-17T19:16:20Z</cp:lastPrinted>
  <dcterms:created xsi:type="dcterms:W3CDTF">2025-04-17T18:43:46Z</dcterms:created>
  <dcterms:modified xsi:type="dcterms:W3CDTF">2025-04-17T19:18:48Z</dcterms:modified>
</cp:coreProperties>
</file>