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D455ED6F-4DEF-43DE-A847-47BC27A4DF2A}" xr6:coauthVersionLast="47" xr6:coauthVersionMax="47" xr10:uidLastSave="{00000000-0000-0000-0000-000000000000}"/>
  <bookViews>
    <workbookView xWindow="33270" yWindow="255" windowWidth="20100" windowHeight="1500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2" l="1"/>
  <c r="G9" i="2"/>
  <c r="H20" i="2"/>
  <c r="F20" i="2"/>
  <c r="E20" i="2"/>
  <c r="D20" i="2"/>
  <c r="H13" i="1"/>
</calcChain>
</file>

<file path=xl/sharedStrings.xml><?xml version="1.0" encoding="utf-8"?>
<sst xmlns="http://schemas.openxmlformats.org/spreadsheetml/2006/main" count="138" uniqueCount="81">
  <si>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</si>
  <si>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</si>
  <si>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</si>
  <si>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</si>
  <si>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</si>
  <si>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</si>
  <si>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</si>
  <si>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</si>
  <si>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</si>
  <si>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</si>
  <si>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</si>
  <si>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</si>
  <si>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</si>
  <si>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</si>
  <si>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</si>
  <si>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</si>
  <si>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</si>
  <si>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SILVA, LISA</t>
  </si>
  <si>
    <t>Tasca Ford</t>
  </si>
  <si>
    <t>Rachel Gorham</t>
  </si>
  <si>
    <t>LISAMSILVA32@GMAIL.COM</t>
  </si>
  <si>
    <t>SMITH</t>
  </si>
  <si>
    <t>KELLY, MATTHEW</t>
  </si>
  <si>
    <t>Patriot Auto Group Inc d/b/a</t>
  </si>
  <si>
    <t>mattkellyplumbing@gmail.com</t>
  </si>
  <si>
    <t>DAVOREN</t>
  </si>
  <si>
    <t>MINER, RENEE</t>
  </si>
  <si>
    <t>T F Murphy Enterprises Inc</t>
  </si>
  <si>
    <t>Marlene Braganca</t>
  </si>
  <si>
    <t>reminer@msn.com</t>
  </si>
  <si>
    <t>MULLANE</t>
  </si>
  <si>
    <t>GILHEANY, MICHAEL</t>
  </si>
  <si>
    <t>Bailey's Motor Sales Inc</t>
  </si>
  <si>
    <t>HOLMILK11@VERIZON.NET</t>
  </si>
  <si>
    <t>O'SULLIVAN</t>
  </si>
  <si>
    <t>VEZINA, JESSICA</t>
  </si>
  <si>
    <t>Mathieu Ford Sales, Inc</t>
  </si>
  <si>
    <t>PLACE</t>
  </si>
  <si>
    <t>DealerTrack</t>
  </si>
  <si>
    <t>REED, KEVIN</t>
  </si>
  <si>
    <t>Richard Lundgren, Inc. d/b/a</t>
  </si>
  <si>
    <t>REED0938@GMAIL.COM</t>
  </si>
  <si>
    <t>REED</t>
  </si>
  <si>
    <t>151215912</t>
  </si>
  <si>
    <t>Paper</t>
  </si>
  <si>
    <t>DECKERT, MICHELLE</t>
  </si>
  <si>
    <t>DECKERT, ROBERT</t>
  </si>
  <si>
    <t>Anchor Nissan</t>
  </si>
  <si>
    <t>MDECKERT@VERIZON.NET</t>
  </si>
  <si>
    <t>Roe</t>
  </si>
  <si>
    <t>Armaneali</t>
  </si>
  <si>
    <t>151215920</t>
  </si>
  <si>
    <t>WEIFFENBACH, PAUL</t>
  </si>
  <si>
    <t>WEIFFENB@YAHOO.COM</t>
  </si>
  <si>
    <t>DUGAN</t>
  </si>
  <si>
    <t>FOGT, LYNN</t>
  </si>
  <si>
    <t>lynnk2006@gmail.com</t>
  </si>
  <si>
    <t>BRETH</t>
  </si>
  <si>
    <t># 9</t>
  </si>
  <si>
    <t>151215764 E</t>
  </si>
  <si>
    <t>151215772 E</t>
  </si>
  <si>
    <t>151215805 E</t>
  </si>
  <si>
    <t>151215863 E</t>
  </si>
  <si>
    <t>151215871 E</t>
  </si>
  <si>
    <t>151215889 E</t>
  </si>
  <si>
    <t>151215938 E</t>
  </si>
  <si>
    <t>Funding Worksheet - Signoff Version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</si>
  <si>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</si>
  <si>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</si>
  <si>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</si>
  <si>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</si>
  <si>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</si>
  <si>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</si>
  <si>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</si>
  <si>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honda-Patriot Auto Group Inc d/b/a</t>
  </si>
  <si>
    <t>lu-Richard Lundgren, Inc. d/b/a</t>
  </si>
  <si>
    <t># 2</t>
  </si>
  <si>
    <t>Original Notes Delivered</t>
  </si>
  <si>
    <t>Delivered by:</t>
  </si>
  <si>
    <t>Received by:</t>
  </si>
  <si>
    <t>Dated signed: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</si>
</sst>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6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7" fontId="3" fillId="0" borderId="0" xfId="0" applyNumberFormat="1" applyFont="1"/>
    <xf numFmtId="7" fontId="5" fillId="0" borderId="0" xfId="0" applyNumberFormat="1" applyFont="1"/>
    <xf numFmtId="0" fontId="4" fillId="0" borderId="0" xfId="0" applyFont="1"/>
    <xf numFmtId="7" fontId="4" fillId="0" borderId="0" xfId="0" applyNumberFormat="1" applyFont="1"/>
    <xf numFmtId="0" fontId="0" fillId="0" borderId="1" xfId="0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</cellXfs>
  <cellStyles count="1">
    <cellStyle name="Normal" xfId="0" builtinId="0"/>
  </cellStyles>
  <dxfs count="27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3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5132CF-435D-49FD-99DA-D88336649BB3}" name="Table_16" displayName="Table_16" ref="A3:H20" headerRowDxfId="18" dataDxfId="16" totalsRowDxfId="17">
  <sortState xmlns:xlrd2="http://schemas.microsoft.com/office/spreadsheetml/2017/richdata2" ref="A4:H20">
    <sortCondition ref="A4:A20"/>
  </sortState>
  <tableColumns count="8">
    <tableColumn id="1" xr3:uid="{AB394FAE-313B-4F15-9D6F-D781EAC8393C}" name="Dealer Name" dataDxfId="26"/>
    <tableColumn id="7" xr3:uid="{7E5A085B-F74A-446F-AD87-ABB7C5AF03BA}" name="Column1" dataDxfId="25"/>
    <tableColumn id="2" xr3:uid="{ADC36849-26E4-42A3-ACC8-9859274B368A}" name="Funded by" dataDxfId="24"/>
    <tableColumn id="3" xr3:uid="{7FD49FB6-CAE4-4FF5-862A-42C2E96014E7}" name="Dealer Flat" dataDxfId="23"/>
    <tableColumn id="4" xr3:uid="{C80EFAE4-CB4C-4642-84A8-99CEF7C3847D}" name="Dealer Split" dataDxfId="22"/>
    <tableColumn id="5" xr3:uid="{4CD41F94-FA47-43B5-8A12-ED7EFAE1D451}" name="Net to Dealer" dataDxfId="21"/>
    <tableColumn id="8" xr3:uid="{7B433332-A312-4756-9C49-D27595A61072}" name="Column2" dataDxfId="20"/>
    <tableColumn id="6" xr3:uid="{49E4B31A-AC36-441B-8D86-D0BF5840FA34}" name="Contracted Amount Financed" dataDxfId="1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09897A-21E5-4156-B470-A6B1ADD5AE38}" name="Table_14" displayName="Table_14" ref="A3:E6">
  <tableColumns count="5">
    <tableColumn id="1" xr3:uid="{1B6902EF-1B05-4EA7-A4BE-C8CC1F888110}" name="Account Number"/>
    <tableColumn id="2" xr3:uid="{9BFFC7B6-F7CE-457E-83EC-ACB8CC5F44CA}" name="Contract Type"/>
    <tableColumn id="3" xr3:uid="{A515779C-72C3-4F51-9492-010D7FD184CD}" name="Applicant Name"/>
    <tableColumn id="4" xr3:uid="{E03C5C5E-2222-46A0-B47C-EFF85DA5B0C2}" name="Co-Applicant Name"/>
    <tableColumn id="5" xr3:uid="{5DAD7EA8-66B7-4912-B88B-7479C15A0A60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"/>
  <sheetViews>
    <sheetView tabSelected="1" workbookViewId="0">
      <pane ySplit="3" topLeftCell="A4" activePane="bottomLeft" state="frozen"/>
      <selection pane="bottomLeft" activeCell="F18" sqref="F18"/>
    </sheetView>
  </sheetViews>
  <sheetFormatPr defaultRowHeight="15.75" x14ac:dyDescent="0.25"/>
  <cols>
    <col min="1" max="1" width="14.28515625" style="6" customWidth="1"/>
    <col min="2" max="2" width="12.140625" style="6" bestFit="1" customWidth="1"/>
    <col min="3" max="3" width="14" style="6" bestFit="1" customWidth="1"/>
    <col min="4" max="4" width="20.28515625" style="6" bestFit="1" customWidth="1"/>
    <col min="5" max="5" width="18.7109375" style="6" bestFit="1" customWidth="1"/>
    <col min="6" max="6" width="27" style="6" bestFit="1" customWidth="1"/>
    <col min="7" max="7" width="17.7109375" style="6" bestFit="1" customWidth="1"/>
    <col min="8" max="8" width="17.140625" style="6" bestFit="1" customWidth="1"/>
    <col min="9" max="9" width="27.7109375" style="6" customWidth="1"/>
    <col min="10" max="10" width="10.140625" style="6" hidden="1" customWidth="1"/>
    <col min="11" max="11" width="16.140625" style="6" bestFit="1" customWidth="1"/>
    <col min="12" max="12" width="12.85546875" style="6" bestFit="1" customWidth="1"/>
    <col min="13" max="13" width="16.140625" style="6" hidden="1" customWidth="1"/>
    <col min="14" max="16384" width="9.140625" style="6"/>
  </cols>
  <sheetData>
    <row r="1" spans="1:13" x14ac:dyDescent="0.25">
      <c r="K1" s="18">
        <v>45890</v>
      </c>
      <c r="M1" s="7"/>
    </row>
    <row r="2" spans="1:13" x14ac:dyDescent="0.25">
      <c r="A2" s="8" t="s">
        <v>0</v>
      </c>
      <c r="B2" s="9"/>
      <c r="C2" s="9"/>
      <c r="D2" s="9"/>
      <c r="E2" s="9"/>
      <c r="F2" s="9"/>
      <c r="G2" s="10" t="s">
        <v>1</v>
      </c>
      <c r="H2" s="9"/>
      <c r="I2" s="9"/>
      <c r="J2" s="9"/>
      <c r="K2" s="9"/>
      <c r="L2" s="9"/>
      <c r="M2" s="9"/>
    </row>
    <row r="3" spans="1:13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</row>
    <row r="4" spans="1:13" ht="30" customHeight="1" x14ac:dyDescent="0.25">
      <c r="A4" s="6" t="s">
        <v>59</v>
      </c>
      <c r="B4" s="6" t="s">
        <v>15</v>
      </c>
      <c r="C4" s="6" t="s">
        <v>16</v>
      </c>
      <c r="D4" s="6" t="s">
        <v>17</v>
      </c>
      <c r="F4" s="6" t="s">
        <v>18</v>
      </c>
      <c r="G4" s="6" t="s">
        <v>19</v>
      </c>
      <c r="H4" s="11">
        <v>36943.519999999997</v>
      </c>
      <c r="I4" s="6" t="s">
        <v>20</v>
      </c>
      <c r="K4" s="6" t="s">
        <v>21</v>
      </c>
    </row>
    <row r="5" spans="1:13" ht="30" customHeight="1" x14ac:dyDescent="0.25">
      <c r="A5" s="6" t="s">
        <v>60</v>
      </c>
      <c r="B5" s="6" t="s">
        <v>15</v>
      </c>
      <c r="C5" s="6" t="s">
        <v>16</v>
      </c>
      <c r="D5" s="6" t="s">
        <v>22</v>
      </c>
      <c r="F5" s="6" t="s">
        <v>23</v>
      </c>
      <c r="G5" s="6" t="s">
        <v>19</v>
      </c>
      <c r="H5" s="11">
        <v>44709.81</v>
      </c>
      <c r="I5" s="6" t="s">
        <v>24</v>
      </c>
      <c r="K5" s="6" t="s">
        <v>25</v>
      </c>
    </row>
    <row r="6" spans="1:13" ht="30" customHeight="1" x14ac:dyDescent="0.25">
      <c r="A6" s="6" t="s">
        <v>61</v>
      </c>
      <c r="B6" s="6" t="s">
        <v>15</v>
      </c>
      <c r="C6" s="6" t="s">
        <v>16</v>
      </c>
      <c r="D6" s="6" t="s">
        <v>26</v>
      </c>
      <c r="F6" s="6" t="s">
        <v>27</v>
      </c>
      <c r="G6" s="6" t="s">
        <v>28</v>
      </c>
      <c r="H6" s="11">
        <v>34686.629999999997</v>
      </c>
      <c r="I6" s="6" t="s">
        <v>29</v>
      </c>
      <c r="K6" s="6" t="s">
        <v>30</v>
      </c>
    </row>
    <row r="7" spans="1:13" ht="30" customHeight="1" x14ac:dyDescent="0.25">
      <c r="A7" s="6" t="s">
        <v>62</v>
      </c>
      <c r="B7" s="6" t="s">
        <v>15</v>
      </c>
      <c r="C7" s="6" t="s">
        <v>16</v>
      </c>
      <c r="D7" s="6" t="s">
        <v>31</v>
      </c>
      <c r="F7" s="6" t="s">
        <v>32</v>
      </c>
      <c r="G7" s="6" t="s">
        <v>19</v>
      </c>
      <c r="H7" s="11">
        <v>22453.65</v>
      </c>
      <c r="I7" s="6" t="s">
        <v>33</v>
      </c>
      <c r="K7" s="6" t="s">
        <v>34</v>
      </c>
    </row>
    <row r="8" spans="1:13" ht="30" customHeight="1" x14ac:dyDescent="0.25">
      <c r="A8" s="6" t="s">
        <v>63</v>
      </c>
      <c r="B8" s="6" t="s">
        <v>15</v>
      </c>
      <c r="C8" s="6" t="s">
        <v>16</v>
      </c>
      <c r="D8" s="6" t="s">
        <v>35</v>
      </c>
      <c r="F8" s="6" t="s">
        <v>36</v>
      </c>
      <c r="G8" s="6" t="s">
        <v>19</v>
      </c>
      <c r="H8" s="11">
        <v>41764.300000000003</v>
      </c>
      <c r="K8" s="6" t="s">
        <v>37</v>
      </c>
    </row>
    <row r="9" spans="1:13" ht="30" customHeight="1" x14ac:dyDescent="0.25">
      <c r="A9" s="6" t="s">
        <v>64</v>
      </c>
      <c r="B9" s="6" t="s">
        <v>38</v>
      </c>
      <c r="C9" s="6" t="s">
        <v>16</v>
      </c>
      <c r="D9" s="6" t="s">
        <v>39</v>
      </c>
      <c r="F9" s="6" t="s">
        <v>40</v>
      </c>
      <c r="G9" s="6" t="s">
        <v>19</v>
      </c>
      <c r="H9" s="11">
        <v>19158.490000000002</v>
      </c>
      <c r="I9" s="6" t="s">
        <v>41</v>
      </c>
      <c r="K9" s="6" t="s">
        <v>42</v>
      </c>
    </row>
    <row r="10" spans="1:13" ht="30" customHeight="1" x14ac:dyDescent="0.25">
      <c r="A10" s="6" t="s">
        <v>43</v>
      </c>
      <c r="B10" s="6" t="s">
        <v>38</v>
      </c>
      <c r="C10" s="6" t="s">
        <v>44</v>
      </c>
      <c r="D10" s="6" t="s">
        <v>45</v>
      </c>
      <c r="E10" s="6" t="s">
        <v>46</v>
      </c>
      <c r="F10" s="6" t="s">
        <v>47</v>
      </c>
      <c r="G10" s="6" t="s">
        <v>28</v>
      </c>
      <c r="H10" s="11">
        <v>53656.77</v>
      </c>
      <c r="I10" s="6" t="s">
        <v>48</v>
      </c>
      <c r="K10" s="6" t="s">
        <v>49</v>
      </c>
      <c r="L10" s="6" t="s">
        <v>50</v>
      </c>
    </row>
    <row r="11" spans="1:13" ht="30" customHeight="1" x14ac:dyDescent="0.25">
      <c r="A11" s="6" t="s">
        <v>51</v>
      </c>
      <c r="B11" s="6" t="s">
        <v>15</v>
      </c>
      <c r="C11" s="6" t="s">
        <v>44</v>
      </c>
      <c r="D11" s="6" t="s">
        <v>52</v>
      </c>
      <c r="F11" s="6" t="s">
        <v>27</v>
      </c>
      <c r="G11" s="6" t="s">
        <v>19</v>
      </c>
      <c r="H11" s="11">
        <v>21553.439999999999</v>
      </c>
      <c r="I11" s="6" t="s">
        <v>53</v>
      </c>
      <c r="K11" s="6" t="s">
        <v>54</v>
      </c>
    </row>
    <row r="12" spans="1:13" ht="30" customHeight="1" x14ac:dyDescent="0.25">
      <c r="A12" s="6" t="s">
        <v>65</v>
      </c>
      <c r="B12" s="6" t="s">
        <v>15</v>
      </c>
      <c r="C12" s="6" t="s">
        <v>16</v>
      </c>
      <c r="D12" s="6" t="s">
        <v>55</v>
      </c>
      <c r="F12" s="6" t="s">
        <v>23</v>
      </c>
      <c r="G12" s="6" t="s">
        <v>28</v>
      </c>
      <c r="H12" s="11">
        <v>36177.379999999997</v>
      </c>
      <c r="I12" s="6" t="s">
        <v>56</v>
      </c>
      <c r="K12" s="6" t="s">
        <v>57</v>
      </c>
    </row>
    <row r="13" spans="1:13" x14ac:dyDescent="0.25">
      <c r="A13" s="13"/>
      <c r="B13" s="13"/>
      <c r="C13" s="13"/>
      <c r="D13" s="13" t="s">
        <v>58</v>
      </c>
      <c r="E13" s="13"/>
      <c r="F13" s="13"/>
      <c r="G13" s="13"/>
      <c r="H13" s="14">
        <f>SUM(H4:H12)</f>
        <v>311103.98999999993</v>
      </c>
      <c r="I13" s="13"/>
      <c r="J13" s="13"/>
      <c r="K13" s="13"/>
      <c r="L13" s="13"/>
      <c r="M13" s="13"/>
    </row>
  </sheetData>
  <mergeCells count="2">
    <mergeCell ref="A2:F2"/>
    <mergeCell ref="G2:M2"/>
  </mergeCells>
  <pageMargins left="0.7" right="0.2" top="0.75" bottom="0.75" header="0.3" footer="0.3"/>
  <pageSetup paperSize="5" scale="84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10DC-7139-4E4B-8C4F-CBDB93B22E5A}">
  <sheetPr>
    <pageSetUpPr fitToPage="1"/>
  </sheetPr>
  <dimension ref="A1:H20"/>
  <sheetViews>
    <sheetView topLeftCell="A7" workbookViewId="0">
      <selection activeCell="L14" sqref="L14"/>
    </sheetView>
  </sheetViews>
  <sheetFormatPr defaultRowHeight="15.75" x14ac:dyDescent="0.25"/>
  <cols>
    <col min="1" max="1" width="18.140625" style="6" customWidth="1"/>
    <col min="2" max="2" width="12.42578125" style="6" customWidth="1"/>
    <col min="3" max="4" width="14.28515625" style="6" customWidth="1"/>
    <col min="5" max="5" width="9.140625" style="6"/>
    <col min="6" max="6" width="13" style="6" customWidth="1"/>
    <col min="7" max="7" width="16.5703125" style="6" customWidth="1"/>
    <col min="8" max="8" width="17.42578125" style="6" customWidth="1"/>
    <col min="9" max="16384" width="9.140625" style="6"/>
  </cols>
  <sheetData>
    <row r="1" spans="1:8" x14ac:dyDescent="0.25">
      <c r="E1" s="7"/>
      <c r="H1" s="7">
        <v>45890.999988425923</v>
      </c>
    </row>
    <row r="2" spans="1:8" x14ac:dyDescent="0.25">
      <c r="A2" s="8" t="s">
        <v>0</v>
      </c>
      <c r="B2" s="8"/>
      <c r="C2" s="9"/>
      <c r="D2" s="9"/>
      <c r="E2" s="10" t="s">
        <v>67</v>
      </c>
      <c r="F2" s="9"/>
      <c r="G2" s="9"/>
      <c r="H2" s="9"/>
    </row>
    <row r="3" spans="1:8" x14ac:dyDescent="0.25">
      <c r="A3" s="6" t="s">
        <v>7</v>
      </c>
      <c r="B3" s="6" t="s">
        <v>72</v>
      </c>
      <c r="C3" s="6" t="s">
        <v>8</v>
      </c>
      <c r="D3" s="6" t="s">
        <v>68</v>
      </c>
      <c r="E3" s="6" t="s">
        <v>69</v>
      </c>
      <c r="F3" s="6" t="s">
        <v>70</v>
      </c>
      <c r="G3" s="6" t="s">
        <v>73</v>
      </c>
      <c r="H3" s="6" t="s">
        <v>71</v>
      </c>
    </row>
    <row r="4" spans="1:8" ht="27" customHeight="1" x14ac:dyDescent="0.25">
      <c r="A4" s="6" t="s">
        <v>47</v>
      </c>
      <c r="C4" s="6" t="s">
        <v>28</v>
      </c>
      <c r="D4" s="11">
        <v>1350</v>
      </c>
      <c r="E4" s="11">
        <v>0</v>
      </c>
      <c r="F4" s="12">
        <v>53581.77</v>
      </c>
      <c r="G4" s="11"/>
      <c r="H4" s="11">
        <v>53656.77</v>
      </c>
    </row>
    <row r="5" spans="1:8" ht="27" customHeight="1" x14ac:dyDescent="0.25">
      <c r="D5" s="11"/>
      <c r="E5" s="11"/>
      <c r="F5" s="12"/>
      <c r="G5" s="11"/>
      <c r="H5" s="11"/>
    </row>
    <row r="6" spans="1:8" ht="27" customHeight="1" x14ac:dyDescent="0.25">
      <c r="A6" s="6" t="s">
        <v>32</v>
      </c>
      <c r="C6" s="6" t="s">
        <v>19</v>
      </c>
      <c r="D6" s="11">
        <v>650</v>
      </c>
      <c r="E6" s="11">
        <v>0</v>
      </c>
      <c r="F6" s="12">
        <v>22378.65</v>
      </c>
      <c r="G6" s="11"/>
      <c r="H6" s="11">
        <v>22453.65</v>
      </c>
    </row>
    <row r="7" spans="1:8" ht="27" customHeight="1" x14ac:dyDescent="0.25">
      <c r="D7" s="11"/>
      <c r="E7" s="11"/>
      <c r="F7" s="11"/>
      <c r="G7" s="11"/>
      <c r="H7" s="11"/>
    </row>
    <row r="8" spans="1:8" ht="27" customHeight="1" x14ac:dyDescent="0.25">
      <c r="A8" s="6" t="s">
        <v>74</v>
      </c>
      <c r="C8" s="6" t="s">
        <v>28</v>
      </c>
      <c r="D8" s="11">
        <v>950</v>
      </c>
      <c r="E8" s="11">
        <v>0</v>
      </c>
      <c r="F8" s="11">
        <v>36102.379999999997</v>
      </c>
      <c r="G8" s="11"/>
      <c r="H8" s="11">
        <v>36177.379999999997</v>
      </c>
    </row>
    <row r="9" spans="1:8" ht="27" customHeight="1" x14ac:dyDescent="0.25">
      <c r="A9" s="6" t="s">
        <v>74</v>
      </c>
      <c r="C9" s="6" t="s">
        <v>19</v>
      </c>
      <c r="D9" s="11">
        <v>1050</v>
      </c>
      <c r="E9" s="11">
        <v>0</v>
      </c>
      <c r="F9" s="11">
        <v>44634.81</v>
      </c>
      <c r="G9" s="12">
        <f>SUM(F8:F9)</f>
        <v>80737.19</v>
      </c>
      <c r="H9" s="11">
        <v>44709.81</v>
      </c>
    </row>
    <row r="10" spans="1:8" ht="27" customHeight="1" x14ac:dyDescent="0.25">
      <c r="D10" s="11"/>
      <c r="E10" s="11"/>
      <c r="F10" s="11"/>
      <c r="G10" s="11"/>
      <c r="H10" s="11"/>
    </row>
    <row r="11" spans="1:8" ht="27" customHeight="1" x14ac:dyDescent="0.25">
      <c r="A11" s="6" t="s">
        <v>75</v>
      </c>
      <c r="C11" s="6" t="s">
        <v>19</v>
      </c>
      <c r="D11" s="11">
        <v>500</v>
      </c>
      <c r="E11" s="11">
        <v>0</v>
      </c>
      <c r="F11" s="12">
        <v>19083.490000000002</v>
      </c>
      <c r="G11" s="11"/>
      <c r="H11" s="11">
        <v>19158.490000000002</v>
      </c>
    </row>
    <row r="12" spans="1:8" ht="27" customHeight="1" x14ac:dyDescent="0.25">
      <c r="D12" s="11"/>
      <c r="E12" s="11"/>
      <c r="F12" s="12"/>
      <c r="G12" s="11"/>
      <c r="H12" s="11"/>
    </row>
    <row r="13" spans="1:8" ht="27" customHeight="1" x14ac:dyDescent="0.25">
      <c r="A13" s="6" t="s">
        <v>36</v>
      </c>
      <c r="C13" s="6" t="s">
        <v>19</v>
      </c>
      <c r="D13" s="11">
        <v>1050</v>
      </c>
      <c r="E13" s="11">
        <v>0</v>
      </c>
      <c r="F13" s="12">
        <v>41689.300000000003</v>
      </c>
      <c r="G13" s="11"/>
      <c r="H13" s="11">
        <v>41764.300000000003</v>
      </c>
    </row>
    <row r="14" spans="1:8" ht="27" customHeight="1" x14ac:dyDescent="0.25">
      <c r="D14" s="11"/>
      <c r="E14" s="11"/>
      <c r="F14" s="11"/>
      <c r="G14" s="11"/>
      <c r="H14" s="11"/>
    </row>
    <row r="15" spans="1:8" ht="27" customHeight="1" x14ac:dyDescent="0.25">
      <c r="A15" s="6" t="s">
        <v>27</v>
      </c>
      <c r="C15" s="6" t="s">
        <v>28</v>
      </c>
      <c r="D15" s="11">
        <v>850</v>
      </c>
      <c r="E15" s="11">
        <v>0</v>
      </c>
      <c r="F15" s="11">
        <v>34611.629999999997</v>
      </c>
      <c r="G15" s="11"/>
      <c r="H15" s="11">
        <v>34686.629999999997</v>
      </c>
    </row>
    <row r="16" spans="1:8" ht="27" customHeight="1" x14ac:dyDescent="0.25">
      <c r="A16" s="6" t="s">
        <v>27</v>
      </c>
      <c r="C16" s="6" t="s">
        <v>19</v>
      </c>
      <c r="D16" s="11">
        <v>650</v>
      </c>
      <c r="E16" s="11">
        <v>0</v>
      </c>
      <c r="F16" s="11">
        <v>21478.44</v>
      </c>
      <c r="G16" s="12">
        <f>SUM(F15:F16)</f>
        <v>56090.069999999992</v>
      </c>
      <c r="H16" s="11">
        <v>21553.439999999999</v>
      </c>
    </row>
    <row r="17" spans="1:8" ht="27" customHeight="1" x14ac:dyDescent="0.25">
      <c r="D17" s="11"/>
      <c r="E17" s="11"/>
      <c r="F17" s="11"/>
      <c r="G17" s="11"/>
      <c r="H17" s="11"/>
    </row>
    <row r="18" spans="1:8" ht="27" customHeight="1" x14ac:dyDescent="0.25">
      <c r="A18" s="6" t="s">
        <v>18</v>
      </c>
      <c r="C18" s="6" t="s">
        <v>19</v>
      </c>
      <c r="D18" s="11">
        <v>950</v>
      </c>
      <c r="E18" s="11">
        <v>0</v>
      </c>
      <c r="F18" s="12">
        <v>36868.519999999997</v>
      </c>
      <c r="G18" s="11"/>
      <c r="H18" s="11">
        <v>36943.519999999997</v>
      </c>
    </row>
    <row r="19" spans="1:8" x14ac:dyDescent="0.25">
      <c r="D19" s="11"/>
      <c r="E19" s="11"/>
      <c r="F19" s="11"/>
      <c r="G19" s="11"/>
      <c r="H19" s="11"/>
    </row>
    <row r="20" spans="1:8" x14ac:dyDescent="0.25">
      <c r="A20" s="13"/>
      <c r="B20" s="13"/>
      <c r="C20" s="13"/>
      <c r="D20" s="14">
        <f>SUM(D4:D19)</f>
        <v>8000</v>
      </c>
      <c r="E20" s="14">
        <f>SUM(E4:E19)</f>
        <v>0</v>
      </c>
      <c r="F20" s="14">
        <f>SUM(F4:F19)</f>
        <v>310428.99</v>
      </c>
      <c r="G20" s="14"/>
      <c r="H20" s="14">
        <f>SUM(H4:H19)</f>
        <v>311103.99</v>
      </c>
    </row>
  </sheetData>
  <mergeCells count="2">
    <mergeCell ref="A2:D2"/>
    <mergeCell ref="E2:H2"/>
  </mergeCells>
  <pageMargins left="0.7" right="0.2" top="0.75" bottom="0.75" header="0.3" footer="0.3"/>
  <pageSetup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1B05A-D2F9-4117-A0BE-2172DE77DFCA}">
  <sheetPr>
    <pageSetUpPr fitToPage="1"/>
  </sheetPr>
  <dimension ref="A1:E19"/>
  <sheetViews>
    <sheetView workbookViewId="0">
      <selection activeCell="E23" sqref="E23"/>
    </sheetView>
  </sheetViews>
  <sheetFormatPr defaultRowHeight="15" x14ac:dyDescent="0.25"/>
  <cols>
    <col min="1" max="1" width="13" customWidth="1"/>
    <col min="2" max="2" width="7.140625" customWidth="1"/>
    <col min="3" max="3" width="19.5703125" customWidth="1"/>
    <col min="4" max="4" width="19.140625" customWidth="1"/>
    <col min="5" max="5" width="24" customWidth="1"/>
  </cols>
  <sheetData>
    <row r="1" spans="1:5" ht="22.5" customHeight="1" x14ac:dyDescent="0.25">
      <c r="A1" s="16" t="s">
        <v>77</v>
      </c>
      <c r="D1" s="2"/>
      <c r="E1" s="17">
        <v>45890</v>
      </c>
    </row>
    <row r="2" spans="1:5" ht="21.75" customHeight="1" x14ac:dyDescent="0.25">
      <c r="A2" s="3" t="s">
        <v>0</v>
      </c>
      <c r="B2" s="4"/>
      <c r="C2" s="4"/>
      <c r="D2" s="5" t="s">
        <v>66</v>
      </c>
      <c r="E2" s="4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</row>
    <row r="5" spans="1:5" ht="24.95" customHeight="1" x14ac:dyDescent="0.25">
      <c r="A5" t="s">
        <v>51</v>
      </c>
      <c r="B5" t="s">
        <v>44</v>
      </c>
      <c r="C5" t="s">
        <v>52</v>
      </c>
      <c r="E5" t="s">
        <v>27</v>
      </c>
    </row>
    <row r="6" spans="1:5" ht="24.95" customHeight="1" x14ac:dyDescent="0.25">
      <c r="A6" s="1"/>
      <c r="B6" s="1"/>
      <c r="C6" s="1" t="s">
        <v>76</v>
      </c>
      <c r="D6" s="1"/>
      <c r="E6" s="1"/>
    </row>
    <row r="11" spans="1:5" x14ac:dyDescent="0.25">
      <c r="A11" t="s">
        <v>78</v>
      </c>
      <c r="B11" s="15"/>
      <c r="C11" s="15"/>
      <c r="D11" s="15"/>
    </row>
    <row r="15" spans="1:5" x14ac:dyDescent="0.25">
      <c r="A15" t="s">
        <v>79</v>
      </c>
      <c r="B15" s="15"/>
      <c r="C15" s="15"/>
      <c r="D15" s="15"/>
    </row>
    <row r="19" spans="1:3" x14ac:dyDescent="0.25">
      <c r="A19" t="s">
        <v>80</v>
      </c>
      <c r="B19" s="15"/>
      <c r="C19" s="15"/>
    </row>
  </sheetData>
  <mergeCells count="2">
    <mergeCell ref="A2:C2"/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2025-08-21T18:07:05Z</cp:lastPrinted>
  <dcterms:created xsi:type="dcterms:W3CDTF">2025-08-21T17:36:04Z</dcterms:created>
  <dcterms:modified xsi:type="dcterms:W3CDTF">2025-08-21T18:32:25Z</dcterms:modified>
</cp:coreProperties>
</file>