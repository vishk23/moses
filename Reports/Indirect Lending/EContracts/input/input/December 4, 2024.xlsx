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Development\Input\"/>
    </mc:Choice>
  </mc:AlternateContent>
  <bookViews>
    <workbookView xWindow="23880" yWindow="-168" windowWidth="24240" windowHeight="13140"/>
  </bookViews>
  <sheets>
    <sheet name="Funding Worksheet - Folder Vers" sheetId="1" r:id="rId1"/>
    <sheet name="Original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L6" i="2"/>
  <c r="K6" i="2"/>
  <c r="J6" i="2"/>
</calcChain>
</file>

<file path=xl/sharedStrings.xml><?xml version="1.0" encoding="utf-8"?>
<sst xmlns="http://schemas.openxmlformats.org/spreadsheetml/2006/main" count="67" uniqueCount="47">
  <si>
    <t>Bristol County Savings Bank</t>
  </si>
  <si>
    <t>Funding worksheet</t>
  </si>
  <si>
    <t>To</t>
  </si>
  <si>
    <t>From</t>
  </si>
  <si>
    <t>Application Number</t>
  </si>
  <si>
    <t>Application Date</t>
  </si>
  <si>
    <t>Application Status</t>
  </si>
  <si>
    <t>Applicant Name</t>
  </si>
  <si>
    <t>Co-Applicant Name</t>
  </si>
  <si>
    <t>Portal</t>
  </si>
  <si>
    <t>Dealer Name</t>
  </si>
  <si>
    <t>Effective Fund Date</t>
  </si>
  <si>
    <t>Funded by</t>
  </si>
  <si>
    <t>Dealer Flat</t>
  </si>
  <si>
    <t>Dealer Split</t>
  </si>
  <si>
    <t>Net to Dealer</t>
  </si>
  <si>
    <t>Contracted Amount Financed (Funding)</t>
  </si>
  <si>
    <t>Business Name</t>
  </si>
  <si>
    <t>X V S I</t>
  </si>
  <si>
    <t>X Contract Type</t>
  </si>
  <si>
    <t>X Account Number Funding Applicant</t>
  </si>
  <si>
    <t>X Contract Type 1</t>
  </si>
  <si>
    <t>X Account Number Funding Co Applicant</t>
  </si>
  <si>
    <t>Submitted</t>
  </si>
  <si>
    <t>IRISH, JEREMY</t>
  </si>
  <si>
    <t>Route One</t>
  </si>
  <si>
    <t>Alden Mazda</t>
  </si>
  <si>
    <t>Rachel Gorham</t>
  </si>
  <si>
    <t>75</t>
  </si>
  <si>
    <t>E Contract</t>
  </si>
  <si>
    <t>151125054</t>
  </si>
  <si>
    <t>SALVAS, MARK</t>
  </si>
  <si>
    <t>DealerTrack</t>
  </si>
  <si>
    <t>Sandy Motors, Inc</t>
  </si>
  <si>
    <t>Neli Oliveira</t>
  </si>
  <si>
    <t>Paper</t>
  </si>
  <si>
    <t>151125161</t>
  </si>
  <si>
    <t>Total</t>
  </si>
  <si>
    <t># 2</t>
  </si>
  <si>
    <t>Funding Worksheet - Folder Version</t>
  </si>
  <si>
    <t>Account Number</t>
  </si>
  <si>
    <t>Contract Type</t>
  </si>
  <si>
    <t>Amount Financed</t>
  </si>
  <si>
    <t>Applicant Email</t>
  </si>
  <si>
    <t>Co-Applicant Email</t>
  </si>
  <si>
    <t>App MMN</t>
  </si>
  <si>
    <t>Co-App MMN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</si>
</sst>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$&quot;#,##0.00_);\(&quot;$&quot;#,##0.00\)"/>
    <numFmt numFmtId="164" formatCode="[$-409]mmmm\ d\,\ yyyy;@"/>
  </numFmts>
  <fonts count="5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7" fontId="0" fillId="0" borderId="0" xfId="0" applyNumberFormat="1"/>
    <xf numFmtId="7" fontId="2" fillId="0" borderId="0" xfId="0" applyNumberFormat="1" applyFont="1"/>
    <xf numFmtId="164" fontId="0" fillId="0" borderId="0" xfId="0" applyNumberFormat="1" applyAlignment="1">
      <alignment horizontal="right"/>
    </xf>
    <xf numFmtId="0" fontId="0" fillId="0" borderId="0" xfId="0"/>
    <xf numFmtId="0" fontId="2" fillId="0" borderId="0" xfId="0" applyFont="1" applyAlignment="1"/>
    <xf numFmtId="0" fontId="0" fillId="0" borderId="0" xfId="0" applyAlignment="1"/>
    <xf numFmtId="14" fontId="3" fillId="0" borderId="0" xfId="0" applyNumberFormat="1" applyFont="1" applyAlignment="1">
      <alignment horizontal="lef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7" fontId="1" fillId="2" borderId="2" xfId="0" applyNumberFormat="1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7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_13" displayName="Table_13" ref="A3:S6">
  <tableColumns count="19">
    <tableColumn id="1" name="Application Number"/>
    <tableColumn id="2" name="Application Date"/>
    <tableColumn id="3" name="Application Status"/>
    <tableColumn id="4" name="Applicant Name"/>
    <tableColumn id="5" name="Co-Applicant Name"/>
    <tableColumn id="6" name="Portal"/>
    <tableColumn id="7" name="Dealer Name"/>
    <tableColumn id="8" name="Effective Fund Date"/>
    <tableColumn id="9" name="Funded by"/>
    <tableColumn id="10" name="Dealer Flat"/>
    <tableColumn id="11" name="Dealer Split"/>
    <tableColumn id="12" name="Net to Dealer"/>
    <tableColumn id="13" name="Contracted Amount Financed (Funding)"/>
    <tableColumn id="14" name="Business Name"/>
    <tableColumn id="15" name="X V S I"/>
    <tableColumn id="16" name="X Contract Type"/>
    <tableColumn id="17" name="X Account Number Funding Applicant"/>
    <tableColumn id="18" name="X Contract Type 1"/>
    <tableColumn id="19" name="X Account Number Funding Co Applic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zoomScale="70" zoomScaleNormal="70" workbookViewId="0">
      <pane ySplit="1" topLeftCell="A2" activePane="bottomLeft" state="frozen"/>
      <selection pane="bottomLeft" activeCell="A6" sqref="A6"/>
    </sheetView>
  </sheetViews>
  <sheetFormatPr defaultRowHeight="13.8"/>
  <cols>
    <col min="1" max="2" width="19.296875" bestFit="1" customWidth="1"/>
    <col min="3" max="3" width="17.69921875" bestFit="1" customWidth="1"/>
    <col min="4" max="4" width="15.69921875" bestFit="1" customWidth="1"/>
    <col min="5" max="5" width="18.69921875" bestFit="1" customWidth="1"/>
    <col min="6" max="6" width="12.09765625" bestFit="1" customWidth="1"/>
    <col min="7" max="7" width="17.3984375" bestFit="1" customWidth="1"/>
    <col min="8" max="8" width="19.09765625" bestFit="1" customWidth="1"/>
    <col min="9" max="9" width="15.09765625" bestFit="1" customWidth="1"/>
    <col min="10" max="10" width="11.09765625" bestFit="1" customWidth="1"/>
    <col min="11" max="11" width="11.69921875" bestFit="1" customWidth="1"/>
    <col min="12" max="12" width="13.296875" bestFit="1" customWidth="1"/>
    <col min="13" max="13" width="37.296875" bestFit="1" customWidth="1"/>
    <col min="14" max="14" width="15.09765625" bestFit="1" customWidth="1"/>
    <col min="15" max="15" width="7" bestFit="1" customWidth="1"/>
    <col min="16" max="16" width="15.8984375" bestFit="1" customWidth="1"/>
    <col min="17" max="17" width="35.3984375" bestFit="1" customWidth="1"/>
    <col min="18" max="18" width="17.59765625" bestFit="1" customWidth="1"/>
    <col min="19" max="19" width="38.3984375" bestFit="1" customWidth="1"/>
  </cols>
  <sheetData>
    <row r="1" spans="1:13" ht="15">
      <c r="A1" s="8">
        <v>45630</v>
      </c>
      <c r="B1" s="9"/>
      <c r="C1" s="9"/>
      <c r="D1" s="9"/>
      <c r="E1" s="9"/>
      <c r="F1" s="9"/>
      <c r="G1" s="9"/>
      <c r="H1" s="9"/>
      <c r="I1" s="9"/>
      <c r="J1" s="9" t="s">
        <v>3</v>
      </c>
      <c r="K1" s="11">
        <v>45630</v>
      </c>
      <c r="L1" s="12"/>
      <c r="M1" s="10">
        <v>45630.999988425923</v>
      </c>
    </row>
    <row r="2" spans="1:13" ht="15.6">
      <c r="A2" s="13" t="s">
        <v>0</v>
      </c>
      <c r="B2" s="14"/>
      <c r="C2" s="14"/>
      <c r="D2" s="14"/>
      <c r="E2" s="14"/>
      <c r="F2" s="14"/>
      <c r="G2" s="15" t="s">
        <v>39</v>
      </c>
      <c r="H2" s="14"/>
      <c r="I2" s="14"/>
      <c r="J2" s="14"/>
      <c r="K2" s="14"/>
      <c r="L2" s="14"/>
      <c r="M2" s="14"/>
    </row>
    <row r="3" spans="1:13" ht="15">
      <c r="A3" s="9" t="s">
        <v>40</v>
      </c>
      <c r="B3" s="9" t="s">
        <v>9</v>
      </c>
      <c r="C3" s="9" t="s">
        <v>41</v>
      </c>
      <c r="D3" s="9" t="s">
        <v>7</v>
      </c>
      <c r="E3" s="9" t="s">
        <v>8</v>
      </c>
      <c r="F3" s="9" t="s">
        <v>10</v>
      </c>
      <c r="G3" s="9" t="s">
        <v>12</v>
      </c>
      <c r="H3" s="9" t="s">
        <v>42</v>
      </c>
      <c r="I3" s="9" t="s">
        <v>43</v>
      </c>
      <c r="J3" s="9" t="s">
        <v>44</v>
      </c>
      <c r="K3" s="9" t="s">
        <v>45</v>
      </c>
      <c r="L3" s="9" t="s">
        <v>46</v>
      </c>
      <c r="M3" s="9" t="s">
        <v>17</v>
      </c>
    </row>
    <row r="4" spans="1:13">
      <c r="A4" s="16">
        <v>124557</v>
      </c>
      <c r="B4" s="17" t="s">
        <v>25</v>
      </c>
      <c r="C4" s="17" t="s">
        <v>29</v>
      </c>
      <c r="D4" s="17" t="s">
        <v>24</v>
      </c>
      <c r="F4" s="17" t="s">
        <v>26</v>
      </c>
      <c r="G4" s="17" t="s">
        <v>27</v>
      </c>
      <c r="H4" s="18">
        <v>26708.22</v>
      </c>
    </row>
    <row r="5" spans="1:13">
      <c r="A5" s="19">
        <v>124709</v>
      </c>
      <c r="B5" s="20" t="s">
        <v>32</v>
      </c>
      <c r="C5" s="20" t="s">
        <v>35</v>
      </c>
      <c r="D5" s="20" t="s">
        <v>31</v>
      </c>
      <c r="F5" s="20" t="s">
        <v>33</v>
      </c>
      <c r="G5" s="20" t="s">
        <v>34</v>
      </c>
      <c r="H5" s="21">
        <v>23357.06</v>
      </c>
    </row>
  </sheetData>
  <mergeCells count="3">
    <mergeCell ref="K1:L1"/>
    <mergeCell ref="A2:F2"/>
    <mergeCell ref="G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zoomScale="70" zoomScaleNormal="70" workbookViewId="0">
      <pane ySplit="3" topLeftCell="A4" activePane="bottomLeft" state="frozen"/>
      <selection pane="bottomLeft" activeCell="A8" sqref="A8:XFD16"/>
    </sheetView>
  </sheetViews>
  <sheetFormatPr defaultRowHeight="13.8"/>
  <cols>
    <col min="1" max="2" width="19.296875" style="5" bestFit="1" customWidth="1"/>
    <col min="3" max="3" width="17.69921875" style="5" bestFit="1" customWidth="1"/>
    <col min="4" max="4" width="15.69921875" style="5" bestFit="1" customWidth="1"/>
    <col min="5" max="5" width="18.69921875" style="5" bestFit="1" customWidth="1"/>
    <col min="6" max="6" width="12.09765625" style="5" bestFit="1" customWidth="1"/>
    <col min="7" max="7" width="17.3984375" style="5" bestFit="1" customWidth="1"/>
    <col min="8" max="8" width="19.09765625" style="5" bestFit="1" customWidth="1"/>
    <col min="9" max="9" width="15.09765625" style="5" bestFit="1" customWidth="1"/>
    <col min="10" max="10" width="11.09765625" style="5" bestFit="1" customWidth="1"/>
    <col min="11" max="11" width="11.69921875" style="5" bestFit="1" customWidth="1"/>
    <col min="12" max="12" width="13.296875" style="5" bestFit="1" customWidth="1"/>
    <col min="13" max="13" width="37.296875" style="5" bestFit="1" customWidth="1"/>
    <col min="14" max="14" width="15.09765625" style="5" bestFit="1" customWidth="1"/>
    <col min="15" max="15" width="7" style="5" bestFit="1" customWidth="1"/>
    <col min="16" max="16" width="15.8984375" style="5" bestFit="1" customWidth="1"/>
    <col min="17" max="17" width="35.3984375" style="5" bestFit="1" customWidth="1"/>
    <col min="18" max="18" width="17.59765625" style="5" bestFit="1" customWidth="1"/>
    <col min="19" max="19" width="38.3984375" style="5" bestFit="1" customWidth="1"/>
    <col min="20" max="16384" width="8.796875" style="5"/>
  </cols>
  <sheetData>
    <row r="1" spans="1:19">
      <c r="P1" s="5" t="s">
        <v>3</v>
      </c>
      <c r="Q1" s="4">
        <v>45630</v>
      </c>
      <c r="R1" s="5" t="s">
        <v>2</v>
      </c>
      <c r="S1" s="4">
        <v>45630.999988425923</v>
      </c>
    </row>
    <row r="2" spans="1:19" ht="14.4">
      <c r="A2" s="6" t="s">
        <v>0</v>
      </c>
      <c r="B2" s="7"/>
      <c r="C2" s="7"/>
      <c r="D2" s="7"/>
      <c r="E2" s="7"/>
      <c r="F2" s="7"/>
      <c r="G2" s="7"/>
      <c r="H2" s="7"/>
      <c r="I2" s="7"/>
      <c r="J2" s="6" t="s">
        <v>1</v>
      </c>
      <c r="K2" s="7"/>
      <c r="L2" s="7"/>
      <c r="M2" s="7"/>
      <c r="N2" s="7"/>
      <c r="O2" s="7"/>
      <c r="P2" s="7"/>
      <c r="Q2" s="7"/>
      <c r="R2" s="7"/>
      <c r="S2" s="7"/>
    </row>
    <row r="3" spans="1:19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</row>
    <row r="4" spans="1:19">
      <c r="A4" s="5">
        <v>124557</v>
      </c>
      <c r="B4" s="4">
        <v>45622.520657175926</v>
      </c>
      <c r="C4" s="5" t="s">
        <v>23</v>
      </c>
      <c r="D4" s="5" t="s">
        <v>24</v>
      </c>
      <c r="F4" s="5" t="s">
        <v>25</v>
      </c>
      <c r="G4" s="5" t="s">
        <v>26</v>
      </c>
      <c r="I4" s="5" t="s">
        <v>27</v>
      </c>
      <c r="J4" s="2">
        <v>500</v>
      </c>
      <c r="K4" s="2">
        <v>0</v>
      </c>
      <c r="L4" s="2">
        <v>26633.22</v>
      </c>
      <c r="M4" s="2">
        <v>26708.22</v>
      </c>
      <c r="O4" s="5" t="s">
        <v>28</v>
      </c>
      <c r="P4" s="5" t="s">
        <v>29</v>
      </c>
      <c r="Q4" s="5" t="s">
        <v>30</v>
      </c>
    </row>
    <row r="5" spans="1:19">
      <c r="A5" s="5">
        <v>124709</v>
      </c>
      <c r="B5" s="4">
        <v>45628.535336921297</v>
      </c>
      <c r="C5" s="5" t="s">
        <v>23</v>
      </c>
      <c r="D5" s="5" t="s">
        <v>31</v>
      </c>
      <c r="F5" s="5" t="s">
        <v>32</v>
      </c>
      <c r="G5" s="5" t="s">
        <v>33</v>
      </c>
      <c r="I5" s="5" t="s">
        <v>34</v>
      </c>
      <c r="J5" s="2">
        <v>450</v>
      </c>
      <c r="K5" s="2">
        <v>0</v>
      </c>
      <c r="L5" s="2">
        <v>23282.06</v>
      </c>
      <c r="M5" s="2">
        <v>23357.06</v>
      </c>
      <c r="O5" s="5" t="s">
        <v>28</v>
      </c>
      <c r="P5" s="5" t="s">
        <v>35</v>
      </c>
      <c r="Q5" s="5" t="s">
        <v>36</v>
      </c>
    </row>
    <row r="6" spans="1:19" ht="14.4">
      <c r="A6" s="1" t="s">
        <v>37</v>
      </c>
      <c r="B6" s="1"/>
      <c r="C6" s="1"/>
      <c r="D6" s="1" t="s">
        <v>38</v>
      </c>
      <c r="E6" s="1"/>
      <c r="F6" s="1"/>
      <c r="G6" s="1"/>
      <c r="H6" s="1"/>
      <c r="I6" s="1"/>
      <c r="J6" s="3">
        <f>SUM(J4:J5)</f>
        <v>950</v>
      </c>
      <c r="K6" s="3">
        <f>SUM(K4:K5)</f>
        <v>0</v>
      </c>
      <c r="L6" s="3">
        <f>SUM(L4:L5)</f>
        <v>49915.28</v>
      </c>
      <c r="M6" s="3">
        <f>SUM(M4:M5)</f>
        <v>50065.279999999999</v>
      </c>
      <c r="N6" s="1"/>
      <c r="O6" s="1"/>
      <c r="P6" s="1"/>
      <c r="Q6" s="1"/>
      <c r="R6" s="1"/>
      <c r="S6" s="1"/>
    </row>
    <row r="7" spans="1:19" ht="15.6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Folder Vers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Prometheus T. Amoguis II</cp:lastModifiedBy>
  <dcterms:created xsi:type="dcterms:W3CDTF">2025-02-11T14:39:18Z</dcterms:created>
  <dcterms:modified xsi:type="dcterms:W3CDTF">2025-02-11T18:55:34Z</dcterms:modified>
</cp:coreProperties>
</file>