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EAC96119-C5D8-4DD1-A904-670255074AA7}" xr6:coauthVersionLast="47" xr6:coauthVersionMax="47" xr10:uidLastSave="{00000000-0000-0000-0000-000000000000}"/>
  <bookViews>
    <workbookView xWindow="33765" yWindow="870" windowWidth="22470" windowHeight="1398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" l="1"/>
  <c r="G8" i="2"/>
  <c r="H29" i="2"/>
  <c r="F29" i="2"/>
  <c r="E29" i="2"/>
  <c r="D29" i="2"/>
  <c r="H18" i="1" l="1"/>
</calcChain>
</file>

<file path=xl/sharedStrings.xml><?xml version="1.0" encoding="utf-8"?>
<sst xmlns="http://schemas.openxmlformats.org/spreadsheetml/2006/main" count="184" uniqueCount="103">
  <si>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</si>
  <si>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</si>
  <si>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</si>
  <si>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</si>
  <si>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</si>
  <si>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</si>
  <si>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</si>
  <si>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</si>
  <si>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</si>
  <si>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</si>
  <si>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</si>
  <si>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</si>
  <si>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</si>
  <si>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Business Name</t>
  </si>
  <si>
    <t>DealerTrack</t>
  </si>
  <si>
    <t>E Contract</t>
  </si>
  <si>
    <t>GARCIA, LISA</t>
  </si>
  <si>
    <t>Viti Mercedes</t>
  </si>
  <si>
    <t>Marlene Braganca</t>
  </si>
  <si>
    <t>LISAG227@GMAIL.COM</t>
  </si>
  <si>
    <t>DeFreitas</t>
  </si>
  <si>
    <t>STEWART, BRYAN</t>
  </si>
  <si>
    <t>Planet Subaru</t>
  </si>
  <si>
    <t>Rachel Gorham</t>
  </si>
  <si>
    <t>BSTEWART917@GMAIL.COM</t>
  </si>
  <si>
    <t>DUBOIS</t>
  </si>
  <si>
    <t>BONGO, KAREN</t>
  </si>
  <si>
    <t>Mastria Kia</t>
  </si>
  <si>
    <t>KBONGO802@GMAIL.COM</t>
  </si>
  <si>
    <t>Mignosa</t>
  </si>
  <si>
    <t>DAMATO, DENNIS</t>
  </si>
  <si>
    <t>Metro Honda</t>
  </si>
  <si>
    <t>Neli Oliveira</t>
  </si>
  <si>
    <t>DENNISDAMATO71@GMAIL.COM</t>
  </si>
  <si>
    <t>PERRO</t>
  </si>
  <si>
    <t>Route One</t>
  </si>
  <si>
    <t>GIFFORD, CHARLES</t>
  </si>
  <si>
    <t>T F Murphy Enterprises Inc</t>
  </si>
  <si>
    <t>CCGIFF3@GMAIL.COM</t>
  </si>
  <si>
    <t>NASH</t>
  </si>
  <si>
    <t>BAILEY-GATES, CHARLES</t>
  </si>
  <si>
    <t>Herb Chambers Lexus of Hingham</t>
  </si>
  <si>
    <t>Retts</t>
  </si>
  <si>
    <t>ALEXANDER, PAMELA</t>
  </si>
  <si>
    <t>PALEX812@AOL.COM</t>
  </si>
  <si>
    <t>FRANCIS</t>
  </si>
  <si>
    <t>MILLER, ELLEN</t>
  </si>
  <si>
    <t>ELLEN.MILLER@COMCAST.NET</t>
  </si>
  <si>
    <t>Robak</t>
  </si>
  <si>
    <t>KEAN, DAVID</t>
  </si>
  <si>
    <t>Lucchettis Service Center Inc</t>
  </si>
  <si>
    <t>DKEAN3523@GMAIL.COM</t>
  </si>
  <si>
    <t>DALTON</t>
  </si>
  <si>
    <t>KEEFE, EDWARD</t>
  </si>
  <si>
    <t>EKEEFE1@MSN.COM</t>
  </si>
  <si>
    <t>CROWELL</t>
  </si>
  <si>
    <t>151195940</t>
  </si>
  <si>
    <t>Paper</t>
  </si>
  <si>
    <t>EICK, ANDREW</t>
  </si>
  <si>
    <t>NARSA AMC LLC d/b/a</t>
  </si>
  <si>
    <t>ace.andrews95@gmail.com</t>
  </si>
  <si>
    <t>DONNELLY</t>
  </si>
  <si>
    <t>ROGERS, HENRY</t>
  </si>
  <si>
    <t>Wareham Ford</t>
  </si>
  <si>
    <t>rogershenry1965@gmail.com</t>
  </si>
  <si>
    <t>JAMES</t>
  </si>
  <si>
    <t>151195990</t>
  </si>
  <si>
    <t>AGGARWAL, ASHISH</t>
  </si>
  <si>
    <t>AutoMax Preowned(Framingham)</t>
  </si>
  <si>
    <t>MANJU</t>
  </si>
  <si>
    <t>MALLOY, MICHAEL</t>
  </si>
  <si>
    <t>Salvadore Chrysler</t>
  </si>
  <si>
    <t>mikea3579@live.com</t>
  </si>
  <si>
    <t>ROWSE</t>
  </si>
  <si>
    <t># 14</t>
  </si>
  <si>
    <t>151195734 E</t>
  </si>
  <si>
    <t>151195750 E</t>
  </si>
  <si>
    <t>151195768 E</t>
  </si>
  <si>
    <t>151195792 E</t>
  </si>
  <si>
    <t>151195841 E</t>
  </si>
  <si>
    <t>151195867 E</t>
  </si>
  <si>
    <t>151195883 E</t>
  </si>
  <si>
    <t>151195916 E</t>
  </si>
  <si>
    <t>151196005 E</t>
  </si>
  <si>
    <t>151195966 E</t>
  </si>
  <si>
    <t>151195932 E</t>
  </si>
  <si>
    <t>151195924 E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</si>
  <si>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</si>
  <si>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</si>
  <si>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</si>
  <si>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</si>
  <si>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</si>
  <si>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</si>
  <si>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</si>
  <si>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NE-AutoMax Preowned(Framingham)</t>
  </si>
  <si>
    <t>Auto Mall Coll-NARSA AMC LLC d/b/a</t>
  </si>
  <si>
    <t>5099-5689</t>
  </si>
  <si>
    <t>Funding Worksheet - Signoff Version</t>
  </si>
  <si>
    <t>#2</t>
  </si>
  <si>
    <t>Original Notes Delivered</t>
  </si>
  <si>
    <t>Delivered by:</t>
  </si>
  <si>
    <t>Received by:</t>
  </si>
  <si>
    <t>Date 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</si>
</sst>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right"/>
    </xf>
    <xf numFmtId="7" fontId="1" fillId="0" borderId="0" xfId="0" applyNumberFormat="1" applyFont="1"/>
    <xf numFmtId="0" fontId="3" fillId="0" borderId="0" xfId="0" applyFont="1"/>
    <xf numFmtId="7" fontId="3" fillId="0" borderId="0" xfId="0" applyNumberFormat="1" applyFont="1"/>
    <xf numFmtId="164" fontId="1" fillId="0" borderId="0" xfId="0" applyNumberFormat="1" applyFont="1" applyAlignment="1">
      <alignment horizontal="right"/>
    </xf>
    <xf numFmtId="7" fontId="2" fillId="0" borderId="0" xfId="0" applyNumberFormat="1" applyFont="1"/>
    <xf numFmtId="0" fontId="2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/>
    <xf numFmtId="0" fontId="0" fillId="0" borderId="1" xfId="0" applyBorder="1"/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K18" headerRowDxfId="13" dataDxfId="11" totalsRowDxfId="12">
  <tableColumns count="11">
    <tableColumn id="1" xr3:uid="{00000000-0010-0000-0000-000001000000}" name="Account Number" dataDxfId="24"/>
    <tableColumn id="2" xr3:uid="{00000000-0010-0000-0000-000002000000}" name="Portal" dataDxfId="23"/>
    <tableColumn id="3" xr3:uid="{00000000-0010-0000-0000-000003000000}" name="Contract Type" dataDxfId="22"/>
    <tableColumn id="4" xr3:uid="{00000000-0010-0000-0000-000004000000}" name="Applicant Name" dataDxfId="21"/>
    <tableColumn id="5" xr3:uid="{00000000-0010-0000-0000-000005000000}" name="Co-Applicant Name" dataDxfId="20"/>
    <tableColumn id="6" xr3:uid="{00000000-0010-0000-0000-000006000000}" name="Dealer Name" dataDxfId="19"/>
    <tableColumn id="7" xr3:uid="{00000000-0010-0000-0000-000007000000}" name="Funded by" dataDxfId="18"/>
    <tableColumn id="8" xr3:uid="{00000000-0010-0000-0000-000008000000}" name="Amount Financed" dataDxfId="17"/>
    <tableColumn id="9" xr3:uid="{00000000-0010-0000-0000-000009000000}" name="Applicant Email" dataDxfId="16"/>
    <tableColumn id="10" xr3:uid="{00000000-0010-0000-0000-00000A000000}" name="Co-Applicant Email" dataDxfId="15"/>
    <tableColumn id="11" xr3:uid="{00000000-0010-0000-0000-00000B000000}" name="App MMN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537D20-08F3-4912-8518-A937711F3168}" name="Table_14" displayName="Table_14" ref="A3:H29" headerRowDxfId="2" dataDxfId="0" totalsRowDxfId="1">
  <sortState xmlns:xlrd2="http://schemas.microsoft.com/office/spreadsheetml/2017/richdata2" ref="A4:H29">
    <sortCondition ref="A4:A29"/>
  </sortState>
  <tableColumns count="8">
    <tableColumn id="1" xr3:uid="{482D85CB-EBB8-44CB-ABB6-D60AC56E9A19}" name="Dealer Name" dataDxfId="10"/>
    <tableColumn id="7" xr3:uid="{FFCA9FB0-2230-4F9F-BF10-F5F3A567FDE1}" name="Column1" dataDxfId="9"/>
    <tableColumn id="2" xr3:uid="{D3BFE091-A84D-416F-836C-78183B510566}" name="Funded by" dataDxfId="8"/>
    <tableColumn id="3" xr3:uid="{E5AFAC44-2273-4EB4-8DFE-F569F25A2CCB}" name="Dealer Flat" dataDxfId="7"/>
    <tableColumn id="4" xr3:uid="{AE40E011-13B4-4048-A1A9-92EEB18F21B1}" name="Dealer Split" dataDxfId="6"/>
    <tableColumn id="5" xr3:uid="{820682CB-06FB-4A0D-BFCF-05AA71B86CD5}" name="Net to Dealer" dataDxfId="5"/>
    <tableColumn id="8" xr3:uid="{6244B046-5897-446E-9736-2405C32C1126}" name="Column2" dataDxfId="4"/>
    <tableColumn id="6" xr3:uid="{E926C738-2506-4562-857F-9FF64B703614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EE3208-5C58-47C7-B0B4-81210EB1047D}" name="Table_15" displayName="Table_15" ref="A3:F6">
  <tableColumns count="6">
    <tableColumn id="1" xr3:uid="{5C1C2DBA-54EA-46BA-9680-60BCC699FFE7}" name="Account Number"/>
    <tableColumn id="2" xr3:uid="{156F6677-D3E0-4209-B3EE-90A0D85ED896}" name="Contract Type"/>
    <tableColumn id="3" xr3:uid="{32E561A4-61A5-4E0D-A741-2EE79D7EA825}" name="Applicant Name"/>
    <tableColumn id="4" xr3:uid="{4CB377F1-1141-4A82-8678-44C157155FFE}" name="Co-Applicant Name"/>
    <tableColumn id="5" xr3:uid="{C7A24402-F955-412B-92A6-2F11B33EAA37}" name="Dealer Name"/>
    <tableColumn id="6" xr3:uid="{FAEE3B53-5065-4FC3-BFFB-A329501149DA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"/>
  <sheetViews>
    <sheetView tabSelected="1" workbookViewId="0">
      <pane ySplit="3" topLeftCell="A4" activePane="bottomLeft" state="frozen"/>
      <selection pane="bottomLeft" activeCell="C6" sqref="C6"/>
    </sheetView>
  </sheetViews>
  <sheetFormatPr defaultRowHeight="15.75" x14ac:dyDescent="0.25"/>
  <cols>
    <col min="1" max="1" width="13.5703125" style="3" customWidth="1"/>
    <col min="2" max="2" width="12.140625" style="3" bestFit="1" customWidth="1"/>
    <col min="3" max="3" width="14" style="3" bestFit="1" customWidth="1"/>
    <col min="4" max="4" width="23.85546875" style="3" bestFit="1" customWidth="1"/>
    <col min="5" max="5" width="2.85546875" style="3" customWidth="1"/>
    <col min="6" max="6" width="32.5703125" style="3" bestFit="1" customWidth="1"/>
    <col min="7" max="7" width="17.7109375" style="3" bestFit="1" customWidth="1"/>
    <col min="8" max="8" width="17.140625" style="3" bestFit="1" customWidth="1"/>
    <col min="9" max="9" width="31" style="3" bestFit="1" customWidth="1"/>
    <col min="10" max="10" width="4.85546875" style="3" customWidth="1"/>
    <col min="11" max="11" width="13.7109375" style="3" bestFit="1" customWidth="1"/>
    <col min="12" max="16384" width="9.140625" style="3"/>
  </cols>
  <sheetData>
    <row r="1" spans="1:11" s="3" customFormat="1" x14ac:dyDescent="0.25">
      <c r="K1" s="4">
        <v>45832</v>
      </c>
    </row>
    <row r="2" spans="1:11" s="3" customFormat="1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</row>
    <row r="3" spans="1:11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s="3" customFormat="1" ht="33" customHeight="1" x14ac:dyDescent="0.25">
      <c r="A4" s="3" t="s">
        <v>75</v>
      </c>
      <c r="B4" s="3" t="s">
        <v>14</v>
      </c>
      <c r="C4" s="3" t="s">
        <v>15</v>
      </c>
      <c r="D4" s="3" t="s">
        <v>16</v>
      </c>
      <c r="F4" s="3" t="s">
        <v>17</v>
      </c>
      <c r="G4" s="3" t="s">
        <v>18</v>
      </c>
      <c r="H4" s="8">
        <v>23137.4</v>
      </c>
      <c r="I4" s="3" t="s">
        <v>19</v>
      </c>
      <c r="K4" s="3" t="s">
        <v>20</v>
      </c>
    </row>
    <row r="5" spans="1:11" s="3" customFormat="1" ht="33" customHeight="1" x14ac:dyDescent="0.25">
      <c r="A5" s="3" t="s">
        <v>76</v>
      </c>
      <c r="B5" s="3" t="s">
        <v>14</v>
      </c>
      <c r="C5" s="3" t="s">
        <v>15</v>
      </c>
      <c r="D5" s="3" t="s">
        <v>21</v>
      </c>
      <c r="F5" s="3" t="s">
        <v>22</v>
      </c>
      <c r="G5" s="3" t="s">
        <v>23</v>
      </c>
      <c r="H5" s="8">
        <v>30687.25</v>
      </c>
      <c r="I5" s="3" t="s">
        <v>24</v>
      </c>
      <c r="K5" s="3" t="s">
        <v>25</v>
      </c>
    </row>
    <row r="6" spans="1:11" s="3" customFormat="1" ht="33" customHeight="1" x14ac:dyDescent="0.25">
      <c r="A6" s="3" t="s">
        <v>77</v>
      </c>
      <c r="B6" s="3" t="s">
        <v>14</v>
      </c>
      <c r="C6" s="3" t="s">
        <v>15</v>
      </c>
      <c r="D6" s="3" t="s">
        <v>26</v>
      </c>
      <c r="F6" s="3" t="s">
        <v>27</v>
      </c>
      <c r="G6" s="3" t="s">
        <v>18</v>
      </c>
      <c r="H6" s="8">
        <v>30758.33</v>
      </c>
      <c r="I6" s="3" t="s">
        <v>28</v>
      </c>
      <c r="K6" s="3" t="s">
        <v>29</v>
      </c>
    </row>
    <row r="7" spans="1:11" s="3" customFormat="1" ht="33" customHeight="1" x14ac:dyDescent="0.25">
      <c r="A7" s="3" t="s">
        <v>78</v>
      </c>
      <c r="B7" s="3" t="s">
        <v>14</v>
      </c>
      <c r="C7" s="3" t="s">
        <v>15</v>
      </c>
      <c r="D7" s="3" t="s">
        <v>30</v>
      </c>
      <c r="F7" s="3" t="s">
        <v>31</v>
      </c>
      <c r="G7" s="3" t="s">
        <v>32</v>
      </c>
      <c r="H7" s="8">
        <v>33232.9</v>
      </c>
      <c r="I7" s="3" t="s">
        <v>33</v>
      </c>
      <c r="K7" s="3" t="s">
        <v>34</v>
      </c>
    </row>
    <row r="8" spans="1:11" s="3" customFormat="1" ht="33" customHeight="1" x14ac:dyDescent="0.25">
      <c r="A8" s="3" t="s">
        <v>79</v>
      </c>
      <c r="B8" s="3" t="s">
        <v>35</v>
      </c>
      <c r="C8" s="3" t="s">
        <v>15</v>
      </c>
      <c r="D8" s="3" t="s">
        <v>36</v>
      </c>
      <c r="F8" s="3" t="s">
        <v>37</v>
      </c>
      <c r="G8" s="3" t="s">
        <v>23</v>
      </c>
      <c r="H8" s="8">
        <v>47182.62</v>
      </c>
      <c r="I8" s="3" t="s">
        <v>38</v>
      </c>
      <c r="K8" s="3" t="s">
        <v>39</v>
      </c>
    </row>
    <row r="9" spans="1:11" s="3" customFormat="1" ht="33" customHeight="1" x14ac:dyDescent="0.25">
      <c r="A9" s="3" t="s">
        <v>80</v>
      </c>
      <c r="B9" s="3" t="s">
        <v>35</v>
      </c>
      <c r="C9" s="3" t="s">
        <v>15</v>
      </c>
      <c r="D9" s="3" t="s">
        <v>40</v>
      </c>
      <c r="F9" s="3" t="s">
        <v>41</v>
      </c>
      <c r="G9" s="3" t="s">
        <v>18</v>
      </c>
      <c r="H9" s="8">
        <v>30245.88</v>
      </c>
      <c r="K9" s="3" t="s">
        <v>42</v>
      </c>
    </row>
    <row r="10" spans="1:11" s="3" customFormat="1" ht="33" customHeight="1" x14ac:dyDescent="0.25">
      <c r="A10" s="3" t="s">
        <v>81</v>
      </c>
      <c r="B10" s="3" t="s">
        <v>35</v>
      </c>
      <c r="C10" s="3" t="s">
        <v>15</v>
      </c>
      <c r="D10" s="3" t="s">
        <v>43</v>
      </c>
      <c r="F10" s="3" t="s">
        <v>41</v>
      </c>
      <c r="G10" s="3" t="s">
        <v>18</v>
      </c>
      <c r="H10" s="8">
        <v>17726.63</v>
      </c>
      <c r="I10" s="3" t="s">
        <v>44</v>
      </c>
      <c r="K10" s="3" t="s">
        <v>45</v>
      </c>
    </row>
    <row r="11" spans="1:11" s="3" customFormat="1" ht="33" customHeight="1" x14ac:dyDescent="0.25">
      <c r="A11" s="3" t="s">
        <v>82</v>
      </c>
      <c r="B11" s="3" t="s">
        <v>35</v>
      </c>
      <c r="C11" s="3" t="s">
        <v>15</v>
      </c>
      <c r="D11" s="3" t="s">
        <v>46</v>
      </c>
      <c r="F11" s="3" t="s">
        <v>41</v>
      </c>
      <c r="G11" s="3" t="s">
        <v>18</v>
      </c>
      <c r="H11" s="8">
        <v>28984.560000000001</v>
      </c>
      <c r="I11" s="3" t="s">
        <v>47</v>
      </c>
      <c r="K11" s="3" t="s">
        <v>48</v>
      </c>
    </row>
    <row r="12" spans="1:11" s="3" customFormat="1" ht="33" customHeight="1" x14ac:dyDescent="0.25">
      <c r="A12" s="3" t="s">
        <v>86</v>
      </c>
      <c r="B12" s="3" t="s">
        <v>35</v>
      </c>
      <c r="C12" s="3" t="s">
        <v>15</v>
      </c>
      <c r="D12" s="3" t="s">
        <v>49</v>
      </c>
      <c r="F12" s="3" t="s">
        <v>50</v>
      </c>
      <c r="G12" s="3" t="s">
        <v>32</v>
      </c>
      <c r="H12" s="8">
        <v>40865.31</v>
      </c>
      <c r="I12" s="3" t="s">
        <v>51</v>
      </c>
      <c r="K12" s="3" t="s">
        <v>52</v>
      </c>
    </row>
    <row r="13" spans="1:11" s="3" customFormat="1" ht="33" customHeight="1" x14ac:dyDescent="0.25">
      <c r="A13" s="3" t="s">
        <v>85</v>
      </c>
      <c r="B13" s="3" t="s">
        <v>14</v>
      </c>
      <c r="C13" s="3" t="s">
        <v>15</v>
      </c>
      <c r="D13" s="3" t="s">
        <v>53</v>
      </c>
      <c r="F13" s="3" t="s">
        <v>17</v>
      </c>
      <c r="G13" s="3" t="s">
        <v>23</v>
      </c>
      <c r="H13" s="8">
        <v>20763.5</v>
      </c>
      <c r="I13" s="3" t="s">
        <v>54</v>
      </c>
      <c r="K13" s="3" t="s">
        <v>55</v>
      </c>
    </row>
    <row r="14" spans="1:11" s="3" customFormat="1" ht="33" customHeight="1" x14ac:dyDescent="0.25">
      <c r="A14" s="3" t="s">
        <v>56</v>
      </c>
      <c r="B14" s="3" t="s">
        <v>14</v>
      </c>
      <c r="C14" s="3" t="s">
        <v>57</v>
      </c>
      <c r="D14" s="3" t="s">
        <v>58</v>
      </c>
      <c r="F14" s="3" t="s">
        <v>59</v>
      </c>
      <c r="G14" s="3" t="s">
        <v>32</v>
      </c>
      <c r="H14" s="8">
        <v>21472.19</v>
      </c>
      <c r="I14" s="3" t="s">
        <v>60</v>
      </c>
      <c r="K14" s="3" t="s">
        <v>61</v>
      </c>
    </row>
    <row r="15" spans="1:11" s="3" customFormat="1" ht="33" customHeight="1" x14ac:dyDescent="0.25">
      <c r="A15" s="3" t="s">
        <v>84</v>
      </c>
      <c r="B15" s="3" t="s">
        <v>35</v>
      </c>
      <c r="C15" s="3" t="s">
        <v>15</v>
      </c>
      <c r="D15" s="3" t="s">
        <v>62</v>
      </c>
      <c r="F15" s="3" t="s">
        <v>63</v>
      </c>
      <c r="G15" s="3" t="s">
        <v>32</v>
      </c>
      <c r="H15" s="8">
        <v>86287.57</v>
      </c>
      <c r="I15" s="3" t="s">
        <v>64</v>
      </c>
      <c r="K15" s="3" t="s">
        <v>65</v>
      </c>
    </row>
    <row r="16" spans="1:11" s="3" customFormat="1" ht="33" customHeight="1" x14ac:dyDescent="0.25">
      <c r="A16" s="3" t="s">
        <v>66</v>
      </c>
      <c r="B16" s="3" t="s">
        <v>14</v>
      </c>
      <c r="C16" s="3" t="s">
        <v>57</v>
      </c>
      <c r="D16" s="3" t="s">
        <v>67</v>
      </c>
      <c r="F16" s="3" t="s">
        <v>68</v>
      </c>
      <c r="G16" s="3" t="s">
        <v>23</v>
      </c>
      <c r="H16" s="8">
        <v>29526.81</v>
      </c>
      <c r="K16" s="3" t="s">
        <v>69</v>
      </c>
    </row>
    <row r="17" spans="1:11" s="3" customFormat="1" ht="33" customHeight="1" x14ac:dyDescent="0.25">
      <c r="A17" s="3" t="s">
        <v>83</v>
      </c>
      <c r="B17" s="3" t="s">
        <v>35</v>
      </c>
      <c r="C17" s="3" t="s">
        <v>15</v>
      </c>
      <c r="D17" s="3" t="s">
        <v>70</v>
      </c>
      <c r="F17" s="3" t="s">
        <v>71</v>
      </c>
      <c r="G17" s="3" t="s">
        <v>23</v>
      </c>
      <c r="H17" s="8">
        <v>47784.77</v>
      </c>
      <c r="I17" s="3" t="s">
        <v>72</v>
      </c>
      <c r="K17" s="3" t="s">
        <v>73</v>
      </c>
    </row>
    <row r="18" spans="1:11" s="3" customFormat="1" x14ac:dyDescent="0.25">
      <c r="A18" s="9"/>
      <c r="B18" s="9"/>
      <c r="C18" s="9"/>
      <c r="D18" s="9" t="s">
        <v>74</v>
      </c>
      <c r="E18" s="9"/>
      <c r="F18" s="9"/>
      <c r="G18" s="9"/>
      <c r="H18" s="10">
        <f>SUM(H4:H17)</f>
        <v>488655.72000000003</v>
      </c>
      <c r="I18" s="9"/>
      <c r="J18" s="9"/>
      <c r="K18" s="9"/>
    </row>
  </sheetData>
  <mergeCells count="2">
    <mergeCell ref="A2:F2"/>
    <mergeCell ref="G2:K2"/>
  </mergeCells>
  <pageMargins left="0.7" right="0.2" top="0.75" bottom="0.75" header="0.3" footer="0.3"/>
  <pageSetup paperSize="5" scale="9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111E-3CE6-46F7-85A8-D2B8956DAAA1}">
  <sheetPr>
    <pageSetUpPr fitToPage="1"/>
  </sheetPr>
  <dimension ref="A1:H29"/>
  <sheetViews>
    <sheetView topLeftCell="A19" workbookViewId="0">
      <selection activeCell="K29" sqref="K29"/>
    </sheetView>
  </sheetViews>
  <sheetFormatPr defaultRowHeight="15.75" x14ac:dyDescent="0.25"/>
  <cols>
    <col min="1" max="1" width="18.140625" style="3" customWidth="1"/>
    <col min="2" max="2" width="14.42578125" style="3" customWidth="1"/>
    <col min="3" max="3" width="17.7109375" style="3" customWidth="1"/>
    <col min="4" max="4" width="19.28515625" style="3" customWidth="1"/>
    <col min="5" max="5" width="15.28515625" style="3" customWidth="1"/>
    <col min="6" max="6" width="15.7109375" style="3" customWidth="1"/>
    <col min="7" max="7" width="12.85546875" style="3" customWidth="1"/>
    <col min="8" max="8" width="20.28515625" style="3" customWidth="1"/>
    <col min="9" max="16384" width="9.140625" style="3"/>
  </cols>
  <sheetData>
    <row r="1" spans="1:8" x14ac:dyDescent="0.25">
      <c r="E1" s="11"/>
      <c r="H1" s="11">
        <v>45832.999988425923</v>
      </c>
    </row>
    <row r="2" spans="1:8" x14ac:dyDescent="0.25">
      <c r="A2" s="5" t="s">
        <v>0</v>
      </c>
      <c r="B2" s="5"/>
      <c r="C2" s="6"/>
      <c r="D2" s="6"/>
      <c r="E2" s="7" t="s">
        <v>87</v>
      </c>
      <c r="F2" s="6"/>
      <c r="G2" s="6"/>
      <c r="H2" s="6"/>
    </row>
    <row r="3" spans="1:8" x14ac:dyDescent="0.25">
      <c r="A3" s="3" t="s">
        <v>7</v>
      </c>
      <c r="B3" s="3" t="s">
        <v>92</v>
      </c>
      <c r="C3" s="3" t="s">
        <v>8</v>
      </c>
      <c r="D3" s="3" t="s">
        <v>88</v>
      </c>
      <c r="E3" s="3" t="s">
        <v>89</v>
      </c>
      <c r="F3" s="3" t="s">
        <v>90</v>
      </c>
      <c r="G3" s="3" t="s">
        <v>93</v>
      </c>
      <c r="H3" s="3" t="s">
        <v>91</v>
      </c>
    </row>
    <row r="4" spans="1:8" ht="27" customHeight="1" x14ac:dyDescent="0.25">
      <c r="A4" s="3" t="s">
        <v>95</v>
      </c>
      <c r="C4" s="3" t="s">
        <v>32</v>
      </c>
      <c r="D4" s="8">
        <v>650</v>
      </c>
      <c r="E4" s="8">
        <v>0</v>
      </c>
      <c r="F4" s="12">
        <v>21397.19</v>
      </c>
      <c r="G4" s="8"/>
      <c r="H4" s="8">
        <v>21472.19</v>
      </c>
    </row>
    <row r="5" spans="1:8" ht="27" customHeight="1" x14ac:dyDescent="0.25">
      <c r="D5" s="8"/>
      <c r="E5" s="8"/>
      <c r="F5" s="8"/>
      <c r="G5" s="8"/>
      <c r="H5" s="8"/>
    </row>
    <row r="6" spans="1:8" ht="27" customHeight="1" x14ac:dyDescent="0.25">
      <c r="A6" s="3" t="s">
        <v>41</v>
      </c>
      <c r="C6" s="3" t="s">
        <v>18</v>
      </c>
      <c r="D6" s="8">
        <v>750</v>
      </c>
      <c r="E6" s="8">
        <v>0</v>
      </c>
      <c r="F6" s="8">
        <v>28909.56</v>
      </c>
      <c r="G6" s="8"/>
      <c r="H6" s="8">
        <v>28984.560000000001</v>
      </c>
    </row>
    <row r="7" spans="1:8" ht="27" customHeight="1" x14ac:dyDescent="0.25">
      <c r="A7" s="3" t="s">
        <v>41</v>
      </c>
      <c r="C7" s="3" t="s">
        <v>18</v>
      </c>
      <c r="D7" s="8">
        <v>500</v>
      </c>
      <c r="E7" s="8">
        <v>0</v>
      </c>
      <c r="F7" s="8">
        <v>17651.63</v>
      </c>
      <c r="G7" s="8"/>
      <c r="H7" s="8">
        <v>17726.63</v>
      </c>
    </row>
    <row r="8" spans="1:8" ht="27" customHeight="1" x14ac:dyDescent="0.25">
      <c r="A8" s="3" t="s">
        <v>41</v>
      </c>
      <c r="C8" s="3" t="s">
        <v>18</v>
      </c>
      <c r="D8" s="8">
        <v>850</v>
      </c>
      <c r="E8" s="8">
        <v>0</v>
      </c>
      <c r="F8" s="8">
        <v>30170.880000000001</v>
      </c>
      <c r="G8" s="12">
        <f>SUM(F6:F8)</f>
        <v>76732.070000000007</v>
      </c>
      <c r="H8" s="8">
        <v>30245.88</v>
      </c>
    </row>
    <row r="9" spans="1:8" ht="27" customHeight="1" x14ac:dyDescent="0.25">
      <c r="D9" s="8"/>
      <c r="E9" s="8"/>
      <c r="F9" s="8"/>
      <c r="G9" s="8"/>
      <c r="H9" s="8"/>
    </row>
    <row r="10" spans="1:8" ht="27" customHeight="1" x14ac:dyDescent="0.25">
      <c r="A10" s="3" t="s">
        <v>50</v>
      </c>
      <c r="C10" s="3" t="s">
        <v>32</v>
      </c>
      <c r="D10" s="8">
        <v>1050</v>
      </c>
      <c r="E10" s="8">
        <v>0</v>
      </c>
      <c r="F10" s="12">
        <v>40790.31</v>
      </c>
      <c r="G10" s="8"/>
      <c r="H10" s="8">
        <v>40865.31</v>
      </c>
    </row>
    <row r="11" spans="1:8" ht="27" customHeight="1" x14ac:dyDescent="0.25">
      <c r="D11" s="8"/>
      <c r="E11" s="8"/>
      <c r="F11" s="12"/>
      <c r="G11" s="8"/>
      <c r="H11" s="8"/>
    </row>
    <row r="12" spans="1:8" ht="27" customHeight="1" x14ac:dyDescent="0.25">
      <c r="A12" s="3" t="s">
        <v>27</v>
      </c>
      <c r="B12" s="13" t="s">
        <v>96</v>
      </c>
      <c r="C12" s="3" t="s">
        <v>18</v>
      </c>
      <c r="D12" s="8">
        <v>850</v>
      </c>
      <c r="E12" s="8">
        <v>0</v>
      </c>
      <c r="F12" s="12">
        <v>30683.33</v>
      </c>
      <c r="G12" s="8"/>
      <c r="H12" s="8">
        <v>30758.33</v>
      </c>
    </row>
    <row r="13" spans="1:8" ht="27" customHeight="1" x14ac:dyDescent="0.25">
      <c r="D13" s="8"/>
      <c r="E13" s="8"/>
      <c r="F13" s="12"/>
      <c r="G13" s="8"/>
      <c r="H13" s="8"/>
    </row>
    <row r="14" spans="1:8" ht="27" customHeight="1" x14ac:dyDescent="0.25">
      <c r="A14" s="3" t="s">
        <v>31</v>
      </c>
      <c r="C14" s="3" t="s">
        <v>32</v>
      </c>
      <c r="D14" s="8">
        <v>850</v>
      </c>
      <c r="E14" s="8">
        <v>0</v>
      </c>
      <c r="F14" s="12">
        <v>33157.9</v>
      </c>
      <c r="G14" s="8"/>
      <c r="H14" s="8">
        <v>33232.9</v>
      </c>
    </row>
    <row r="15" spans="1:8" ht="27" customHeight="1" x14ac:dyDescent="0.25">
      <c r="D15" s="8"/>
      <c r="E15" s="8"/>
      <c r="F15" s="12"/>
      <c r="G15" s="8"/>
      <c r="H15" s="8"/>
    </row>
    <row r="16" spans="1:8" ht="27" customHeight="1" x14ac:dyDescent="0.25">
      <c r="A16" s="3" t="s">
        <v>94</v>
      </c>
      <c r="C16" s="3" t="s">
        <v>23</v>
      </c>
      <c r="D16" s="8">
        <v>750</v>
      </c>
      <c r="E16" s="8">
        <v>0</v>
      </c>
      <c r="F16" s="12">
        <v>29451.81</v>
      </c>
      <c r="G16" s="8"/>
      <c r="H16" s="8">
        <v>29526.81</v>
      </c>
    </row>
    <row r="17" spans="1:8" ht="27" customHeight="1" x14ac:dyDescent="0.25">
      <c r="D17" s="8"/>
      <c r="E17" s="8"/>
      <c r="F17" s="12"/>
      <c r="G17" s="8"/>
      <c r="H17" s="8"/>
    </row>
    <row r="18" spans="1:8" ht="27" customHeight="1" x14ac:dyDescent="0.25">
      <c r="A18" s="3" t="s">
        <v>22</v>
      </c>
      <c r="C18" s="3" t="s">
        <v>23</v>
      </c>
      <c r="D18" s="8">
        <v>850</v>
      </c>
      <c r="E18" s="8">
        <v>0</v>
      </c>
      <c r="F18" s="12">
        <v>30612.25</v>
      </c>
      <c r="G18" s="8"/>
      <c r="H18" s="8">
        <v>30687.25</v>
      </c>
    </row>
    <row r="19" spans="1:8" ht="27" customHeight="1" x14ac:dyDescent="0.25">
      <c r="D19" s="8"/>
      <c r="E19" s="8"/>
      <c r="F19" s="12"/>
      <c r="G19" s="8"/>
      <c r="H19" s="8"/>
    </row>
    <row r="20" spans="1:8" ht="27" customHeight="1" x14ac:dyDescent="0.25">
      <c r="A20" s="3" t="s">
        <v>71</v>
      </c>
      <c r="C20" s="3" t="s">
        <v>23</v>
      </c>
      <c r="D20" s="8">
        <v>1150</v>
      </c>
      <c r="E20" s="8">
        <v>0</v>
      </c>
      <c r="F20" s="12">
        <v>47709.77</v>
      </c>
      <c r="G20" s="8"/>
      <c r="H20" s="8">
        <v>47784.77</v>
      </c>
    </row>
    <row r="21" spans="1:8" ht="27" customHeight="1" x14ac:dyDescent="0.25">
      <c r="D21" s="8"/>
      <c r="E21" s="8"/>
      <c r="F21" s="12"/>
      <c r="G21" s="8"/>
      <c r="H21" s="8"/>
    </row>
    <row r="22" spans="1:8" ht="27" customHeight="1" x14ac:dyDescent="0.25">
      <c r="A22" s="3" t="s">
        <v>37</v>
      </c>
      <c r="C22" s="3" t="s">
        <v>23</v>
      </c>
      <c r="D22" s="8">
        <v>1150</v>
      </c>
      <c r="E22" s="8">
        <v>0</v>
      </c>
      <c r="F22" s="12">
        <v>47107.62</v>
      </c>
      <c r="G22" s="8"/>
      <c r="H22" s="8">
        <v>47182.62</v>
      </c>
    </row>
    <row r="23" spans="1:8" ht="27" customHeight="1" x14ac:dyDescent="0.25">
      <c r="D23" s="8"/>
      <c r="E23" s="8"/>
      <c r="F23" s="8"/>
      <c r="G23" s="8"/>
      <c r="H23" s="8"/>
    </row>
    <row r="24" spans="1:8" ht="27" customHeight="1" x14ac:dyDescent="0.25">
      <c r="A24" s="3" t="s">
        <v>17</v>
      </c>
      <c r="C24" s="3" t="s">
        <v>18</v>
      </c>
      <c r="D24" s="8">
        <v>650</v>
      </c>
      <c r="E24" s="8">
        <v>0</v>
      </c>
      <c r="F24" s="8">
        <v>23062.400000000001</v>
      </c>
      <c r="G24" s="8"/>
      <c r="H24" s="8">
        <v>23137.4</v>
      </c>
    </row>
    <row r="25" spans="1:8" ht="27" customHeight="1" x14ac:dyDescent="0.25">
      <c r="A25" s="3" t="s">
        <v>17</v>
      </c>
      <c r="C25" s="3" t="s">
        <v>23</v>
      </c>
      <c r="D25" s="8">
        <v>650</v>
      </c>
      <c r="E25" s="8">
        <v>0</v>
      </c>
      <c r="F25" s="8">
        <v>20688.5</v>
      </c>
      <c r="G25" s="12">
        <f>SUM(F24:F25)</f>
        <v>43750.9</v>
      </c>
      <c r="H25" s="8">
        <v>20763.5</v>
      </c>
    </row>
    <row r="26" spans="1:8" ht="27" customHeight="1" x14ac:dyDescent="0.25">
      <c r="D26" s="8"/>
      <c r="E26" s="8"/>
      <c r="F26" s="8"/>
      <c r="G26" s="8"/>
      <c r="H26" s="8"/>
    </row>
    <row r="27" spans="1:8" ht="27" customHeight="1" x14ac:dyDescent="0.25">
      <c r="A27" s="3" t="s">
        <v>63</v>
      </c>
      <c r="C27" s="3" t="s">
        <v>32</v>
      </c>
      <c r="D27" s="8">
        <v>1500</v>
      </c>
      <c r="E27" s="8">
        <v>0</v>
      </c>
      <c r="F27" s="12">
        <v>86212.57</v>
      </c>
      <c r="G27" s="8"/>
      <c r="H27" s="8">
        <v>86287.57</v>
      </c>
    </row>
    <row r="28" spans="1:8" x14ac:dyDescent="0.25">
      <c r="D28" s="8"/>
      <c r="E28" s="8"/>
      <c r="F28" s="8"/>
      <c r="G28" s="8"/>
      <c r="H28" s="8"/>
    </row>
    <row r="29" spans="1:8" x14ac:dyDescent="0.25">
      <c r="A29" s="9"/>
      <c r="B29" s="9"/>
      <c r="C29" s="9"/>
      <c r="D29" s="10">
        <f>SUM(D4:D27)</f>
        <v>12200</v>
      </c>
      <c r="E29" s="10">
        <f>SUM(E4:E27)</f>
        <v>0</v>
      </c>
      <c r="F29" s="10">
        <f>SUM(F4:F27)</f>
        <v>487605.72000000003</v>
      </c>
      <c r="G29" s="10"/>
      <c r="H29" s="10">
        <f>SUM(H4:H27)</f>
        <v>488655.72000000003</v>
      </c>
    </row>
  </sheetData>
  <mergeCells count="2">
    <mergeCell ref="A2:D2"/>
    <mergeCell ref="E2:H2"/>
  </mergeCells>
  <pageMargins left="0.7" right="0.2" top="0.75" bottom="0.75" header="0.3" footer="0.3"/>
  <pageSetup scale="89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D4A3-F46A-4DF4-A8E1-5150434A9456}">
  <dimension ref="A1:F21"/>
  <sheetViews>
    <sheetView workbookViewId="0">
      <selection activeCell="L14" sqref="L13:L14"/>
    </sheetView>
  </sheetViews>
  <sheetFormatPr defaultRowHeight="15" x14ac:dyDescent="0.25"/>
  <cols>
    <col min="1" max="1" width="13.7109375" customWidth="1"/>
    <col min="2" max="2" width="15.140625" customWidth="1"/>
    <col min="3" max="3" width="20.42578125" customWidth="1"/>
    <col min="4" max="4" width="8.5703125" customWidth="1"/>
    <col min="5" max="5" width="16.140625" customWidth="1"/>
    <col min="6" max="6" width="16.28515625" customWidth="1"/>
  </cols>
  <sheetData>
    <row r="1" spans="1:6" x14ac:dyDescent="0.25">
      <c r="A1" t="s">
        <v>99</v>
      </c>
      <c r="D1" s="1"/>
      <c r="F1" s="1">
        <v>45832.999988425923</v>
      </c>
    </row>
    <row r="2" spans="1:6" x14ac:dyDescent="0.25">
      <c r="A2" s="14" t="s">
        <v>0</v>
      </c>
      <c r="B2" s="2"/>
      <c r="C2" s="2"/>
      <c r="D2" s="15" t="s">
        <v>97</v>
      </c>
      <c r="E2" s="2"/>
      <c r="F2" s="2"/>
    </row>
    <row r="3" spans="1:6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13</v>
      </c>
    </row>
    <row r="4" spans="1:6" ht="27" customHeight="1" x14ac:dyDescent="0.25">
      <c r="A4" t="s">
        <v>56</v>
      </c>
      <c r="B4" t="s">
        <v>57</v>
      </c>
      <c r="C4" t="s">
        <v>58</v>
      </c>
      <c r="E4" t="s">
        <v>59</v>
      </c>
    </row>
    <row r="5" spans="1:6" ht="27" customHeight="1" x14ac:dyDescent="0.25">
      <c r="A5" t="s">
        <v>66</v>
      </c>
      <c r="B5" t="s">
        <v>57</v>
      </c>
      <c r="C5" t="s">
        <v>67</v>
      </c>
      <c r="E5" t="s">
        <v>68</v>
      </c>
    </row>
    <row r="6" spans="1:6" x14ac:dyDescent="0.25">
      <c r="A6" s="16"/>
      <c r="B6" s="16"/>
      <c r="C6" s="16" t="s">
        <v>98</v>
      </c>
      <c r="D6" s="16"/>
      <c r="E6" s="16"/>
      <c r="F6" s="16"/>
    </row>
    <row r="11" spans="1:6" x14ac:dyDescent="0.25">
      <c r="A11" t="s">
        <v>100</v>
      </c>
      <c r="B11" s="17"/>
      <c r="C11" s="17"/>
      <c r="D11" s="17"/>
    </row>
    <row r="16" spans="1:6" x14ac:dyDescent="0.25">
      <c r="A16" t="s">
        <v>101</v>
      </c>
      <c r="B16" s="17"/>
      <c r="C16" s="17"/>
      <c r="D16" s="17"/>
    </row>
    <row r="21" spans="1:2" x14ac:dyDescent="0.25">
      <c r="A21" t="s">
        <v>102</v>
      </c>
      <c r="B21" s="17"/>
    </row>
  </sheetData>
  <mergeCells count="2">
    <mergeCell ref="A2:C2"/>
    <mergeCell ref="D2:F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2025-06-24T18:28:51Z</cp:lastPrinted>
  <dcterms:created xsi:type="dcterms:W3CDTF">2025-06-24T18:09:00Z</dcterms:created>
  <dcterms:modified xsi:type="dcterms:W3CDTF">2025-06-24T19:13:59Z</dcterms:modified>
</cp:coreProperties>
</file>