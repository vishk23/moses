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5363E6BE-0C1F-4137-ABBE-6598E9AA89DB}" xr6:coauthVersionLast="47" xr6:coauthVersionMax="47" xr10:uidLastSave="{00000000-0000-0000-0000-000000000000}"/>
  <bookViews>
    <workbookView xWindow="39075" yWindow="0" windowWidth="16995" windowHeight="139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13" i="2"/>
  <c r="H26" i="2"/>
  <c r="F26" i="2"/>
  <c r="E26" i="2"/>
  <c r="D26" i="2"/>
  <c r="H16" i="1" l="1"/>
</calcChain>
</file>

<file path=xl/sharedStrings.xml><?xml version="1.0" encoding="utf-8"?>
<sst xmlns="http://schemas.openxmlformats.org/spreadsheetml/2006/main" count="171" uniqueCount="95">
  <si>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</si>
  <si>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</si>
  <si>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</si>
  <si>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</si>
  <si>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</si>
  <si>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</si>
  <si>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</si>
  <si>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</si>
  <si>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</si>
  <si>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</si>
  <si>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</si>
  <si>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</si>
  <si>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</si>
  <si>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</si>
  <si>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</si>
  <si>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</si>
  <si>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</si>
  <si>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CARBONE, CAMERON</t>
  </si>
  <si>
    <t>Lucchettis Service Center Inc</t>
  </si>
  <si>
    <t>Neli Oliveira</t>
  </si>
  <si>
    <t>camcarbone12@gmail.com</t>
  </si>
  <si>
    <t>Ippolito</t>
  </si>
  <si>
    <t>ALMEIDA, LESLIE</t>
  </si>
  <si>
    <t>Mastria Mazda</t>
  </si>
  <si>
    <t>LELEE896@MSN.COM</t>
  </si>
  <si>
    <t>DESOUSA</t>
  </si>
  <si>
    <t>DealerTrack</t>
  </si>
  <si>
    <t>RAY, KRISTEN</t>
  </si>
  <si>
    <t>Priority Automotive LLC</t>
  </si>
  <si>
    <t>KRISTEN@IDSHIGHWAYSAFETY.COM</t>
  </si>
  <si>
    <t>MULHOLLAND</t>
  </si>
  <si>
    <t>IDS HIGHWAY SAFETY INC</t>
  </si>
  <si>
    <t>151191683</t>
  </si>
  <si>
    <t>Paper</t>
  </si>
  <si>
    <t>BRADY, MARY</t>
  </si>
  <si>
    <t>Frank Battles Inc</t>
  </si>
  <si>
    <t>Rachel Gorham</t>
  </si>
  <si>
    <t>DELUCA</t>
  </si>
  <si>
    <t>DE LA ROSA, WILKINS</t>
  </si>
  <si>
    <t>Paul Masse Buick GMC South, Inc</t>
  </si>
  <si>
    <t>doub21@gmail.com</t>
  </si>
  <si>
    <t>MUNOZ</t>
  </si>
  <si>
    <t>BYRNE, WILLIAM</t>
  </si>
  <si>
    <t>HUMPHREY</t>
  </si>
  <si>
    <t>DACRUZ, DANIELLE</t>
  </si>
  <si>
    <t>Planet Subaru</t>
  </si>
  <si>
    <t>SHIELDSDANIELLE2@GMAIL.COM</t>
  </si>
  <si>
    <t>GOUTHRO</t>
  </si>
  <si>
    <t>Webb, Josefina</t>
  </si>
  <si>
    <t>Colonial South Chevrolet</t>
  </si>
  <si>
    <t>josefinajp331@aol.com</t>
  </si>
  <si>
    <t>LLUSIA</t>
  </si>
  <si>
    <t>BROTHWELL, MORGAN</t>
  </si>
  <si>
    <t>MORGAN.RB@ICLOUD.COM</t>
  </si>
  <si>
    <t>ROHNSTOCK</t>
  </si>
  <si>
    <t>151191881</t>
  </si>
  <si>
    <t>GETCHELL, BENJAMIN</t>
  </si>
  <si>
    <t>Salvadore Chevrolet</t>
  </si>
  <si>
    <t>GRAHN</t>
  </si>
  <si>
    <t>THE GETCHELL COMPANIES INSURANCE SERVICES INC</t>
  </si>
  <si>
    <t>151191906</t>
  </si>
  <si>
    <t>LAMPREY, RUTH</t>
  </si>
  <si>
    <t>NARSA AMC LLC d/b/a</t>
  </si>
  <si>
    <t>RUTHLAMPREY@GMAIL.COM</t>
  </si>
  <si>
    <t>ESAU</t>
  </si>
  <si>
    <t>WELTEROTH, KATHRYN</t>
  </si>
  <si>
    <t>GROSS, RYAN</t>
  </si>
  <si>
    <t>Wareham Ford</t>
  </si>
  <si>
    <t>kwelteroth@gmail.com</t>
  </si>
  <si>
    <t>SCHRADER</t>
  </si>
  <si>
    <t>MONEY</t>
  </si>
  <si>
    <t># 12</t>
  </si>
  <si>
    <t>151191609 E</t>
  </si>
  <si>
    <t>151191659 E</t>
  </si>
  <si>
    <t>151191667 E</t>
  </si>
  <si>
    <t>151191740 E</t>
  </si>
  <si>
    <t>151191766 E</t>
  </si>
  <si>
    <t>151191774 E</t>
  </si>
  <si>
    <t>151191807 E</t>
  </si>
  <si>
    <t>151191831 E</t>
  </si>
  <si>
    <t>151191922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</si>
  <si>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</si>
  <si>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</si>
  <si>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</si>
  <si>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</si>
  <si>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</si>
  <si>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</si>
  <si>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</si>
  <si>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Auto Mall Coll-NARSA AMC LLC d/b/a</t>
  </si>
  <si>
    <t>5900-6390</t>
  </si>
  <si>
    <t># 3</t>
  </si>
  <si>
    <t>Original Notes Delivered</t>
  </si>
  <si>
    <t>Delivered by:</t>
  </si>
  <si>
    <t>Received by:</t>
  </si>
  <si>
    <t>Date Signrd: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</si>
</sst>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0" fillId="0" borderId="0" xfId="0" applyAlignment="1">
      <alignment wrapText="1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7" fontId="3" fillId="0" borderId="0" xfId="0" applyNumberFormat="1" applyFont="1"/>
    <xf numFmtId="7" fontId="5" fillId="0" borderId="0" xfId="0" applyNumberFormat="1" applyFont="1"/>
    <xf numFmtId="0" fontId="5" fillId="0" borderId="0" xfId="0" applyFont="1"/>
    <xf numFmtId="0" fontId="4" fillId="0" borderId="0" xfId="0" applyFont="1"/>
    <xf numFmtId="7" fontId="4" fillId="0" borderId="0" xfId="0" applyNumberFormat="1" applyFont="1"/>
    <xf numFmtId="0" fontId="3" fillId="0" borderId="1" xfId="0" applyFont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6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44947B-463D-4454-BF73-1C7656D1FE65}" name="Table_14" displayName="Table_14" ref="A3:H26" headerRowDxfId="10" dataDxfId="8" totalsRowDxfId="9">
  <sortState xmlns:xlrd2="http://schemas.microsoft.com/office/spreadsheetml/2017/richdata2" ref="A4:H26">
    <sortCondition ref="A4:A26"/>
  </sortState>
  <tableColumns count="8">
    <tableColumn id="1" xr3:uid="{D60A3B56-F546-4766-ADE1-4FAD056F62E5}" name="Dealer Name" dataDxfId="18"/>
    <tableColumn id="8" xr3:uid="{5913B7C5-FCD7-49DC-9F00-7E5642D287B2}" name="Column2" dataDxfId="17"/>
    <tableColumn id="2" xr3:uid="{1125E378-B5BA-4132-A0DF-44381C69FE77}" name="Funded by" dataDxfId="16"/>
    <tableColumn id="3" xr3:uid="{FFEC039C-7991-41A8-AC76-3422AC9CCD86}" name="Dealer Flat" dataDxfId="15"/>
    <tableColumn id="4" xr3:uid="{EC3ECF1B-56C7-4DDA-80AB-493A37450C34}" name="Dealer Split" dataDxfId="14"/>
    <tableColumn id="5" xr3:uid="{77D004A7-056D-44E1-999F-C284E08C5F54}" name="Net to Dealer" dataDxfId="13"/>
    <tableColumn id="7" xr3:uid="{E0FCB742-A906-4BEF-890E-A1FAFF7E0219}" name="Column1" dataDxfId="12"/>
    <tableColumn id="6" xr3:uid="{CB13322F-8108-49A5-95A6-1DF76E79395E}" name="Contracted Amount Financed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8A8278-16D1-48C5-B02C-1788D4894CCC}" name="Table_16" displayName="Table_16" ref="A3:E7" headerRowDxfId="2" dataDxfId="0" totalsRowDxfId="1">
  <tableColumns count="5">
    <tableColumn id="1" xr3:uid="{3E6CBAC1-2FA2-4AF0-96E0-13206B9A25AE}" name="Account Number" dataDxfId="7"/>
    <tableColumn id="2" xr3:uid="{D591B6D9-BD14-4B07-8DA8-5E8FD210E4CE}" name="Contract Type" dataDxfId="6"/>
    <tableColumn id="3" xr3:uid="{A99BEF84-3FE4-424C-AD02-070A7E3D6DA9}" name="Applicant Name" dataDxfId="5"/>
    <tableColumn id="5" xr3:uid="{655B4F4B-F44D-4390-BFBB-1EEB8AAEDABA}" name="Dealer Name" dataDxfId="4"/>
    <tableColumn id="6" xr3:uid="{5D750B2E-1C4C-4446-83F7-C1F37711A3AC}" name="Business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tabSelected="1" workbookViewId="0">
      <pane ySplit="3" topLeftCell="A7" activePane="bottomLeft" state="frozen"/>
      <selection pane="bottomLeft" activeCell="D4" sqref="D4:E15"/>
    </sheetView>
  </sheetViews>
  <sheetFormatPr defaultRowHeight="15" x14ac:dyDescent="0.25"/>
  <cols>
    <col min="1" max="1" width="12.42578125" customWidth="1"/>
    <col min="2" max="2" width="12.140625" bestFit="1" customWidth="1"/>
    <col min="3" max="3" width="14" bestFit="1" customWidth="1"/>
    <col min="4" max="4" width="22.42578125" bestFit="1" customWidth="1"/>
    <col min="5" max="5" width="17.85546875" customWidth="1"/>
    <col min="6" max="6" width="31.5703125" bestFit="1" customWidth="1"/>
    <col min="7" max="7" width="15.140625" bestFit="1" customWidth="1"/>
    <col min="8" max="8" width="17.140625" bestFit="1" customWidth="1"/>
    <col min="9" max="9" width="34.42578125" bestFit="1" customWidth="1"/>
    <col min="10" max="10" width="5.140625" customWidth="1"/>
    <col min="11" max="11" width="13.85546875" bestFit="1" customWidth="1"/>
    <col min="12" max="12" width="12.85546875" bestFit="1" customWidth="1"/>
  </cols>
  <sheetData>
    <row r="1" spans="1:12" x14ac:dyDescent="0.25">
      <c r="K1" s="7">
        <v>45820</v>
      </c>
      <c r="L1" s="8"/>
    </row>
    <row r="2" spans="1:12" x14ac:dyDescent="0.25">
      <c r="A2" s="4" t="s">
        <v>0</v>
      </c>
      <c r="B2" s="5"/>
      <c r="C2" s="5"/>
      <c r="D2" s="5"/>
      <c r="E2" s="5"/>
      <c r="F2" s="5"/>
      <c r="G2" s="6" t="s">
        <v>1</v>
      </c>
      <c r="H2" s="5"/>
      <c r="I2" s="5"/>
      <c r="J2" s="5"/>
      <c r="K2" s="5"/>
      <c r="L2" s="5"/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ht="33" customHeight="1" x14ac:dyDescent="0.25">
      <c r="A4" t="s">
        <v>72</v>
      </c>
      <c r="B4" t="s">
        <v>15</v>
      </c>
      <c r="C4" t="s">
        <v>16</v>
      </c>
      <c r="D4" t="s">
        <v>17</v>
      </c>
      <c r="F4" t="s">
        <v>18</v>
      </c>
      <c r="G4" t="s">
        <v>19</v>
      </c>
      <c r="H4" s="2">
        <v>37245.5</v>
      </c>
      <c r="I4" t="s">
        <v>20</v>
      </c>
      <c r="K4" t="s">
        <v>21</v>
      </c>
    </row>
    <row r="5" spans="1:12" ht="33" customHeight="1" x14ac:dyDescent="0.25">
      <c r="A5" t="s">
        <v>73</v>
      </c>
      <c r="B5" t="s">
        <v>15</v>
      </c>
      <c r="C5" t="s">
        <v>16</v>
      </c>
      <c r="D5" t="s">
        <v>22</v>
      </c>
      <c r="F5" t="s">
        <v>23</v>
      </c>
      <c r="G5" t="s">
        <v>19</v>
      </c>
      <c r="H5" s="2">
        <v>21801.360000000001</v>
      </c>
      <c r="I5" t="s">
        <v>24</v>
      </c>
      <c r="K5" t="s">
        <v>25</v>
      </c>
    </row>
    <row r="6" spans="1:12" ht="33" customHeight="1" x14ac:dyDescent="0.25">
      <c r="A6" t="s">
        <v>74</v>
      </c>
      <c r="B6" t="s">
        <v>26</v>
      </c>
      <c r="C6" t="s">
        <v>16</v>
      </c>
      <c r="D6" t="s">
        <v>27</v>
      </c>
      <c r="E6" s="9" t="s">
        <v>31</v>
      </c>
      <c r="F6" t="s">
        <v>28</v>
      </c>
      <c r="G6" t="s">
        <v>19</v>
      </c>
      <c r="H6" s="2">
        <v>45576.4</v>
      </c>
      <c r="I6" t="s">
        <v>29</v>
      </c>
      <c r="K6" t="s">
        <v>30</v>
      </c>
    </row>
    <row r="7" spans="1:12" ht="33" customHeight="1" x14ac:dyDescent="0.25">
      <c r="A7" t="s">
        <v>32</v>
      </c>
      <c r="B7" t="s">
        <v>26</v>
      </c>
      <c r="C7" t="s">
        <v>33</v>
      </c>
      <c r="D7" t="s">
        <v>34</v>
      </c>
      <c r="F7" t="s">
        <v>35</v>
      </c>
      <c r="G7" t="s">
        <v>36</v>
      </c>
      <c r="H7" s="2">
        <v>32676.94</v>
      </c>
      <c r="K7" t="s">
        <v>37</v>
      </c>
    </row>
    <row r="8" spans="1:12" ht="33" customHeight="1" x14ac:dyDescent="0.25">
      <c r="A8" t="s">
        <v>75</v>
      </c>
      <c r="B8" t="s">
        <v>15</v>
      </c>
      <c r="C8" t="s">
        <v>16</v>
      </c>
      <c r="D8" t="s">
        <v>38</v>
      </c>
      <c r="F8" t="s">
        <v>39</v>
      </c>
      <c r="G8" t="s">
        <v>19</v>
      </c>
      <c r="H8" s="2">
        <v>48514.559999999998</v>
      </c>
      <c r="I8" t="s">
        <v>40</v>
      </c>
      <c r="K8" t="s">
        <v>41</v>
      </c>
    </row>
    <row r="9" spans="1:12" ht="33" customHeight="1" x14ac:dyDescent="0.25">
      <c r="A9" t="s">
        <v>76</v>
      </c>
      <c r="B9" t="s">
        <v>15</v>
      </c>
      <c r="C9" t="s">
        <v>16</v>
      </c>
      <c r="D9" t="s">
        <v>42</v>
      </c>
      <c r="F9" t="s">
        <v>39</v>
      </c>
      <c r="G9" t="s">
        <v>19</v>
      </c>
      <c r="H9" s="2">
        <v>30976.18</v>
      </c>
      <c r="K9" t="s">
        <v>43</v>
      </c>
    </row>
    <row r="10" spans="1:12" ht="33" customHeight="1" x14ac:dyDescent="0.25">
      <c r="A10" t="s">
        <v>77</v>
      </c>
      <c r="B10" t="s">
        <v>26</v>
      </c>
      <c r="C10" t="s">
        <v>16</v>
      </c>
      <c r="D10" t="s">
        <v>44</v>
      </c>
      <c r="F10" t="s">
        <v>45</v>
      </c>
      <c r="G10" t="s">
        <v>19</v>
      </c>
      <c r="H10" s="2">
        <v>25180.25</v>
      </c>
      <c r="I10" t="s">
        <v>46</v>
      </c>
      <c r="K10" t="s">
        <v>47</v>
      </c>
    </row>
    <row r="11" spans="1:12" ht="33" customHeight="1" x14ac:dyDescent="0.25">
      <c r="A11" t="s">
        <v>78</v>
      </c>
      <c r="B11" t="s">
        <v>15</v>
      </c>
      <c r="C11" t="s">
        <v>16</v>
      </c>
      <c r="D11" t="s">
        <v>48</v>
      </c>
      <c r="F11" t="s">
        <v>49</v>
      </c>
      <c r="G11" t="s">
        <v>19</v>
      </c>
      <c r="H11" s="2">
        <v>27926.21</v>
      </c>
      <c r="I11" t="s">
        <v>50</v>
      </c>
      <c r="K11" t="s">
        <v>51</v>
      </c>
    </row>
    <row r="12" spans="1:12" ht="23.25" customHeight="1" x14ac:dyDescent="0.25">
      <c r="A12" t="s">
        <v>79</v>
      </c>
      <c r="B12" t="s">
        <v>15</v>
      </c>
      <c r="C12" t="s">
        <v>16</v>
      </c>
      <c r="D12" t="s">
        <v>52</v>
      </c>
      <c r="F12" t="s">
        <v>23</v>
      </c>
      <c r="G12" t="s">
        <v>19</v>
      </c>
      <c r="H12" s="2">
        <v>34219.61</v>
      </c>
      <c r="I12" t="s">
        <v>53</v>
      </c>
      <c r="K12" t="s">
        <v>54</v>
      </c>
    </row>
    <row r="13" spans="1:12" ht="69" customHeight="1" x14ac:dyDescent="0.25">
      <c r="A13" t="s">
        <v>55</v>
      </c>
      <c r="B13" t="s">
        <v>15</v>
      </c>
      <c r="C13" t="s">
        <v>33</v>
      </c>
      <c r="D13" t="s">
        <v>56</v>
      </c>
      <c r="E13" s="9" t="s">
        <v>59</v>
      </c>
      <c r="F13" t="s">
        <v>57</v>
      </c>
      <c r="G13" t="s">
        <v>19</v>
      </c>
      <c r="H13" s="2">
        <v>25050.13</v>
      </c>
      <c r="K13" t="s">
        <v>58</v>
      </c>
    </row>
    <row r="14" spans="1:12" ht="33" customHeight="1" x14ac:dyDescent="0.25">
      <c r="A14" t="s">
        <v>60</v>
      </c>
      <c r="B14" t="s">
        <v>26</v>
      </c>
      <c r="C14" t="s">
        <v>33</v>
      </c>
      <c r="D14" t="s">
        <v>61</v>
      </c>
      <c r="F14" t="s">
        <v>62</v>
      </c>
      <c r="G14" t="s">
        <v>19</v>
      </c>
      <c r="H14" s="2">
        <v>35147.19</v>
      </c>
      <c r="I14" t="s">
        <v>63</v>
      </c>
      <c r="K14" t="s">
        <v>64</v>
      </c>
    </row>
    <row r="15" spans="1:12" ht="33" customHeight="1" x14ac:dyDescent="0.25">
      <c r="A15" t="s">
        <v>80</v>
      </c>
      <c r="B15" t="s">
        <v>15</v>
      </c>
      <c r="C15" t="s">
        <v>16</v>
      </c>
      <c r="D15" t="s">
        <v>65</v>
      </c>
      <c r="E15" t="s">
        <v>66</v>
      </c>
      <c r="F15" t="s">
        <v>67</v>
      </c>
      <c r="G15" t="s">
        <v>36</v>
      </c>
      <c r="H15" s="2">
        <v>14568.42</v>
      </c>
      <c r="I15" t="s">
        <v>68</v>
      </c>
      <c r="K15" t="s">
        <v>69</v>
      </c>
      <c r="L15" t="s">
        <v>70</v>
      </c>
    </row>
    <row r="16" spans="1:12" x14ac:dyDescent="0.25">
      <c r="A16" s="1"/>
      <c r="B16" s="1"/>
      <c r="C16" s="1"/>
      <c r="D16" s="1" t="s">
        <v>71</v>
      </c>
      <c r="E16" s="1"/>
      <c r="F16" s="1"/>
      <c r="G16" s="1"/>
      <c r="H16" s="3">
        <f>SUM(H4:H15)</f>
        <v>378882.75</v>
      </c>
      <c r="I16" s="1"/>
      <c r="J16" s="1"/>
      <c r="K16" s="1"/>
      <c r="L16" s="1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7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A4B9-04B4-4C03-8BF2-4F4A6A401F33}">
  <sheetPr>
    <pageSetUpPr fitToPage="1"/>
  </sheetPr>
  <dimension ref="A1:H26"/>
  <sheetViews>
    <sheetView workbookViewId="0">
      <selection activeCell="N13" sqref="N13"/>
    </sheetView>
  </sheetViews>
  <sheetFormatPr defaultRowHeight="15.75" x14ac:dyDescent="0.25"/>
  <cols>
    <col min="1" max="1" width="17.140625" style="10" customWidth="1"/>
    <col min="2" max="2" width="14" style="10" customWidth="1"/>
    <col min="3" max="3" width="17.42578125" style="10" customWidth="1"/>
    <col min="4" max="4" width="17.7109375" style="10" customWidth="1"/>
    <col min="5" max="5" width="11.7109375" style="10" customWidth="1"/>
    <col min="6" max="6" width="13.85546875" style="10" customWidth="1"/>
    <col min="7" max="7" width="12" style="10" bestFit="1" customWidth="1"/>
    <col min="8" max="8" width="15.28515625" style="10" customWidth="1"/>
    <col min="9" max="16384" width="9.140625" style="10"/>
  </cols>
  <sheetData>
    <row r="1" spans="1:8" x14ac:dyDescent="0.25">
      <c r="E1" s="11"/>
      <c r="H1" s="11">
        <v>45820.999988425923</v>
      </c>
    </row>
    <row r="2" spans="1:8" x14ac:dyDescent="0.25">
      <c r="A2" s="12" t="s">
        <v>0</v>
      </c>
      <c r="B2" s="12"/>
      <c r="C2" s="13"/>
      <c r="D2" s="13"/>
      <c r="E2" s="14" t="s">
        <v>81</v>
      </c>
      <c r="F2" s="13"/>
      <c r="G2" s="13"/>
      <c r="H2" s="13"/>
    </row>
    <row r="3" spans="1:8" x14ac:dyDescent="0.25">
      <c r="A3" s="10" t="s">
        <v>7</v>
      </c>
      <c r="B3" s="10" t="s">
        <v>87</v>
      </c>
      <c r="C3" s="10" t="s">
        <v>8</v>
      </c>
      <c r="D3" s="10" t="s">
        <v>82</v>
      </c>
      <c r="E3" s="10" t="s">
        <v>83</v>
      </c>
      <c r="F3" s="10" t="s">
        <v>84</v>
      </c>
      <c r="G3" s="10" t="s">
        <v>86</v>
      </c>
      <c r="H3" s="10" t="s">
        <v>85</v>
      </c>
    </row>
    <row r="4" spans="1:8" ht="27" customHeight="1" x14ac:dyDescent="0.25">
      <c r="A4" s="10" t="s">
        <v>88</v>
      </c>
      <c r="C4" s="10" t="s">
        <v>19</v>
      </c>
      <c r="D4" s="15">
        <v>950</v>
      </c>
      <c r="E4" s="15">
        <v>0</v>
      </c>
      <c r="F4" s="16">
        <v>35072.19</v>
      </c>
      <c r="G4" s="15"/>
      <c r="H4" s="15">
        <v>35147.19</v>
      </c>
    </row>
    <row r="5" spans="1:8" ht="27" customHeight="1" x14ac:dyDescent="0.25">
      <c r="D5" s="15"/>
      <c r="E5" s="15"/>
      <c r="F5" s="16"/>
      <c r="G5" s="15"/>
      <c r="H5" s="15"/>
    </row>
    <row r="6" spans="1:8" ht="27" customHeight="1" x14ac:dyDescent="0.25">
      <c r="A6" s="10" t="s">
        <v>49</v>
      </c>
      <c r="C6" s="10" t="s">
        <v>19</v>
      </c>
      <c r="D6" s="15">
        <v>750</v>
      </c>
      <c r="E6" s="15">
        <v>0</v>
      </c>
      <c r="F6" s="16">
        <v>27851.21</v>
      </c>
      <c r="G6" s="15"/>
      <c r="H6" s="15">
        <v>27926.21</v>
      </c>
    </row>
    <row r="7" spans="1:8" ht="27" customHeight="1" x14ac:dyDescent="0.25">
      <c r="D7" s="15"/>
      <c r="E7" s="15"/>
      <c r="F7" s="16"/>
      <c r="G7" s="15"/>
      <c r="H7" s="15"/>
    </row>
    <row r="8" spans="1:8" ht="27" customHeight="1" x14ac:dyDescent="0.25">
      <c r="A8" s="10" t="s">
        <v>35</v>
      </c>
      <c r="C8" s="10" t="s">
        <v>36</v>
      </c>
      <c r="D8" s="15">
        <v>850</v>
      </c>
      <c r="E8" s="15">
        <v>0</v>
      </c>
      <c r="F8" s="16">
        <v>32601.94</v>
      </c>
      <c r="G8" s="15"/>
      <c r="H8" s="15">
        <v>32676.94</v>
      </c>
    </row>
    <row r="9" spans="1:8" ht="27" customHeight="1" x14ac:dyDescent="0.25">
      <c r="D9" s="15"/>
      <c r="E9" s="15"/>
      <c r="F9" s="16"/>
      <c r="G9" s="15"/>
      <c r="H9" s="15"/>
    </row>
    <row r="10" spans="1:8" ht="27" customHeight="1" x14ac:dyDescent="0.25">
      <c r="A10" s="10" t="s">
        <v>18</v>
      </c>
      <c r="C10" s="10" t="s">
        <v>19</v>
      </c>
      <c r="D10" s="15">
        <v>950</v>
      </c>
      <c r="E10" s="15">
        <v>0</v>
      </c>
      <c r="F10" s="16">
        <v>37170.5</v>
      </c>
      <c r="G10" s="15"/>
      <c r="H10" s="15">
        <v>37245.5</v>
      </c>
    </row>
    <row r="11" spans="1:8" ht="27" customHeight="1" x14ac:dyDescent="0.25">
      <c r="D11" s="15"/>
      <c r="E11" s="15"/>
      <c r="F11" s="15"/>
      <c r="G11" s="15"/>
      <c r="H11" s="15"/>
    </row>
    <row r="12" spans="1:8" ht="27" customHeight="1" x14ac:dyDescent="0.25">
      <c r="A12" s="10" t="s">
        <v>23</v>
      </c>
      <c r="B12" s="17" t="s">
        <v>89</v>
      </c>
      <c r="C12" s="10" t="s">
        <v>19</v>
      </c>
      <c r="D12" s="15">
        <v>850</v>
      </c>
      <c r="E12" s="15">
        <v>0</v>
      </c>
      <c r="F12" s="15">
        <v>34144.61</v>
      </c>
      <c r="G12" s="15"/>
      <c r="H12" s="15">
        <v>34219.61</v>
      </c>
    </row>
    <row r="13" spans="1:8" ht="27" customHeight="1" x14ac:dyDescent="0.25">
      <c r="A13" s="10" t="s">
        <v>23</v>
      </c>
      <c r="C13" s="10" t="s">
        <v>19</v>
      </c>
      <c r="D13" s="15">
        <v>650</v>
      </c>
      <c r="E13" s="15">
        <v>0</v>
      </c>
      <c r="F13" s="15">
        <v>21726.36</v>
      </c>
      <c r="G13" s="16">
        <f>SUM(F12:F13)</f>
        <v>55870.97</v>
      </c>
      <c r="H13" s="15">
        <v>21801.360000000001</v>
      </c>
    </row>
    <row r="14" spans="1:8" ht="27" customHeight="1" x14ac:dyDescent="0.25">
      <c r="D14" s="15"/>
      <c r="E14" s="15"/>
      <c r="F14" s="15"/>
      <c r="G14" s="15"/>
      <c r="H14" s="15"/>
    </row>
    <row r="15" spans="1:8" ht="27" customHeight="1" x14ac:dyDescent="0.25">
      <c r="A15" s="10" t="s">
        <v>39</v>
      </c>
      <c r="C15" s="10" t="s">
        <v>19</v>
      </c>
      <c r="D15" s="15">
        <v>850</v>
      </c>
      <c r="E15" s="15">
        <v>0</v>
      </c>
      <c r="F15" s="15">
        <v>30901.18</v>
      </c>
      <c r="G15" s="15"/>
      <c r="H15" s="15">
        <v>30976.18</v>
      </c>
    </row>
    <row r="16" spans="1:8" ht="27" customHeight="1" x14ac:dyDescent="0.25">
      <c r="A16" s="10" t="s">
        <v>39</v>
      </c>
      <c r="C16" s="10" t="s">
        <v>19</v>
      </c>
      <c r="D16" s="15">
        <v>1150</v>
      </c>
      <c r="E16" s="15">
        <v>0</v>
      </c>
      <c r="F16" s="15">
        <v>48439.56</v>
      </c>
      <c r="G16" s="16">
        <f>SUM(F15:F16)</f>
        <v>79340.739999999991</v>
      </c>
      <c r="H16" s="15">
        <v>48514.559999999998</v>
      </c>
    </row>
    <row r="17" spans="1:8" ht="27" customHeight="1" x14ac:dyDescent="0.25">
      <c r="D17" s="15"/>
      <c r="E17" s="15"/>
      <c r="F17" s="15"/>
      <c r="G17" s="15"/>
      <c r="H17" s="15"/>
    </row>
    <row r="18" spans="1:8" ht="27" customHeight="1" x14ac:dyDescent="0.25">
      <c r="A18" s="10" t="s">
        <v>45</v>
      </c>
      <c r="C18" s="10" t="s">
        <v>19</v>
      </c>
      <c r="D18" s="15">
        <v>750</v>
      </c>
      <c r="E18" s="15">
        <v>0</v>
      </c>
      <c r="F18" s="16">
        <v>25105.25</v>
      </c>
      <c r="G18" s="15"/>
      <c r="H18" s="15">
        <v>25180.25</v>
      </c>
    </row>
    <row r="19" spans="1:8" ht="27" customHeight="1" x14ac:dyDescent="0.25">
      <c r="D19" s="15"/>
      <c r="E19" s="15"/>
      <c r="F19" s="16"/>
      <c r="G19" s="15"/>
      <c r="H19" s="15"/>
    </row>
    <row r="20" spans="1:8" ht="27" customHeight="1" x14ac:dyDescent="0.25">
      <c r="A20" s="10" t="s">
        <v>28</v>
      </c>
      <c r="C20" s="10" t="s">
        <v>19</v>
      </c>
      <c r="D20" s="15">
        <v>1150</v>
      </c>
      <c r="E20" s="15">
        <v>0</v>
      </c>
      <c r="F20" s="16">
        <v>45501.4</v>
      </c>
      <c r="G20" s="15"/>
      <c r="H20" s="15">
        <v>45576.4</v>
      </c>
    </row>
    <row r="21" spans="1:8" ht="27" customHeight="1" x14ac:dyDescent="0.25">
      <c r="D21" s="15"/>
      <c r="E21" s="15"/>
      <c r="F21" s="16"/>
      <c r="G21" s="15"/>
      <c r="H21" s="15"/>
    </row>
    <row r="22" spans="1:8" ht="27" customHeight="1" x14ac:dyDescent="0.25">
      <c r="A22" s="10" t="s">
        <v>57</v>
      </c>
      <c r="C22" s="10" t="s">
        <v>19</v>
      </c>
      <c r="D22" s="15">
        <v>750</v>
      </c>
      <c r="E22" s="15">
        <v>0</v>
      </c>
      <c r="F22" s="16">
        <v>24975.13</v>
      </c>
      <c r="G22" s="15"/>
      <c r="H22" s="15">
        <v>25050.13</v>
      </c>
    </row>
    <row r="23" spans="1:8" ht="27" customHeight="1" x14ac:dyDescent="0.25">
      <c r="D23" s="15"/>
      <c r="E23" s="15"/>
      <c r="F23" s="16"/>
      <c r="G23" s="15"/>
      <c r="H23" s="15"/>
    </row>
    <row r="24" spans="1:8" ht="27" customHeight="1" x14ac:dyDescent="0.25">
      <c r="A24" s="10" t="s">
        <v>67</v>
      </c>
      <c r="C24" s="10" t="s">
        <v>36</v>
      </c>
      <c r="D24" s="15">
        <v>300</v>
      </c>
      <c r="E24" s="15">
        <v>0</v>
      </c>
      <c r="F24" s="16">
        <v>14493.42</v>
      </c>
      <c r="G24" s="15"/>
      <c r="H24" s="15">
        <v>14568.42</v>
      </c>
    </row>
    <row r="25" spans="1:8" x14ac:dyDescent="0.25">
      <c r="D25" s="15"/>
      <c r="E25" s="15"/>
      <c r="F25" s="15"/>
      <c r="G25" s="15"/>
      <c r="H25" s="15"/>
    </row>
    <row r="26" spans="1:8" x14ac:dyDescent="0.25">
      <c r="A26" s="18"/>
      <c r="B26" s="18"/>
      <c r="C26" s="18"/>
      <c r="D26" s="19">
        <f>SUM(D4:D24)</f>
        <v>9950</v>
      </c>
      <c r="E26" s="19">
        <f>SUM(E4:E24)</f>
        <v>0</v>
      </c>
      <c r="F26" s="19">
        <f>SUM(F4:F24)</f>
        <v>377982.75</v>
      </c>
      <c r="G26" s="19"/>
      <c r="H26" s="19">
        <f>SUM(H4:H24)</f>
        <v>378882.75</v>
      </c>
    </row>
  </sheetData>
  <mergeCells count="2">
    <mergeCell ref="A2:D2"/>
    <mergeCell ref="E2:H2"/>
  </mergeCells>
  <pageMargins left="0.7" right="0.45" top="0.75" bottom="0.5" header="0.3" footer="0.3"/>
  <pageSetup scale="91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21AF-18F8-4DB6-9E81-E1EF7243077B}">
  <sheetPr>
    <pageSetUpPr fitToPage="1"/>
  </sheetPr>
  <dimension ref="A1:E19"/>
  <sheetViews>
    <sheetView workbookViewId="0">
      <selection activeCell="E19" sqref="E19"/>
    </sheetView>
  </sheetViews>
  <sheetFormatPr defaultRowHeight="15.75" x14ac:dyDescent="0.25"/>
  <cols>
    <col min="1" max="1" width="16.7109375" style="10" customWidth="1"/>
    <col min="2" max="2" width="11.42578125" style="10" customWidth="1"/>
    <col min="3" max="3" width="27.28515625" style="10" customWidth="1"/>
    <col min="4" max="4" width="22" style="10" customWidth="1"/>
    <col min="5" max="5" width="27.5703125" style="10" customWidth="1"/>
    <col min="6" max="16384" width="9.140625" style="10"/>
  </cols>
  <sheetData>
    <row r="1" spans="1:5" ht="24.95" customHeight="1" x14ac:dyDescent="0.25">
      <c r="A1" s="10" t="s">
        <v>91</v>
      </c>
      <c r="E1" s="11">
        <v>45820.999988425923</v>
      </c>
    </row>
    <row r="2" spans="1:5" ht="24.95" customHeight="1" x14ac:dyDescent="0.25">
      <c r="A2" s="12" t="s">
        <v>0</v>
      </c>
      <c r="B2" s="13"/>
      <c r="C2" s="13"/>
      <c r="D2" s="13"/>
      <c r="E2" s="13"/>
    </row>
    <row r="3" spans="1:5" ht="24.95" customHeight="1" x14ac:dyDescent="0.25">
      <c r="A3" s="10" t="s">
        <v>2</v>
      </c>
      <c r="B3" s="10" t="s">
        <v>4</v>
      </c>
      <c r="C3" s="10" t="s">
        <v>5</v>
      </c>
      <c r="D3" s="10" t="s">
        <v>7</v>
      </c>
      <c r="E3" s="10" t="s">
        <v>14</v>
      </c>
    </row>
    <row r="4" spans="1:5" ht="24.95" customHeight="1" x14ac:dyDescent="0.25">
      <c r="A4" s="10" t="s">
        <v>32</v>
      </c>
      <c r="B4" s="10" t="s">
        <v>33</v>
      </c>
      <c r="C4" s="10" t="s">
        <v>34</v>
      </c>
      <c r="D4" s="10" t="s">
        <v>35</v>
      </c>
    </row>
    <row r="5" spans="1:5" ht="33" customHeight="1" x14ac:dyDescent="0.25">
      <c r="A5" s="10" t="s">
        <v>55</v>
      </c>
      <c r="B5" s="10" t="s">
        <v>33</v>
      </c>
      <c r="C5" s="10" t="s">
        <v>56</v>
      </c>
      <c r="D5" s="10" t="s">
        <v>57</v>
      </c>
      <c r="E5" s="21" t="s">
        <v>59</v>
      </c>
    </row>
    <row r="6" spans="1:5" ht="24.95" customHeight="1" x14ac:dyDescent="0.25">
      <c r="A6" s="10" t="s">
        <v>60</v>
      </c>
      <c r="B6" s="10" t="s">
        <v>33</v>
      </c>
      <c r="C6" s="10" t="s">
        <v>61</v>
      </c>
      <c r="D6" s="10" t="s">
        <v>62</v>
      </c>
    </row>
    <row r="7" spans="1:5" ht="24.95" customHeight="1" x14ac:dyDescent="0.25">
      <c r="A7" s="18"/>
      <c r="B7" s="18"/>
      <c r="C7" s="18" t="s">
        <v>90</v>
      </c>
      <c r="D7" s="18"/>
      <c r="E7" s="18"/>
    </row>
    <row r="11" spans="1:5" x14ac:dyDescent="0.25">
      <c r="A11" s="10" t="s">
        <v>92</v>
      </c>
      <c r="B11" s="20"/>
      <c r="C11" s="20"/>
      <c r="D11" s="20"/>
    </row>
    <row r="15" spans="1:5" x14ac:dyDescent="0.25">
      <c r="A15" s="10" t="s">
        <v>93</v>
      </c>
      <c r="B15" s="20"/>
      <c r="C15" s="20"/>
      <c r="D15" s="20"/>
    </row>
    <row r="19" spans="1:3" x14ac:dyDescent="0.25">
      <c r="A19" s="10" t="s">
        <v>94</v>
      </c>
      <c r="B19" s="20"/>
      <c r="C19" s="20"/>
    </row>
  </sheetData>
  <mergeCells count="2">
    <mergeCell ref="A2:C2"/>
    <mergeCell ref="D2:E2"/>
  </mergeCells>
  <pageMargins left="0.7" right="0.7" top="0.75" bottom="0.75" header="0.3" footer="0.3"/>
  <pageSetup scale="86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2025-06-12T18:53:23Z</cp:lastPrinted>
  <dcterms:created xsi:type="dcterms:W3CDTF">2025-06-12T18:33:55Z</dcterms:created>
  <dcterms:modified xsi:type="dcterms:W3CDTF">2025-06-12T19:32:12Z</dcterms:modified>
</cp:coreProperties>
</file>