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00-da1\Home\Share\Line of Business_Shared Services\Indirect Lending\E Contract Summary Report\Production\Input\"/>
    </mc:Choice>
  </mc:AlternateContent>
  <xr:revisionPtr revIDLastSave="0" documentId="8_{5C90FB04-9F8B-4C88-BC5A-1FDDB19478C1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2" l="1"/>
  <c r="H31" i="1"/>
  <c r="E31" i="1"/>
  <c r="D31" i="1"/>
  <c r="C31" i="1"/>
</calcChain>
</file>

<file path=xl/sharedStrings.xml><?xml version="1.0" encoding="utf-8"?>
<sst xmlns="http://schemas.openxmlformats.org/spreadsheetml/2006/main" count="191" uniqueCount="110">
  <si>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</si>
  <si>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</si>
  <si>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</si>
  <si>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</si>
  <si>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</si>
  <si>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</si>
  <si>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</si>
  <si>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</si>
  <si>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</si>
  <si>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</si>
  <si>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Buick Pontiac GMC</t>
  </si>
  <si>
    <t>Rachel Gorham</t>
  </si>
  <si>
    <t>Coastal Volkswagon</t>
  </si>
  <si>
    <t>Grieco Toyota</t>
  </si>
  <si>
    <t>Neli Oliveira</t>
  </si>
  <si>
    <t>Herb Chambers Lexus of Hingham</t>
  </si>
  <si>
    <t>Hiller Co Inc</t>
  </si>
  <si>
    <t>Mastria Mazda</t>
  </si>
  <si>
    <t>NARSA AMC LLC d/b/a</t>
  </si>
  <si>
    <t>Planet Subaru</t>
  </si>
  <si>
    <t>Marlene Braganca</t>
  </si>
  <si>
    <t>Richard Lundgren, Inc. d/b/a</t>
  </si>
  <si>
    <t>Salvadore Chevrolet</t>
  </si>
  <si>
    <t>Salvadore Chrysler</t>
  </si>
  <si>
    <t>Tasca Automotive Group Rt 6 One Inc</t>
  </si>
  <si>
    <t>Toyota of Dartmouth</t>
  </si>
  <si>
    <t>Viti Mercedes</t>
  </si>
  <si>
    <t>Column1</t>
  </si>
  <si>
    <t>Column2</t>
  </si>
  <si>
    <t>3376     3754</t>
  </si>
  <si>
    <t>5900     6390</t>
  </si>
  <si>
    <t># 14</t>
  </si>
  <si>
    <t>GEARY</t>
  </si>
  <si>
    <t>JAYMCDONOUGH240@GMAIL.COM</t>
  </si>
  <si>
    <t>MCDONOUGH, JASON</t>
  </si>
  <si>
    <t>Paper</t>
  </si>
  <si>
    <t>DealerTrack</t>
  </si>
  <si>
    <t>151203892</t>
  </si>
  <si>
    <t>PHENIX</t>
  </si>
  <si>
    <t>DINEEN</t>
  </si>
  <si>
    <t>PAULPAINTEN@VERZON.NET</t>
  </si>
  <si>
    <t>PAINTEN, ANDIE</t>
  </si>
  <si>
    <t>PAINTEN, PAUL</t>
  </si>
  <si>
    <t>E Contract</t>
  </si>
  <si>
    <t>Route One</t>
  </si>
  <si>
    <t>151203842e</t>
  </si>
  <si>
    <t>Noel</t>
  </si>
  <si>
    <t>MENU</t>
  </si>
  <si>
    <t>BRENTSCHELL@GMAIL.COM</t>
  </si>
  <si>
    <t>JACQUELYN.YOUSSEF@GMAIL.COM</t>
  </si>
  <si>
    <t>SCHELL, BRENT</t>
  </si>
  <si>
    <t>SCHELL, JACQUELYN</t>
  </si>
  <si>
    <t>151203834e</t>
  </si>
  <si>
    <t>SMITH</t>
  </si>
  <si>
    <t>ALEXROBINSMITH@GMAIL.COM</t>
  </si>
  <si>
    <t>SMITH, ALEXANDRA</t>
  </si>
  <si>
    <t>151203751e</t>
  </si>
  <si>
    <t>ST LAWRENCE</t>
  </si>
  <si>
    <t>MOOSHELL05@AOL.COM</t>
  </si>
  <si>
    <t>STILL, FRANCES</t>
  </si>
  <si>
    <t>151203743e</t>
  </si>
  <si>
    <t>TRYON</t>
  </si>
  <si>
    <t>ANDERSONKRIS71@GMAIL.COM</t>
  </si>
  <si>
    <t>PARENTEAU, KRISTEN</t>
  </si>
  <si>
    <t>151203727e</t>
  </si>
  <si>
    <t>Kolazinski</t>
  </si>
  <si>
    <t>bonnieisrow@icloud.com</t>
  </si>
  <si>
    <t>Isrow, Bonnie</t>
  </si>
  <si>
    <t>151203719e</t>
  </si>
  <si>
    <t>HAKKINEN</t>
  </si>
  <si>
    <t>Piepiora, Cynthia</t>
  </si>
  <si>
    <t>151203694e</t>
  </si>
  <si>
    <t>Fairweather</t>
  </si>
  <si>
    <t>TASHJIAN4@GMAIL.COM</t>
  </si>
  <si>
    <t>TASHJIAN, NANCY</t>
  </si>
  <si>
    <t>151203686e</t>
  </si>
  <si>
    <t>ERMINDA</t>
  </si>
  <si>
    <t>CASTRO ACEVEDO, RAFAEL</t>
  </si>
  <si>
    <t>151203678e</t>
  </si>
  <si>
    <t>CHANDLER</t>
  </si>
  <si>
    <t>DUGAN.ROSS68@GMAIL.COM</t>
  </si>
  <si>
    <t>DUGAN, ROSS</t>
  </si>
  <si>
    <t>151203644e</t>
  </si>
  <si>
    <t>SHERIHAUGE@COMCAST.NET</t>
  </si>
  <si>
    <t>ERIKSON, SHERI</t>
  </si>
  <si>
    <t>151203636e</t>
  </si>
  <si>
    <t>GAULIN</t>
  </si>
  <si>
    <t>BHOULEFOOD@GMAIL.COM</t>
  </si>
  <si>
    <t>HOULE, BARBARA</t>
  </si>
  <si>
    <t>151203628e</t>
  </si>
  <si>
    <t>MARA</t>
  </si>
  <si>
    <t>TBOSE14@VERIZON.NET</t>
  </si>
  <si>
    <t>BOSE, TIMOTHY</t>
  </si>
  <si>
    <t>151203595e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</si>
  <si>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</si>
  <si>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</si>
  <si>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</si>
  <si>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</si>
  <si>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</si>
  <si>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</si>
  <si>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</si>
  <si>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</si>
  <si>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</si>
  <si>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</si>
  <si>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</si>
  <si>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</t>
  </si>
  <si>
    <t>Received By_________________________________________________________________________</t>
  </si>
  <si>
    <t>Delivered By_________________________________________________________________________</t>
  </si>
  <si>
    <t># 1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</si>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</sst>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</cellXfs>
  <cellStyles count="2">
    <cellStyle name="Normal" xfId="0" builtinId="0"/>
    <cellStyle name="Normal 2" xfId="1" xr:uid="{01C6BF91-3EC2-4D77-B10C-494C913BD885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31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BA10DA24-D5A3-4EC4-9095-0BA969718F3F}" name="Column1" dataDxfId="24"/>
    <tableColumn id="8" xr3:uid="{03304203-4045-4A2C-8C04-BB1DD2962227}" name="Column2" dataDxfId="23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FB1939-34B2-4F45-8CBF-D0EAB1CAADB0}" name="Table_13" displayName="Table_13" ref="A3:L18" headerRowDxfId="22" dataDxfId="21" totalsRowDxfId="20">
  <tableColumns count="12">
    <tableColumn id="1" xr3:uid="{00000000-0010-0000-0000-000001000000}" name="Account Number" dataDxfId="19"/>
    <tableColumn id="2" xr3:uid="{00000000-0010-0000-0000-000002000000}" name="Portal" dataDxfId="18"/>
    <tableColumn id="3" xr3:uid="{00000000-0010-0000-0000-000003000000}" name="Contract Type" dataDxfId="17"/>
    <tableColumn id="4" xr3:uid="{00000000-0010-0000-0000-000004000000}" name="Applicant Name" dataDxfId="16"/>
    <tableColumn id="5" xr3:uid="{00000000-0010-0000-0000-000005000000}" name="Co-Applicant Name" dataDxfId="15"/>
    <tableColumn id="6" xr3:uid="{00000000-0010-0000-0000-000006000000}" name="Dealer Name" dataDxfId="14"/>
    <tableColumn id="7" xr3:uid="{00000000-0010-0000-0000-000007000000}" name="Funded by" dataDxfId="13"/>
    <tableColumn id="8" xr3:uid="{00000000-0010-0000-0000-000008000000}" name="Amount Financed" dataDxfId="12"/>
    <tableColumn id="9" xr3:uid="{00000000-0010-0000-0000-000009000000}" name="Applicant Email" dataDxfId="11"/>
    <tableColumn id="10" xr3:uid="{00000000-0010-0000-0000-00000A000000}" name="Co-Applicant Email" dataDxfId="10"/>
    <tableColumn id="11" xr3:uid="{00000000-0010-0000-0000-00000B000000}" name="App MMN" dataDxfId="9"/>
    <tableColumn id="12" xr3:uid="{00000000-0010-0000-0000-00000C000000}" name="Co-App MMN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703C20-8073-4F24-A550-3404373031D7}" name="Table_14" displayName="Table_14" ref="A3:E5" headerRowDxfId="7" dataDxfId="6" totalsRowDxfId="5">
  <tableColumns count="5">
    <tableColumn id="1" xr3:uid="{00000000-0010-0000-0000-000001000000}" name="Account Number" dataDxfId="4"/>
    <tableColumn id="2" xr3:uid="{00000000-0010-0000-0000-000002000000}" name="Contract Type" dataDxfId="3"/>
    <tableColumn id="3" xr3:uid="{00000000-0010-0000-0000-000003000000}" name="Applicant Name" dataDxfId="2"/>
    <tableColumn id="4" xr3:uid="{00000000-0010-0000-0000-000004000000}" name="Co-Applicant Name" dataDxfId="1"/>
    <tableColumn id="5" xr3:uid="{00000000-0010-0000-0000-000005000000}" name="Dealer Nam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1"/>
  <sheetViews>
    <sheetView workbookViewId="0">
      <pane ySplit="3" topLeftCell="A4" activePane="bottomLeft" state="frozen"/>
      <selection pane="bottomLeft" activeCell="E8" sqref="E8"/>
    </sheetView>
  </sheetViews>
  <sheetFormatPr defaultRowHeight="15" x14ac:dyDescent="0.25"/>
  <cols>
    <col min="1" max="1" width="35.7109375" bestFit="1" customWidth="1"/>
    <col min="2" max="2" width="17.7109375" bestFit="1" customWidth="1"/>
    <col min="3" max="3" width="11.140625" bestFit="1" customWidth="1"/>
    <col min="4" max="4" width="13.1406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45856</v>
      </c>
      <c r="E1" t="s">
        <v>2</v>
      </c>
      <c r="H1" s="4">
        <v>45856.999988425923</v>
      </c>
    </row>
    <row r="2" spans="1:8" x14ac:dyDescent="0.25">
      <c r="A2" s="11" t="s">
        <v>0</v>
      </c>
      <c r="B2" s="12"/>
      <c r="C2" s="12"/>
      <c r="D2" s="13" t="s">
        <v>1</v>
      </c>
      <c r="E2" s="12"/>
      <c r="F2" s="12"/>
      <c r="G2" s="12"/>
      <c r="H2" s="12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27</v>
      </c>
      <c r="G3" t="s">
        <v>28</v>
      </c>
      <c r="H3" t="s">
        <v>9</v>
      </c>
    </row>
    <row r="4" spans="1:8" x14ac:dyDescent="0.25">
      <c r="A4" t="s">
        <v>10</v>
      </c>
      <c r="B4" t="s">
        <v>11</v>
      </c>
      <c r="C4" s="2">
        <v>750</v>
      </c>
      <c r="D4" s="2">
        <v>0</v>
      </c>
      <c r="E4" s="2">
        <v>27829.02</v>
      </c>
      <c r="F4" s="2"/>
      <c r="G4" s="2"/>
      <c r="H4" s="2">
        <v>27904.02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11</v>
      </c>
      <c r="C6" s="2">
        <v>750</v>
      </c>
      <c r="D6" s="2">
        <v>0</v>
      </c>
      <c r="E6" s="2">
        <v>25839.75</v>
      </c>
      <c r="F6" s="2"/>
      <c r="G6" s="2"/>
      <c r="H6" s="2">
        <v>25914.75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13</v>
      </c>
      <c r="B8" t="s">
        <v>14</v>
      </c>
      <c r="C8" s="2">
        <v>1350</v>
      </c>
      <c r="D8" s="2">
        <v>0</v>
      </c>
      <c r="E8" s="2">
        <v>51914.61</v>
      </c>
      <c r="F8" s="2"/>
      <c r="G8" s="2"/>
      <c r="H8" s="2">
        <v>51989.61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15</v>
      </c>
      <c r="B10" t="s">
        <v>11</v>
      </c>
      <c r="C10" s="2">
        <v>300</v>
      </c>
      <c r="D10" s="2">
        <v>0</v>
      </c>
      <c r="E10" s="2">
        <v>12885.88</v>
      </c>
      <c r="F10" s="2"/>
      <c r="G10" s="2"/>
      <c r="H10" s="2">
        <v>12960.88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16</v>
      </c>
      <c r="B12" t="s">
        <v>11</v>
      </c>
      <c r="C12" s="2">
        <v>500</v>
      </c>
      <c r="D12" s="2">
        <v>0</v>
      </c>
      <c r="E12" s="2">
        <v>18238.439999999999</v>
      </c>
      <c r="F12" s="2"/>
      <c r="G12" s="2"/>
      <c r="H12" s="2">
        <v>18313.439999999999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17</v>
      </c>
      <c r="B14" t="s">
        <v>14</v>
      </c>
      <c r="C14" s="2">
        <v>750</v>
      </c>
      <c r="D14" s="2">
        <v>0</v>
      </c>
      <c r="E14" s="2">
        <v>27595.73</v>
      </c>
      <c r="F14" s="2"/>
      <c r="G14" s="2" t="s">
        <v>30</v>
      </c>
      <c r="H14" s="2">
        <v>27670.73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18</v>
      </c>
      <c r="B16" t="s">
        <v>14</v>
      </c>
      <c r="C16" s="2">
        <v>300</v>
      </c>
      <c r="D16" s="2">
        <v>0</v>
      </c>
      <c r="E16" s="2">
        <v>11985</v>
      </c>
      <c r="F16" s="2"/>
      <c r="G16" s="2"/>
      <c r="H16" s="2">
        <v>12060</v>
      </c>
    </row>
    <row r="17" spans="1:8" x14ac:dyDescent="0.25">
      <c r="C17" s="2"/>
      <c r="D17" s="2"/>
      <c r="E17" s="2"/>
      <c r="F17" s="2"/>
      <c r="G17" s="2"/>
      <c r="H17" s="2"/>
    </row>
    <row r="18" spans="1:8" x14ac:dyDescent="0.25">
      <c r="A18" t="s">
        <v>19</v>
      </c>
      <c r="B18" t="s">
        <v>20</v>
      </c>
      <c r="C18" s="2">
        <v>750</v>
      </c>
      <c r="D18" s="2">
        <v>0</v>
      </c>
      <c r="E18" s="2">
        <v>27319.75</v>
      </c>
      <c r="F18" s="2"/>
      <c r="G18" s="2"/>
      <c r="H18" s="2">
        <v>27394.75</v>
      </c>
    </row>
    <row r="19" spans="1:8" x14ac:dyDescent="0.25">
      <c r="C19" s="2"/>
      <c r="D19" s="2"/>
      <c r="E19" s="2"/>
      <c r="F19" s="2"/>
      <c r="G19" s="2"/>
      <c r="H19" s="2"/>
    </row>
    <row r="20" spans="1:8" x14ac:dyDescent="0.25">
      <c r="A20" t="s">
        <v>21</v>
      </c>
      <c r="B20" t="s">
        <v>20</v>
      </c>
      <c r="C20" s="2">
        <v>1050</v>
      </c>
      <c r="D20" s="2">
        <v>0</v>
      </c>
      <c r="E20" s="2">
        <v>41184.379999999997</v>
      </c>
      <c r="F20" s="2"/>
      <c r="G20" s="2"/>
      <c r="H20" s="2">
        <v>41259.379999999997</v>
      </c>
    </row>
    <row r="21" spans="1:8" x14ac:dyDescent="0.25">
      <c r="C21" s="2"/>
      <c r="D21" s="2"/>
      <c r="E21" s="2"/>
      <c r="F21" s="2"/>
      <c r="G21" s="2"/>
      <c r="H21" s="2"/>
    </row>
    <row r="22" spans="1:8" x14ac:dyDescent="0.25">
      <c r="A22" t="s">
        <v>22</v>
      </c>
      <c r="B22" t="s">
        <v>14</v>
      </c>
      <c r="C22" s="2">
        <v>850</v>
      </c>
      <c r="D22" s="2">
        <v>0</v>
      </c>
      <c r="E22" s="2">
        <v>33151.629999999997</v>
      </c>
      <c r="F22" s="2"/>
      <c r="G22" s="2"/>
      <c r="H22" s="2">
        <v>33226.629999999997</v>
      </c>
    </row>
    <row r="23" spans="1:8" x14ac:dyDescent="0.25">
      <c r="C23" s="2"/>
      <c r="D23" s="2"/>
      <c r="E23" s="2"/>
      <c r="F23" s="2"/>
      <c r="G23" s="2"/>
      <c r="H23" s="2"/>
    </row>
    <row r="24" spans="1:8" x14ac:dyDescent="0.25">
      <c r="A24" t="s">
        <v>23</v>
      </c>
      <c r="B24" t="s">
        <v>20</v>
      </c>
      <c r="C24" s="2">
        <v>300</v>
      </c>
      <c r="D24" s="2">
        <v>0</v>
      </c>
      <c r="E24" s="2">
        <v>11353.69</v>
      </c>
      <c r="F24" s="2"/>
      <c r="G24" s="2"/>
      <c r="H24" s="2">
        <v>11428.69</v>
      </c>
    </row>
    <row r="25" spans="1:8" x14ac:dyDescent="0.25">
      <c r="C25" s="2"/>
      <c r="D25" s="2"/>
      <c r="E25" s="2"/>
      <c r="F25" s="2"/>
      <c r="G25" s="2"/>
      <c r="H25" s="2"/>
    </row>
    <row r="26" spans="1:8" x14ac:dyDescent="0.25">
      <c r="A26" t="s">
        <v>24</v>
      </c>
      <c r="B26" t="s">
        <v>11</v>
      </c>
      <c r="C26" s="2">
        <v>850</v>
      </c>
      <c r="D26" s="2">
        <v>0</v>
      </c>
      <c r="E26" s="2">
        <v>30398.6</v>
      </c>
      <c r="F26" s="2"/>
      <c r="G26" s="2"/>
      <c r="H26" s="2">
        <v>30473.599999999999</v>
      </c>
    </row>
    <row r="27" spans="1:8" x14ac:dyDescent="0.25">
      <c r="C27" s="2"/>
      <c r="D27" s="2"/>
      <c r="E27" s="2"/>
      <c r="F27" s="2"/>
      <c r="G27" s="2"/>
      <c r="H27" s="2"/>
    </row>
    <row r="28" spans="1:8" x14ac:dyDescent="0.25">
      <c r="A28" t="s">
        <v>25</v>
      </c>
      <c r="B28" t="s">
        <v>14</v>
      </c>
      <c r="C28" s="2">
        <v>300</v>
      </c>
      <c r="D28" s="2">
        <v>0</v>
      </c>
      <c r="E28" s="2">
        <v>12507.56</v>
      </c>
      <c r="F28" s="2"/>
      <c r="G28" s="2" t="s">
        <v>29</v>
      </c>
      <c r="H28" s="2">
        <v>12582.56</v>
      </c>
    </row>
    <row r="29" spans="1:8" x14ac:dyDescent="0.25">
      <c r="C29" s="2"/>
      <c r="D29" s="2"/>
      <c r="E29" s="2"/>
      <c r="F29" s="2"/>
      <c r="G29" s="2"/>
      <c r="H29" s="2"/>
    </row>
    <row r="30" spans="1:8" x14ac:dyDescent="0.25">
      <c r="A30" t="s">
        <v>26</v>
      </c>
      <c r="B30" t="s">
        <v>14</v>
      </c>
      <c r="C30" s="2">
        <v>1350</v>
      </c>
      <c r="D30" s="2">
        <v>0</v>
      </c>
      <c r="E30" s="2">
        <v>59813.4</v>
      </c>
      <c r="F30" s="2"/>
      <c r="G30" s="2"/>
      <c r="H30" s="2">
        <v>59888.4</v>
      </c>
    </row>
    <row r="31" spans="1:8" x14ac:dyDescent="0.25">
      <c r="A31" s="1"/>
      <c r="B31" s="1"/>
      <c r="C31" s="3">
        <f>SUM(C4:C30)</f>
        <v>10150</v>
      </c>
      <c r="D31" s="3">
        <f>SUM(D4:D30)</f>
        <v>0</v>
      </c>
      <c r="E31" s="3">
        <f>SUM(E4:E30)</f>
        <v>392017.44</v>
      </c>
      <c r="F31" s="3"/>
      <c r="G31" s="3"/>
      <c r="H31" s="3">
        <f>SUM(H4:H30)</f>
        <v>393067.44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45D01-D558-4FB9-9039-FCF036802D75}">
  <sheetPr>
    <pageSetUpPr fitToPage="1"/>
  </sheetPr>
  <dimension ref="A1:L22"/>
  <sheetViews>
    <sheetView tabSelected="1" workbookViewId="0">
      <pane ySplit="3" topLeftCell="A10" activePane="bottomLeft" state="frozen"/>
      <selection pane="bottomLeft" activeCell="D27" sqref="D27"/>
    </sheetView>
  </sheetViews>
  <sheetFormatPr defaultRowHeight="15" x14ac:dyDescent="0.25"/>
  <cols>
    <col min="1" max="1" width="16.42578125" style="5" bestFit="1" customWidth="1"/>
    <col min="2" max="2" width="12.140625" style="5" bestFit="1" customWidth="1"/>
    <col min="3" max="3" width="14" style="5" bestFit="1" customWidth="1"/>
    <col min="4" max="4" width="26.28515625" style="5" bestFit="1" customWidth="1"/>
    <col min="5" max="5" width="18.7109375" style="5" bestFit="1" customWidth="1"/>
    <col min="6" max="6" width="35.7109375" style="5" bestFit="1" customWidth="1"/>
    <col min="7" max="7" width="17.7109375" style="5" bestFit="1" customWidth="1"/>
    <col min="8" max="8" width="17.140625" style="5" bestFit="1" customWidth="1"/>
    <col min="9" max="9" width="33.140625" style="5" bestFit="1" customWidth="1"/>
    <col min="10" max="10" width="26.85546875" style="5" bestFit="1" customWidth="1"/>
    <col min="11" max="11" width="14.28515625" style="5" bestFit="1" customWidth="1"/>
    <col min="12" max="12" width="12.85546875" style="5" bestFit="1" customWidth="1"/>
    <col min="13" max="16384" width="9.140625" style="5"/>
  </cols>
  <sheetData>
    <row r="1" spans="1:12" ht="35.1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 t="s">
        <v>3</v>
      </c>
      <c r="K1" s="7">
        <v>45856</v>
      </c>
      <c r="L1" s="6" t="s">
        <v>2</v>
      </c>
    </row>
    <row r="2" spans="1:12" ht="35.1" customHeight="1" x14ac:dyDescent="0.25">
      <c r="A2" s="14" t="s">
        <v>0</v>
      </c>
      <c r="B2" s="15"/>
      <c r="C2" s="15"/>
      <c r="D2" s="15"/>
      <c r="E2" s="15"/>
      <c r="F2" s="15"/>
      <c r="G2" s="16" t="s">
        <v>104</v>
      </c>
      <c r="H2" s="15"/>
      <c r="I2" s="15"/>
      <c r="J2" s="15"/>
      <c r="K2" s="15"/>
      <c r="L2" s="15"/>
    </row>
    <row r="3" spans="1:12" ht="35.1" customHeight="1" x14ac:dyDescent="0.25">
      <c r="A3" s="6" t="s">
        <v>103</v>
      </c>
      <c r="B3" s="6" t="s">
        <v>102</v>
      </c>
      <c r="C3" s="6" t="s">
        <v>101</v>
      </c>
      <c r="D3" s="6" t="s">
        <v>100</v>
      </c>
      <c r="E3" s="6" t="s">
        <v>99</v>
      </c>
      <c r="F3" s="6" t="s">
        <v>4</v>
      </c>
      <c r="G3" s="6" t="s">
        <v>5</v>
      </c>
      <c r="H3" s="6" t="s">
        <v>98</v>
      </c>
      <c r="I3" s="6" t="s">
        <v>97</v>
      </c>
      <c r="J3" s="6" t="s">
        <v>96</v>
      </c>
      <c r="K3" s="6" t="s">
        <v>95</v>
      </c>
      <c r="L3" s="6" t="s">
        <v>94</v>
      </c>
    </row>
    <row r="4" spans="1:12" ht="35.1" customHeight="1" x14ac:dyDescent="0.25">
      <c r="A4" s="6" t="s">
        <v>93</v>
      </c>
      <c r="B4" s="6" t="s">
        <v>36</v>
      </c>
      <c r="C4" s="6" t="s">
        <v>43</v>
      </c>
      <c r="D4" s="6" t="s">
        <v>92</v>
      </c>
      <c r="E4" s="6"/>
      <c r="F4" s="6" t="s">
        <v>26</v>
      </c>
      <c r="G4" s="6" t="s">
        <v>14</v>
      </c>
      <c r="H4" s="8">
        <v>59888.4</v>
      </c>
      <c r="I4" s="6" t="s">
        <v>91</v>
      </c>
      <c r="J4" s="6"/>
      <c r="K4" s="6" t="s">
        <v>90</v>
      </c>
      <c r="L4" s="6"/>
    </row>
    <row r="5" spans="1:12" ht="35.1" customHeight="1" x14ac:dyDescent="0.25">
      <c r="A5" s="6" t="s">
        <v>89</v>
      </c>
      <c r="B5" s="6" t="s">
        <v>44</v>
      </c>
      <c r="C5" s="6" t="s">
        <v>43</v>
      </c>
      <c r="D5" s="6" t="s">
        <v>88</v>
      </c>
      <c r="E5" s="6"/>
      <c r="F5" s="6" t="s">
        <v>15</v>
      </c>
      <c r="G5" s="6" t="s">
        <v>11</v>
      </c>
      <c r="H5" s="8">
        <v>12960.88</v>
      </c>
      <c r="I5" s="6" t="s">
        <v>87</v>
      </c>
      <c r="J5" s="6"/>
      <c r="K5" s="6" t="s">
        <v>86</v>
      </c>
      <c r="L5" s="6"/>
    </row>
    <row r="6" spans="1:12" ht="35.1" customHeight="1" x14ac:dyDescent="0.25">
      <c r="A6" s="6" t="s">
        <v>85</v>
      </c>
      <c r="B6" s="6" t="s">
        <v>44</v>
      </c>
      <c r="C6" s="6" t="s">
        <v>43</v>
      </c>
      <c r="D6" s="6" t="s">
        <v>84</v>
      </c>
      <c r="E6" s="6"/>
      <c r="F6" s="6" t="s">
        <v>17</v>
      </c>
      <c r="G6" s="6" t="s">
        <v>14</v>
      </c>
      <c r="H6" s="8">
        <v>27670.73</v>
      </c>
      <c r="I6" s="6" t="s">
        <v>83</v>
      </c>
      <c r="J6" s="6"/>
      <c r="K6" s="6" t="s">
        <v>53</v>
      </c>
      <c r="L6" s="6"/>
    </row>
    <row r="7" spans="1:12" ht="35.1" customHeight="1" x14ac:dyDescent="0.25">
      <c r="A7" s="6" t="s">
        <v>82</v>
      </c>
      <c r="B7" s="6" t="s">
        <v>44</v>
      </c>
      <c r="C7" s="6" t="s">
        <v>43</v>
      </c>
      <c r="D7" s="6" t="s">
        <v>81</v>
      </c>
      <c r="E7" s="6"/>
      <c r="F7" s="6" t="s">
        <v>16</v>
      </c>
      <c r="G7" s="6" t="s">
        <v>11</v>
      </c>
      <c r="H7" s="8">
        <v>18313.439999999999</v>
      </c>
      <c r="I7" s="6" t="s">
        <v>80</v>
      </c>
      <c r="J7" s="6"/>
      <c r="K7" s="6" t="s">
        <v>79</v>
      </c>
      <c r="L7" s="6"/>
    </row>
    <row r="8" spans="1:12" ht="35.1" customHeight="1" x14ac:dyDescent="0.25">
      <c r="A8" s="6" t="s">
        <v>78</v>
      </c>
      <c r="B8" s="6" t="s">
        <v>44</v>
      </c>
      <c r="C8" s="6" t="s">
        <v>43</v>
      </c>
      <c r="D8" s="6" t="s">
        <v>77</v>
      </c>
      <c r="E8" s="6"/>
      <c r="F8" s="6" t="s">
        <v>13</v>
      </c>
      <c r="G8" s="6" t="s">
        <v>14</v>
      </c>
      <c r="H8" s="8">
        <v>51989.61</v>
      </c>
      <c r="I8" s="6"/>
      <c r="J8" s="6"/>
      <c r="K8" s="6" t="s">
        <v>76</v>
      </c>
      <c r="L8" s="6"/>
    </row>
    <row r="9" spans="1:12" ht="35.1" customHeight="1" x14ac:dyDescent="0.25">
      <c r="A9" s="6" t="s">
        <v>75</v>
      </c>
      <c r="B9" s="6" t="s">
        <v>36</v>
      </c>
      <c r="C9" s="6" t="s">
        <v>43</v>
      </c>
      <c r="D9" s="6" t="s">
        <v>74</v>
      </c>
      <c r="E9" s="6"/>
      <c r="F9" s="6" t="s">
        <v>19</v>
      </c>
      <c r="G9" s="6" t="s">
        <v>20</v>
      </c>
      <c r="H9" s="8">
        <v>27394.75</v>
      </c>
      <c r="I9" s="6" t="s">
        <v>73</v>
      </c>
      <c r="J9" s="6"/>
      <c r="K9" s="6" t="s">
        <v>72</v>
      </c>
      <c r="L9" s="6"/>
    </row>
    <row r="10" spans="1:12" ht="35.1" customHeight="1" x14ac:dyDescent="0.25">
      <c r="A10" s="6" t="s">
        <v>71</v>
      </c>
      <c r="B10" s="6" t="s">
        <v>44</v>
      </c>
      <c r="C10" s="6" t="s">
        <v>43</v>
      </c>
      <c r="D10" s="6" t="s">
        <v>70</v>
      </c>
      <c r="E10" s="6"/>
      <c r="F10" s="6" t="s">
        <v>22</v>
      </c>
      <c r="G10" s="6" t="s">
        <v>14</v>
      </c>
      <c r="H10" s="8">
        <v>33226.629999999997</v>
      </c>
      <c r="I10" s="6"/>
      <c r="J10" s="6"/>
      <c r="K10" s="6" t="s">
        <v>69</v>
      </c>
      <c r="L10" s="6"/>
    </row>
    <row r="11" spans="1:12" ht="35.1" customHeight="1" x14ac:dyDescent="0.25">
      <c r="A11" s="6" t="s">
        <v>68</v>
      </c>
      <c r="B11" s="6" t="s">
        <v>44</v>
      </c>
      <c r="C11" s="6" t="s">
        <v>43</v>
      </c>
      <c r="D11" s="6" t="s">
        <v>67</v>
      </c>
      <c r="E11" s="6"/>
      <c r="F11" s="6" t="s">
        <v>23</v>
      </c>
      <c r="G11" s="6" t="s">
        <v>20</v>
      </c>
      <c r="H11" s="8">
        <v>11428.69</v>
      </c>
      <c r="I11" s="6" t="s">
        <v>66</v>
      </c>
      <c r="J11" s="6"/>
      <c r="K11" s="6" t="s">
        <v>65</v>
      </c>
      <c r="L11" s="6"/>
    </row>
    <row r="12" spans="1:12" ht="35.1" customHeight="1" x14ac:dyDescent="0.25">
      <c r="A12" s="6" t="s">
        <v>64</v>
      </c>
      <c r="B12" s="6" t="s">
        <v>44</v>
      </c>
      <c r="C12" s="6" t="s">
        <v>43</v>
      </c>
      <c r="D12" s="6" t="s">
        <v>63</v>
      </c>
      <c r="E12" s="6"/>
      <c r="F12" s="6" t="s">
        <v>24</v>
      </c>
      <c r="G12" s="6" t="s">
        <v>11</v>
      </c>
      <c r="H12" s="8">
        <v>30473.599999999999</v>
      </c>
      <c r="I12" s="6" t="s">
        <v>62</v>
      </c>
      <c r="J12" s="6"/>
      <c r="K12" s="6" t="s">
        <v>61</v>
      </c>
      <c r="L12" s="6"/>
    </row>
    <row r="13" spans="1:12" ht="35.1" customHeight="1" x14ac:dyDescent="0.25">
      <c r="A13" s="6" t="s">
        <v>60</v>
      </c>
      <c r="B13" s="6" t="s">
        <v>44</v>
      </c>
      <c r="C13" s="6" t="s">
        <v>43</v>
      </c>
      <c r="D13" s="6" t="s">
        <v>59</v>
      </c>
      <c r="E13" s="6"/>
      <c r="F13" s="6" t="s">
        <v>10</v>
      </c>
      <c r="G13" s="6" t="s">
        <v>11</v>
      </c>
      <c r="H13" s="8">
        <v>27904.02</v>
      </c>
      <c r="I13" s="6" t="s">
        <v>58</v>
      </c>
      <c r="J13" s="6"/>
      <c r="K13" s="6" t="s">
        <v>57</v>
      </c>
      <c r="L13" s="6"/>
    </row>
    <row r="14" spans="1:12" ht="35.1" customHeight="1" x14ac:dyDescent="0.25">
      <c r="A14" s="6" t="s">
        <v>56</v>
      </c>
      <c r="B14" s="6" t="s">
        <v>36</v>
      </c>
      <c r="C14" s="6" t="s">
        <v>43</v>
      </c>
      <c r="D14" s="6" t="s">
        <v>55</v>
      </c>
      <c r="E14" s="6"/>
      <c r="F14" s="6" t="s">
        <v>12</v>
      </c>
      <c r="G14" s="6" t="s">
        <v>11</v>
      </c>
      <c r="H14" s="8">
        <v>25914.75</v>
      </c>
      <c r="I14" s="6" t="s">
        <v>54</v>
      </c>
      <c r="J14" s="6"/>
      <c r="K14" s="6" t="s">
        <v>53</v>
      </c>
      <c r="L14" s="6"/>
    </row>
    <row r="15" spans="1:12" ht="35.1" customHeight="1" x14ac:dyDescent="0.25">
      <c r="A15" s="6" t="s">
        <v>52</v>
      </c>
      <c r="B15" s="6" t="s">
        <v>36</v>
      </c>
      <c r="C15" s="6" t="s">
        <v>43</v>
      </c>
      <c r="D15" s="6" t="s">
        <v>51</v>
      </c>
      <c r="E15" s="6" t="s">
        <v>50</v>
      </c>
      <c r="F15" s="6" t="s">
        <v>21</v>
      </c>
      <c r="G15" s="6" t="s">
        <v>20</v>
      </c>
      <c r="H15" s="8">
        <v>41259.379999999997</v>
      </c>
      <c r="I15" s="6" t="s">
        <v>49</v>
      </c>
      <c r="J15" s="6" t="s">
        <v>48</v>
      </c>
      <c r="K15" s="6" t="s">
        <v>47</v>
      </c>
      <c r="L15" s="6" t="s">
        <v>46</v>
      </c>
    </row>
    <row r="16" spans="1:12" ht="35.1" customHeight="1" x14ac:dyDescent="0.25">
      <c r="A16" s="6" t="s">
        <v>45</v>
      </c>
      <c r="B16" s="6" t="s">
        <v>44</v>
      </c>
      <c r="C16" s="6" t="s">
        <v>43</v>
      </c>
      <c r="D16" s="6" t="s">
        <v>42</v>
      </c>
      <c r="E16" s="6" t="s">
        <v>41</v>
      </c>
      <c r="F16" s="6" t="s">
        <v>25</v>
      </c>
      <c r="G16" s="6" t="s">
        <v>14</v>
      </c>
      <c r="H16" s="8">
        <v>12582.56</v>
      </c>
      <c r="I16" s="6" t="s">
        <v>40</v>
      </c>
      <c r="J16" s="6"/>
      <c r="K16" s="6" t="s">
        <v>39</v>
      </c>
      <c r="L16" s="6" t="s">
        <v>38</v>
      </c>
    </row>
    <row r="17" spans="1:12" ht="35.1" customHeight="1" x14ac:dyDescent="0.25">
      <c r="A17" s="6" t="s">
        <v>37</v>
      </c>
      <c r="B17" s="6" t="s">
        <v>36</v>
      </c>
      <c r="C17" s="6" t="s">
        <v>35</v>
      </c>
      <c r="D17" s="6" t="s">
        <v>34</v>
      </c>
      <c r="E17" s="6"/>
      <c r="F17" s="6" t="s">
        <v>18</v>
      </c>
      <c r="G17" s="6" t="s">
        <v>14</v>
      </c>
      <c r="H17" s="8">
        <v>12060</v>
      </c>
      <c r="I17" s="6" t="s">
        <v>33</v>
      </c>
      <c r="J17" s="6"/>
      <c r="K17" s="6" t="s">
        <v>32</v>
      </c>
      <c r="L17" s="6"/>
    </row>
    <row r="18" spans="1:12" ht="35.1" customHeight="1" x14ac:dyDescent="0.25">
      <c r="A18" s="9"/>
      <c r="B18" s="9"/>
      <c r="C18" s="9"/>
      <c r="D18" s="9" t="s">
        <v>31</v>
      </c>
      <c r="E18" s="9"/>
      <c r="F18" s="9"/>
      <c r="G18" s="9"/>
      <c r="H18" s="10">
        <f>SUM(H4:H17)</f>
        <v>393067.44</v>
      </c>
      <c r="I18" s="9"/>
      <c r="J18" s="9"/>
      <c r="K18" s="9"/>
      <c r="L18" s="9"/>
    </row>
    <row r="19" spans="1:12" ht="35.1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 ht="35.1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ht="35.1" customHeight="1" x14ac:dyDescent="0.25"/>
    <row r="22" spans="1:12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5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1AAE3-BCF9-4B8C-9DA3-CDA8C50361FE}">
  <sheetPr>
    <pageSetUpPr fitToPage="1"/>
  </sheetPr>
  <dimension ref="A1:E20"/>
  <sheetViews>
    <sheetView workbookViewId="0">
      <pane ySplit="3" topLeftCell="A4" activePane="bottomLeft" state="frozen"/>
      <selection pane="bottomLeft" activeCell="E20" sqref="A1:E20"/>
    </sheetView>
  </sheetViews>
  <sheetFormatPr defaultRowHeight="15" x14ac:dyDescent="0.25"/>
  <cols>
    <col min="1" max="1" width="16.42578125" style="5" bestFit="1" customWidth="1"/>
    <col min="2" max="2" width="14" style="5" bestFit="1" customWidth="1"/>
    <col min="3" max="3" width="26.28515625" style="5" bestFit="1" customWidth="1"/>
    <col min="4" max="4" width="18.7109375" style="5" bestFit="1" customWidth="1"/>
    <col min="5" max="5" width="35.7109375" style="5" bestFit="1" customWidth="1"/>
    <col min="6" max="16384" width="9.140625" style="5"/>
  </cols>
  <sheetData>
    <row r="1" spans="1:5" x14ac:dyDescent="0.25">
      <c r="A1" s="6"/>
      <c r="B1" s="6"/>
      <c r="C1" s="6" t="s">
        <v>3</v>
      </c>
      <c r="D1" s="7">
        <v>45856</v>
      </c>
      <c r="E1" s="6" t="s">
        <v>2</v>
      </c>
    </row>
    <row r="2" spans="1:5" x14ac:dyDescent="0.25">
      <c r="A2" s="14" t="s">
        <v>0</v>
      </c>
      <c r="B2" s="15"/>
      <c r="C2" s="15"/>
      <c r="D2" s="16" t="s">
        <v>109</v>
      </c>
      <c r="E2" s="15"/>
    </row>
    <row r="3" spans="1:5" x14ac:dyDescent="0.25">
      <c r="A3" s="6" t="s">
        <v>103</v>
      </c>
      <c r="B3" s="6" t="s">
        <v>101</v>
      </c>
      <c r="C3" s="6" t="s">
        <v>100</v>
      </c>
      <c r="D3" s="6" t="s">
        <v>99</v>
      </c>
      <c r="E3" s="6" t="s">
        <v>4</v>
      </c>
    </row>
    <row r="4" spans="1:5" x14ac:dyDescent="0.25">
      <c r="A4" s="6" t="s">
        <v>37</v>
      </c>
      <c r="B4" s="6" t="s">
        <v>35</v>
      </c>
      <c r="C4" s="6" t="s">
        <v>34</v>
      </c>
      <c r="D4" s="6"/>
      <c r="E4" s="6" t="s">
        <v>18</v>
      </c>
    </row>
    <row r="5" spans="1:5" x14ac:dyDescent="0.25">
      <c r="A5" s="9"/>
      <c r="B5" s="9"/>
      <c r="C5" s="9" t="s">
        <v>108</v>
      </c>
      <c r="D5" s="9"/>
      <c r="E5" s="9"/>
    </row>
    <row r="6" spans="1:5" x14ac:dyDescent="0.25">
      <c r="A6" s="6"/>
      <c r="B6" s="6"/>
      <c r="C6" s="6"/>
      <c r="D6" s="6"/>
      <c r="E6" s="6"/>
    </row>
    <row r="7" spans="1:5" x14ac:dyDescent="0.25">
      <c r="A7" s="6" t="s">
        <v>107</v>
      </c>
      <c r="B7" s="6"/>
      <c r="C7" s="6"/>
      <c r="D7" s="6"/>
      <c r="E7" s="6"/>
    </row>
    <row r="8" spans="1:5" x14ac:dyDescent="0.25">
      <c r="A8" s="6"/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/>
      <c r="B10" s="6"/>
      <c r="C10" s="6"/>
      <c r="D10" s="6"/>
      <c r="E10" s="6"/>
    </row>
    <row r="11" spans="1:5" x14ac:dyDescent="0.25">
      <c r="A11" s="6" t="s">
        <v>106</v>
      </c>
      <c r="B11" s="6"/>
      <c r="C11" s="6"/>
      <c r="D11" s="6"/>
      <c r="E11" s="6"/>
    </row>
    <row r="12" spans="1:5" x14ac:dyDescent="0.25">
      <c r="A12" s="6"/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105</v>
      </c>
      <c r="B14" s="6"/>
      <c r="C14" s="6"/>
      <c r="D14" s="6"/>
      <c r="E14" s="6"/>
    </row>
    <row r="15" spans="1:5" x14ac:dyDescent="0.25">
      <c r="A15" s="6"/>
      <c r="B15" s="6"/>
      <c r="C15" s="6"/>
      <c r="D15" s="6"/>
      <c r="E15" s="6"/>
    </row>
    <row r="16" spans="1:5" x14ac:dyDescent="0.25">
      <c r="A16" s="6"/>
      <c r="B16" s="6"/>
      <c r="C16" s="6"/>
      <c r="D16" s="6"/>
      <c r="E16" s="6"/>
    </row>
    <row r="17" spans="1:5" x14ac:dyDescent="0.25">
      <c r="A17" s="6"/>
      <c r="B17" s="6"/>
      <c r="C17" s="6"/>
      <c r="D17" s="6"/>
      <c r="E17" s="6"/>
    </row>
    <row r="18" spans="1:5" x14ac:dyDescent="0.25">
      <c r="A18" s="6"/>
      <c r="B18" s="6"/>
      <c r="C18" s="6"/>
      <c r="D18" s="6"/>
      <c r="E18" s="6"/>
    </row>
    <row r="19" spans="1:5" x14ac:dyDescent="0.25">
      <c r="A19" s="6"/>
      <c r="B19" s="6"/>
      <c r="C19" s="6"/>
      <c r="D19" s="6"/>
      <c r="E19" s="6"/>
    </row>
    <row r="20" spans="1:5" x14ac:dyDescent="0.25">
      <c r="A20" s="6"/>
      <c r="B20" s="6"/>
      <c r="C20" s="6"/>
      <c r="D20" s="6"/>
      <c r="E20" s="6"/>
    </row>
  </sheetData>
  <mergeCells count="2">
    <mergeCell ref="A2:C2"/>
    <mergeCell ref="D2:E2"/>
  </mergeCells>
  <pageMargins left="0.7" right="0.7" top="0.75" bottom="0.75" header="0.3" footer="0.3"/>
  <pageSetup scale="81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Marlene Braganca</cp:lastModifiedBy>
  <cp:lastPrinted>2025-07-18T18:25:49Z</cp:lastPrinted>
  <dcterms:created xsi:type="dcterms:W3CDTF">2025-07-18T18:19:36Z</dcterms:created>
  <dcterms:modified xsi:type="dcterms:W3CDTF">2025-07-18T18:44:07Z</dcterms:modified>
</cp:coreProperties>
</file>