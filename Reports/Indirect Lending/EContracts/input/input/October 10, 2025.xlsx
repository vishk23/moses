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35985197-B2B4-4433-A19F-2AED828FD9C2}" xr6:coauthVersionLast="47" xr6:coauthVersionMax="47" xr10:uidLastSave="{00000000-0000-0000-0000-000000000000}"/>
  <bookViews>
    <workbookView xWindow="23880" yWindow="-165" windowWidth="24240" windowHeight="131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F14" i="1"/>
  <c r="F11" i="1"/>
  <c r="F6" i="1"/>
  <c r="H27" i="1"/>
  <c r="E27" i="1"/>
  <c r="D27" i="1"/>
  <c r="C27" i="1"/>
</calcChain>
</file>

<file path=xl/sharedStrings.xml><?xml version="1.0" encoding="utf-8"?>
<sst xmlns="http://schemas.openxmlformats.org/spreadsheetml/2006/main" count="191" uniqueCount="103">
  <si>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</si>
  <si>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</si>
  <si>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</si>
  <si>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</si>
  <si>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</si>
  <si>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</si>
  <si>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</si>
  <si>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</si>
  <si>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</si>
  <si>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</si>
  <si>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</si>
  <si>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</si>
  <si>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Neli Oliveira</t>
  </si>
  <si>
    <t>AutoMax Preowned(Framingham)</t>
  </si>
  <si>
    <t>Battles Nissan, LLC</t>
  </si>
  <si>
    <t>Flood Mazda</t>
  </si>
  <si>
    <t>Rachel Gorham</t>
  </si>
  <si>
    <t>Milford Nissan Corp</t>
  </si>
  <si>
    <t>Morris Motor Sales Inc d/b/a</t>
  </si>
  <si>
    <t>Patriot Auto Group Inc d/b/a</t>
  </si>
  <si>
    <t>Paul Masse Buick GMC South, Inc</t>
  </si>
  <si>
    <t>Salvadore Chrysler</t>
  </si>
  <si>
    <t>T F Murphy Enterprises Inc</t>
  </si>
  <si>
    <t>Column1</t>
  </si>
  <si>
    <t>Column2</t>
  </si>
  <si>
    <t># 14</t>
  </si>
  <si>
    <t>GREENHALGH</t>
  </si>
  <si>
    <t>JMARTINO2525@GMAIL.COM</t>
  </si>
  <si>
    <t>MARTINO, JOHN</t>
  </si>
  <si>
    <t>E Contract</t>
  </si>
  <si>
    <t>Route One</t>
  </si>
  <si>
    <t>151234441E</t>
  </si>
  <si>
    <t>SOKOLOFF</t>
  </si>
  <si>
    <t>AUDREYKESSLER320@GMAIL.COM</t>
  </si>
  <si>
    <t>KESSLER, AUDREY</t>
  </si>
  <si>
    <t>Paper</t>
  </si>
  <si>
    <t>DealerTrack</t>
  </si>
  <si>
    <t>151234417</t>
  </si>
  <si>
    <t>Fowle</t>
  </si>
  <si>
    <t>Jusseaume</t>
  </si>
  <si>
    <t>LAMBERT, CAMERON</t>
  </si>
  <si>
    <t>LAMBERT, PETER</t>
  </si>
  <si>
    <t>BERNARD</t>
  </si>
  <si>
    <t>NELSON@NELSONSMITH.ME</t>
  </si>
  <si>
    <t>SMITH, NELSON</t>
  </si>
  <si>
    <t>151234334E</t>
  </si>
  <si>
    <t>SILVIA</t>
  </si>
  <si>
    <t>silviashaun@gmail.com</t>
  </si>
  <si>
    <t>SILVIA, SHAUN</t>
  </si>
  <si>
    <t>151234300E</t>
  </si>
  <si>
    <t>WHITTEMORE</t>
  </si>
  <si>
    <t>DURGIN, ELIZABETH</t>
  </si>
  <si>
    <t>151234235E</t>
  </si>
  <si>
    <t>FITZPATRICK</t>
  </si>
  <si>
    <t>PHILBROOK, HARRISON</t>
  </si>
  <si>
    <t>151234201E</t>
  </si>
  <si>
    <t>LEDO</t>
  </si>
  <si>
    <t>FLOR, PATRICIA</t>
  </si>
  <si>
    <t>151234178E</t>
  </si>
  <si>
    <t>SHUTE</t>
  </si>
  <si>
    <t>Val2362@yahoo.com</t>
  </si>
  <si>
    <t>CLOUGH-PITTS, VALERIE</t>
  </si>
  <si>
    <t>151234160E</t>
  </si>
  <si>
    <t>Milliken</t>
  </si>
  <si>
    <t>Armstrong</t>
  </si>
  <si>
    <t>betty.ventura00@gmail.com</t>
  </si>
  <si>
    <t>rod.ventura7@gmail.com</t>
  </si>
  <si>
    <t>VENTURA, BETTYJO</t>
  </si>
  <si>
    <t>VENTURA, RODNEY</t>
  </si>
  <si>
    <t>151234136E</t>
  </si>
  <si>
    <t>Cormier</t>
  </si>
  <si>
    <t>KEITHOPOZDA@ICLOUD.COM</t>
  </si>
  <si>
    <t>OPOZDA, EDMUND</t>
  </si>
  <si>
    <t>151234128E</t>
  </si>
  <si>
    <t>MACHADO</t>
  </si>
  <si>
    <t>COURTNEEHERREN@GMAIL.COM</t>
  </si>
  <si>
    <t>HERREN, CORTNEE</t>
  </si>
  <si>
    <t>151234087E</t>
  </si>
  <si>
    <t>LAPRIESE</t>
  </si>
  <si>
    <t>RYAN4425@GMAIL.COM</t>
  </si>
  <si>
    <t>HOESTEREY, RYAN</t>
  </si>
  <si>
    <t>151234079E</t>
  </si>
  <si>
    <t>JUDGE</t>
  </si>
  <si>
    <t>JIMMYCASH220@GMAIL.COM</t>
  </si>
  <si>
    <t>COULTER, JAMES</t>
  </si>
  <si>
    <t>151234053E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</si>
  <si>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</si>
  <si>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</si>
  <si>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</si>
  <si>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</si>
  <si>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</si>
  <si>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</si>
  <si>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</si>
  <si>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</si>
  <si>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</si>
  <si>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</si>
  <si>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</si>
  <si>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</t>
  </si>
  <si>
    <t>Received By_____________________________________________________________________________</t>
  </si>
  <si>
    <t>Delivered By_____________________________________________________________________________</t>
  </si>
  <si>
    <t># 2</t>
  </si>
  <si>
    <t>151234350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</si>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</sst>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5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2" fillId="0" borderId="0" xfId="1" applyFill="1" applyAlignment="1">
      <alignment horizontal="left"/>
    </xf>
    <xf numFmtId="0" fontId="1" fillId="0" borderId="0" xfId="1" applyFont="1" applyFill="1"/>
    <xf numFmtId="7" fontId="1" fillId="0" borderId="0" xfId="1" applyNumberFormat="1" applyFont="1" applyFill="1"/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</cellXfs>
  <cellStyles count="3">
    <cellStyle name="Normal" xfId="0" builtinId="0"/>
    <cellStyle name="Normal 2" xfId="1" xr:uid="{4768924E-7D90-4A6D-8686-398C44553B12}"/>
    <cellStyle name="Normal 3" xfId="2" xr:uid="{FEB195B6-963E-4FE4-A62C-184733C5F0E2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7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C84295B-DEB5-45B3-B4E7-0CAE2AB268CB}" name="Column1" dataDxfId="24"/>
    <tableColumn id="8" xr3:uid="{F145239A-22B6-4F10-BD40-D63601C55805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F91196-7854-4B68-9935-2EFE1E4A7E69}" name="Table_13" displayName="Table_13" ref="A3:L18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576D70-BC6F-4362-A8AA-C39F8C0823EC}" name="Table_14" displayName="Table_14" ref="A3:E6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workbookViewId="0">
      <pane ySplit="3" topLeftCell="A4" activePane="bottomLeft" state="frozen"/>
      <selection pane="bottomLeft" activeCell="E26" sqref="E26"/>
    </sheetView>
  </sheetViews>
  <sheetFormatPr defaultRowHeight="15" x14ac:dyDescent="0.25"/>
  <cols>
    <col min="1" max="1" width="31.85546875" bestFit="1" customWidth="1"/>
    <col min="2" max="2" width="17.7109375" bestFit="1" customWidth="1"/>
    <col min="3" max="3" width="11.140625" bestFit="1" customWidth="1"/>
    <col min="4" max="4" width="17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45940</v>
      </c>
      <c r="E1" t="s">
        <v>2</v>
      </c>
      <c r="H1" s="4">
        <v>45940.999988425923</v>
      </c>
    </row>
    <row r="2" spans="1:8" x14ac:dyDescent="0.25">
      <c r="A2" s="16" t="s">
        <v>0</v>
      </c>
      <c r="B2" s="17"/>
      <c r="C2" s="17"/>
      <c r="D2" s="18" t="s">
        <v>1</v>
      </c>
      <c r="E2" s="17"/>
      <c r="F2" s="17"/>
      <c r="G2" s="17"/>
      <c r="H2" s="17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23</v>
      </c>
      <c r="G3" t="s">
        <v>24</v>
      </c>
      <c r="H3" t="s">
        <v>9</v>
      </c>
    </row>
    <row r="4" spans="1:8" x14ac:dyDescent="0.25">
      <c r="A4" t="s">
        <v>10</v>
      </c>
      <c r="B4" t="s">
        <v>11</v>
      </c>
      <c r="C4" s="2">
        <v>1150</v>
      </c>
      <c r="D4" s="2">
        <v>0</v>
      </c>
      <c r="E4" s="2">
        <v>49810.5</v>
      </c>
      <c r="F4" s="2"/>
      <c r="G4" s="2"/>
      <c r="H4" s="2">
        <v>49885.5</v>
      </c>
    </row>
    <row r="5" spans="1:8" x14ac:dyDescent="0.25">
      <c r="A5" t="s">
        <v>10</v>
      </c>
      <c r="B5" t="s">
        <v>11</v>
      </c>
      <c r="C5" s="2">
        <v>500</v>
      </c>
      <c r="D5" s="2">
        <v>0</v>
      </c>
      <c r="E5" s="2">
        <v>19686.439999999999</v>
      </c>
      <c r="F5" s="2"/>
      <c r="G5" s="2"/>
      <c r="H5" s="2">
        <v>19761.439999999999</v>
      </c>
    </row>
    <row r="6" spans="1:8" x14ac:dyDescent="0.25">
      <c r="A6" t="s">
        <v>10</v>
      </c>
      <c r="B6" t="s">
        <v>12</v>
      </c>
      <c r="C6" s="2">
        <v>500</v>
      </c>
      <c r="D6" s="2">
        <v>0</v>
      </c>
      <c r="E6" s="2">
        <v>15571.43</v>
      </c>
      <c r="F6" s="2">
        <f>SUM(E4:E6)</f>
        <v>85068.37</v>
      </c>
      <c r="G6" s="2"/>
      <c r="H6" s="2">
        <v>15646.43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12</v>
      </c>
      <c r="C8" s="2">
        <v>850</v>
      </c>
      <c r="D8" s="2">
        <v>0</v>
      </c>
      <c r="E8" s="2">
        <v>33133.69</v>
      </c>
      <c r="F8" s="2"/>
      <c r="G8" s="2"/>
      <c r="H8" s="2">
        <v>33208.69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12</v>
      </c>
      <c r="C10" s="2">
        <v>750</v>
      </c>
      <c r="D10" s="2">
        <v>0</v>
      </c>
      <c r="E10" s="2">
        <v>24961.43</v>
      </c>
      <c r="F10" s="2"/>
      <c r="G10" s="2"/>
      <c r="H10" s="2">
        <v>25036.43</v>
      </c>
    </row>
    <row r="11" spans="1:8" x14ac:dyDescent="0.25">
      <c r="A11" t="s">
        <v>14</v>
      </c>
      <c r="B11" t="s">
        <v>12</v>
      </c>
      <c r="C11" s="2">
        <v>500</v>
      </c>
      <c r="D11" s="2">
        <v>0</v>
      </c>
      <c r="E11" s="2">
        <v>17525.63</v>
      </c>
      <c r="F11" s="2">
        <f>SUM(E10:E11)</f>
        <v>42487.06</v>
      </c>
      <c r="G11" s="2"/>
      <c r="H11" s="2">
        <v>17600.63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15</v>
      </c>
      <c r="B13" t="s">
        <v>16</v>
      </c>
      <c r="C13" s="2">
        <v>850</v>
      </c>
      <c r="D13" s="2">
        <v>0</v>
      </c>
      <c r="E13" s="2">
        <v>31276.25</v>
      </c>
      <c r="F13" s="2"/>
      <c r="G13" s="2"/>
      <c r="H13" s="2">
        <v>31351.25</v>
      </c>
    </row>
    <row r="14" spans="1:8" x14ac:dyDescent="0.25">
      <c r="A14" t="s">
        <v>15</v>
      </c>
      <c r="B14" t="s">
        <v>12</v>
      </c>
      <c r="C14" s="2">
        <v>750</v>
      </c>
      <c r="D14" s="2">
        <v>0</v>
      </c>
      <c r="E14" s="2">
        <v>25875.33</v>
      </c>
      <c r="F14" s="2">
        <f>SUM(E13:E14)</f>
        <v>57151.58</v>
      </c>
      <c r="G14" s="2"/>
      <c r="H14" s="2">
        <v>25950.33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11</v>
      </c>
      <c r="C16" s="2">
        <v>850</v>
      </c>
      <c r="D16" s="2">
        <v>0</v>
      </c>
      <c r="E16" s="2">
        <v>30504.63</v>
      </c>
      <c r="F16" s="2"/>
      <c r="G16" s="2"/>
      <c r="H16" s="2">
        <v>30579.63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16</v>
      </c>
      <c r="C18" s="2">
        <v>1050</v>
      </c>
      <c r="D18" s="2">
        <v>0</v>
      </c>
      <c r="E18" s="2">
        <v>43331.69</v>
      </c>
      <c r="F18" s="2"/>
      <c r="G18" s="2"/>
      <c r="H18" s="2">
        <v>43406.69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16</v>
      </c>
      <c r="C20" s="2">
        <v>950</v>
      </c>
      <c r="D20" s="2">
        <v>0</v>
      </c>
      <c r="E20" s="2">
        <v>39069.39</v>
      </c>
      <c r="F20" s="2"/>
      <c r="G20" s="2"/>
      <c r="H20" s="2">
        <v>39144.39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16</v>
      </c>
      <c r="C22" s="2">
        <v>850</v>
      </c>
      <c r="D22" s="2">
        <v>0</v>
      </c>
      <c r="E22" s="2">
        <v>33442.69</v>
      </c>
      <c r="F22" s="2"/>
      <c r="G22" s="2"/>
      <c r="H22" s="2">
        <v>33517.69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11</v>
      </c>
      <c r="C24" s="2">
        <v>1050</v>
      </c>
      <c r="D24" s="2">
        <v>0</v>
      </c>
      <c r="E24" s="2">
        <v>43759.63</v>
      </c>
      <c r="F24" s="2"/>
      <c r="G24" s="2"/>
      <c r="H24" s="2">
        <v>43834.63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22</v>
      </c>
      <c r="B26" t="s">
        <v>16</v>
      </c>
      <c r="C26" s="2">
        <v>950</v>
      </c>
      <c r="D26" s="2">
        <v>0</v>
      </c>
      <c r="E26" s="2">
        <v>39035.629999999997</v>
      </c>
      <c r="F26" s="2"/>
      <c r="G26" s="2"/>
      <c r="H26" s="2">
        <v>39110.629999999997</v>
      </c>
    </row>
    <row r="27" spans="1:8" x14ac:dyDescent="0.25">
      <c r="A27" s="1"/>
      <c r="B27" s="1"/>
      <c r="C27" s="3">
        <f>SUM(C4:C26)</f>
        <v>11550</v>
      </c>
      <c r="D27" s="3">
        <f>SUM(D4:D26)</f>
        <v>0</v>
      </c>
      <c r="E27" s="3">
        <f>SUM(E4:E26)</f>
        <v>446984.36000000004</v>
      </c>
      <c r="F27" s="3"/>
      <c r="G27" s="3"/>
      <c r="H27" s="3">
        <f>SUM(H4:H26)</f>
        <v>448034.36000000004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3FD3-76B6-469E-ACA8-08723F40B46C}">
  <sheetPr>
    <pageSetUpPr fitToPage="1"/>
  </sheetPr>
  <dimension ref="A1:N24"/>
  <sheetViews>
    <sheetView tabSelected="1" workbookViewId="0">
      <pane ySplit="3" topLeftCell="A8" activePane="bottomLeft" state="frozen"/>
      <selection pane="bottomLeft" activeCell="A4" sqref="A4:A17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3.42578125" style="5" bestFit="1" customWidth="1"/>
    <col min="5" max="5" width="20.28515625" style="5" bestFit="1" customWidth="1"/>
    <col min="6" max="6" width="31.85546875" style="5" bestFit="1" customWidth="1"/>
    <col min="7" max="7" width="17.7109375" style="5" bestFit="1" customWidth="1"/>
    <col min="8" max="8" width="17.140625" style="5" bestFit="1" customWidth="1"/>
    <col min="9" max="9" width="32.7109375" style="5" bestFit="1" customWidth="1"/>
    <col min="10" max="10" width="27.28515625" style="5" bestFit="1" customWidth="1"/>
    <col min="11" max="11" width="17.140625" style="5" bestFit="1" customWidth="1"/>
    <col min="12" max="12" width="12.85546875" style="5" bestFit="1" customWidth="1"/>
    <col min="13" max="16384" width="9.140625" style="5"/>
  </cols>
  <sheetData>
    <row r="1" spans="1:14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45940</v>
      </c>
      <c r="L1" s="6" t="s">
        <v>2</v>
      </c>
      <c r="M1" s="6"/>
      <c r="N1" s="6"/>
    </row>
    <row r="2" spans="1:14" ht="35.1" customHeight="1" x14ac:dyDescent="0.25">
      <c r="A2" s="19" t="s">
        <v>0</v>
      </c>
      <c r="B2" s="20"/>
      <c r="C2" s="20"/>
      <c r="D2" s="20"/>
      <c r="E2" s="20"/>
      <c r="F2" s="20"/>
      <c r="G2" s="21" t="s">
        <v>96</v>
      </c>
      <c r="H2" s="20"/>
      <c r="I2" s="20"/>
      <c r="J2" s="20"/>
      <c r="K2" s="20"/>
      <c r="L2" s="20"/>
      <c r="M2" s="6"/>
      <c r="N2" s="6"/>
    </row>
    <row r="3" spans="1:14" ht="35.1" customHeight="1" x14ac:dyDescent="0.25">
      <c r="A3" s="6" t="s">
        <v>95</v>
      </c>
      <c r="B3" s="6" t="s">
        <v>94</v>
      </c>
      <c r="C3" s="6" t="s">
        <v>93</v>
      </c>
      <c r="D3" s="6" t="s">
        <v>92</v>
      </c>
      <c r="E3" s="6" t="s">
        <v>91</v>
      </c>
      <c r="F3" s="6" t="s">
        <v>4</v>
      </c>
      <c r="G3" s="6" t="s">
        <v>5</v>
      </c>
      <c r="H3" s="6" t="s">
        <v>90</v>
      </c>
      <c r="I3" s="6" t="s">
        <v>89</v>
      </c>
      <c r="J3" s="6" t="s">
        <v>88</v>
      </c>
      <c r="K3" s="6" t="s">
        <v>87</v>
      </c>
      <c r="L3" s="6" t="s">
        <v>86</v>
      </c>
      <c r="M3" s="6"/>
      <c r="N3" s="6"/>
    </row>
    <row r="4" spans="1:14" ht="35.1" customHeight="1" x14ac:dyDescent="0.25">
      <c r="A4" s="6" t="s">
        <v>85</v>
      </c>
      <c r="B4" s="6" t="s">
        <v>36</v>
      </c>
      <c r="C4" s="6" t="s">
        <v>29</v>
      </c>
      <c r="D4" s="6" t="s">
        <v>84</v>
      </c>
      <c r="E4" s="6"/>
      <c r="F4" s="6" t="s">
        <v>14</v>
      </c>
      <c r="G4" s="6" t="s">
        <v>12</v>
      </c>
      <c r="H4" s="8">
        <v>17600.63</v>
      </c>
      <c r="I4" s="6" t="s">
        <v>83</v>
      </c>
      <c r="J4" s="6"/>
      <c r="K4" s="6" t="s">
        <v>82</v>
      </c>
      <c r="L4" s="6"/>
      <c r="M4" s="6"/>
      <c r="N4" s="6"/>
    </row>
    <row r="5" spans="1:14" ht="35.1" customHeight="1" x14ac:dyDescent="0.25">
      <c r="A5" s="6" t="s">
        <v>81</v>
      </c>
      <c r="B5" s="6" t="s">
        <v>30</v>
      </c>
      <c r="C5" s="6" t="s">
        <v>29</v>
      </c>
      <c r="D5" s="6" t="s">
        <v>80</v>
      </c>
      <c r="E5" s="6"/>
      <c r="F5" s="6" t="s">
        <v>10</v>
      </c>
      <c r="G5" s="6" t="s">
        <v>11</v>
      </c>
      <c r="H5" s="8">
        <v>19761.439999999999</v>
      </c>
      <c r="I5" s="6" t="s">
        <v>79</v>
      </c>
      <c r="J5" s="6"/>
      <c r="K5" s="6" t="s">
        <v>78</v>
      </c>
      <c r="L5" s="6"/>
      <c r="M5" s="6"/>
      <c r="N5" s="6"/>
    </row>
    <row r="6" spans="1:14" ht="35.1" customHeight="1" x14ac:dyDescent="0.25">
      <c r="A6" s="6" t="s">
        <v>77</v>
      </c>
      <c r="B6" s="6" t="s">
        <v>36</v>
      </c>
      <c r="C6" s="6" t="s">
        <v>29</v>
      </c>
      <c r="D6" s="6" t="s">
        <v>76</v>
      </c>
      <c r="E6" s="6"/>
      <c r="F6" s="6" t="s">
        <v>14</v>
      </c>
      <c r="G6" s="6" t="s">
        <v>12</v>
      </c>
      <c r="H6" s="8">
        <v>25036.43</v>
      </c>
      <c r="I6" s="6" t="s">
        <v>75</v>
      </c>
      <c r="J6" s="6"/>
      <c r="K6" s="6" t="s">
        <v>74</v>
      </c>
      <c r="L6" s="6"/>
      <c r="M6" s="6"/>
      <c r="N6" s="6"/>
    </row>
    <row r="7" spans="1:14" ht="35.1" customHeight="1" x14ac:dyDescent="0.25">
      <c r="A7" s="6" t="s">
        <v>73</v>
      </c>
      <c r="B7" s="6" t="s">
        <v>30</v>
      </c>
      <c r="C7" s="6" t="s">
        <v>29</v>
      </c>
      <c r="D7" s="6" t="s">
        <v>72</v>
      </c>
      <c r="E7" s="6"/>
      <c r="F7" s="6" t="s">
        <v>10</v>
      </c>
      <c r="G7" s="6" t="s">
        <v>11</v>
      </c>
      <c r="H7" s="8">
        <v>49885.5</v>
      </c>
      <c r="I7" s="6" t="s">
        <v>71</v>
      </c>
      <c r="J7" s="6"/>
      <c r="K7" s="6" t="s">
        <v>70</v>
      </c>
      <c r="L7" s="6"/>
      <c r="M7" s="6"/>
      <c r="N7" s="6"/>
    </row>
    <row r="8" spans="1:14" ht="35.1" customHeight="1" x14ac:dyDescent="0.25">
      <c r="A8" s="6" t="s">
        <v>69</v>
      </c>
      <c r="B8" s="6" t="s">
        <v>30</v>
      </c>
      <c r="C8" s="6" t="s">
        <v>29</v>
      </c>
      <c r="D8" s="6" t="s">
        <v>68</v>
      </c>
      <c r="E8" s="6" t="s">
        <v>67</v>
      </c>
      <c r="F8" s="6" t="s">
        <v>21</v>
      </c>
      <c r="G8" s="6" t="s">
        <v>11</v>
      </c>
      <c r="H8" s="8">
        <v>43834.63</v>
      </c>
      <c r="I8" s="6" t="s">
        <v>66</v>
      </c>
      <c r="J8" s="6" t="s">
        <v>65</v>
      </c>
      <c r="K8" s="6" t="s">
        <v>64</v>
      </c>
      <c r="L8" s="6" t="s">
        <v>63</v>
      </c>
      <c r="M8" s="6"/>
      <c r="N8" s="6"/>
    </row>
    <row r="9" spans="1:14" ht="35.1" customHeight="1" x14ac:dyDescent="0.25">
      <c r="A9" s="6" t="s">
        <v>62</v>
      </c>
      <c r="B9" s="6" t="s">
        <v>30</v>
      </c>
      <c r="C9" s="6" t="s">
        <v>29</v>
      </c>
      <c r="D9" s="6" t="s">
        <v>61</v>
      </c>
      <c r="E9" s="6"/>
      <c r="F9" s="6" t="s">
        <v>19</v>
      </c>
      <c r="G9" s="6" t="s">
        <v>16</v>
      </c>
      <c r="H9" s="8">
        <v>39144.39</v>
      </c>
      <c r="I9" s="6" t="s">
        <v>60</v>
      </c>
      <c r="J9" s="6"/>
      <c r="K9" s="6" t="s">
        <v>59</v>
      </c>
      <c r="L9" s="6"/>
      <c r="M9" s="6"/>
      <c r="N9" s="6"/>
    </row>
    <row r="10" spans="1:14" ht="35.1" customHeight="1" x14ac:dyDescent="0.25">
      <c r="A10" s="6" t="s">
        <v>58</v>
      </c>
      <c r="B10" s="6" t="s">
        <v>30</v>
      </c>
      <c r="C10" s="6" t="s">
        <v>29</v>
      </c>
      <c r="D10" s="6" t="s">
        <v>57</v>
      </c>
      <c r="E10" s="6"/>
      <c r="F10" s="6" t="s">
        <v>20</v>
      </c>
      <c r="G10" s="6" t="s">
        <v>16</v>
      </c>
      <c r="H10" s="8">
        <v>33517.69</v>
      </c>
      <c r="I10" s="6"/>
      <c r="J10" s="6"/>
      <c r="K10" s="6" t="s">
        <v>56</v>
      </c>
      <c r="L10" s="6"/>
      <c r="M10" s="6"/>
      <c r="N10" s="6"/>
    </row>
    <row r="11" spans="1:14" ht="35.1" customHeight="1" x14ac:dyDescent="0.25">
      <c r="A11" s="6" t="s">
        <v>55</v>
      </c>
      <c r="B11" s="6" t="s">
        <v>30</v>
      </c>
      <c r="C11" s="6" t="s">
        <v>29</v>
      </c>
      <c r="D11" s="6" t="s">
        <v>54</v>
      </c>
      <c r="E11" s="6"/>
      <c r="F11" s="6" t="s">
        <v>10</v>
      </c>
      <c r="G11" s="6" t="s">
        <v>12</v>
      </c>
      <c r="H11" s="8">
        <v>15646.43</v>
      </c>
      <c r="I11" s="6"/>
      <c r="J11" s="6"/>
      <c r="K11" s="6" t="s">
        <v>53</v>
      </c>
      <c r="L11" s="6"/>
      <c r="M11" s="6"/>
      <c r="N11" s="6"/>
    </row>
    <row r="12" spans="1:14" ht="35.1" customHeight="1" x14ac:dyDescent="0.25">
      <c r="A12" s="6" t="s">
        <v>52</v>
      </c>
      <c r="B12" s="6" t="s">
        <v>30</v>
      </c>
      <c r="C12" s="6" t="s">
        <v>29</v>
      </c>
      <c r="D12" s="6" t="s">
        <v>51</v>
      </c>
      <c r="E12" s="6"/>
      <c r="F12" s="6" t="s">
        <v>15</v>
      </c>
      <c r="G12" s="6" t="s">
        <v>12</v>
      </c>
      <c r="H12" s="8">
        <v>25950.33</v>
      </c>
      <c r="I12" s="6"/>
      <c r="J12" s="6"/>
      <c r="K12" s="6" t="s">
        <v>50</v>
      </c>
      <c r="L12" s="6"/>
      <c r="M12" s="6"/>
      <c r="N12" s="6"/>
    </row>
    <row r="13" spans="1:14" ht="35.1" customHeight="1" x14ac:dyDescent="0.25">
      <c r="A13" s="6" t="s">
        <v>49</v>
      </c>
      <c r="B13" s="6" t="s">
        <v>36</v>
      </c>
      <c r="C13" s="6" t="s">
        <v>29</v>
      </c>
      <c r="D13" s="6" t="s">
        <v>48</v>
      </c>
      <c r="E13" s="6"/>
      <c r="F13" s="6" t="s">
        <v>13</v>
      </c>
      <c r="G13" s="6" t="s">
        <v>12</v>
      </c>
      <c r="H13" s="8">
        <v>33208.69</v>
      </c>
      <c r="I13" s="6" t="s">
        <v>47</v>
      </c>
      <c r="J13" s="6"/>
      <c r="K13" s="6" t="s">
        <v>46</v>
      </c>
      <c r="L13" s="6"/>
      <c r="M13" s="6"/>
      <c r="N13" s="6"/>
    </row>
    <row r="14" spans="1:14" ht="35.1" customHeight="1" x14ac:dyDescent="0.25">
      <c r="A14" s="6" t="s">
        <v>45</v>
      </c>
      <c r="B14" s="6" t="s">
        <v>30</v>
      </c>
      <c r="C14" s="6" t="s">
        <v>29</v>
      </c>
      <c r="D14" s="6" t="s">
        <v>44</v>
      </c>
      <c r="E14" s="6"/>
      <c r="F14" s="6" t="s">
        <v>22</v>
      </c>
      <c r="G14" s="6" t="s">
        <v>16</v>
      </c>
      <c r="H14" s="8">
        <v>39110.629999999997</v>
      </c>
      <c r="I14" s="6" t="s">
        <v>43</v>
      </c>
      <c r="J14" s="6"/>
      <c r="K14" s="6" t="s">
        <v>42</v>
      </c>
      <c r="L14" s="6"/>
      <c r="M14" s="6"/>
      <c r="N14" s="6"/>
    </row>
    <row r="15" spans="1:14" ht="35.1" customHeight="1" x14ac:dyDescent="0.25">
      <c r="A15" s="9">
        <v>151234350</v>
      </c>
      <c r="B15" s="6" t="s">
        <v>36</v>
      </c>
      <c r="C15" s="6" t="s">
        <v>35</v>
      </c>
      <c r="D15" s="6" t="s">
        <v>41</v>
      </c>
      <c r="E15" s="6" t="s">
        <v>40</v>
      </c>
      <c r="F15" s="6" t="s">
        <v>17</v>
      </c>
      <c r="G15" s="6" t="s">
        <v>11</v>
      </c>
      <c r="H15" s="8">
        <v>30579.63</v>
      </c>
      <c r="I15" s="6"/>
      <c r="J15" s="6"/>
      <c r="K15" s="6" t="s">
        <v>39</v>
      </c>
      <c r="L15" s="6" t="s">
        <v>38</v>
      </c>
      <c r="M15" s="6"/>
      <c r="N15" s="6"/>
    </row>
    <row r="16" spans="1:14" ht="35.1" customHeight="1" x14ac:dyDescent="0.25">
      <c r="A16" s="6" t="s">
        <v>37</v>
      </c>
      <c r="B16" s="6" t="s">
        <v>36</v>
      </c>
      <c r="C16" s="6" t="s">
        <v>35</v>
      </c>
      <c r="D16" s="6" t="s">
        <v>34</v>
      </c>
      <c r="E16" s="6"/>
      <c r="F16" s="6" t="s">
        <v>18</v>
      </c>
      <c r="G16" s="6" t="s">
        <v>16</v>
      </c>
      <c r="H16" s="8">
        <v>43406.69</v>
      </c>
      <c r="I16" s="6" t="s">
        <v>33</v>
      </c>
      <c r="J16" s="6"/>
      <c r="K16" s="6" t="s">
        <v>32</v>
      </c>
      <c r="L16" s="6"/>
      <c r="M16" s="6"/>
      <c r="N16" s="6"/>
    </row>
    <row r="17" spans="1:14" ht="35.1" customHeight="1" x14ac:dyDescent="0.25">
      <c r="A17" s="6" t="s">
        <v>31</v>
      </c>
      <c r="B17" s="6" t="s">
        <v>30</v>
      </c>
      <c r="C17" s="6" t="s">
        <v>29</v>
      </c>
      <c r="D17" s="6" t="s">
        <v>28</v>
      </c>
      <c r="E17" s="6"/>
      <c r="F17" s="6" t="s">
        <v>15</v>
      </c>
      <c r="G17" s="6" t="s">
        <v>16</v>
      </c>
      <c r="H17" s="8">
        <v>31351.25</v>
      </c>
      <c r="I17" s="6" t="s">
        <v>27</v>
      </c>
      <c r="J17" s="6"/>
      <c r="K17" s="6" t="s">
        <v>26</v>
      </c>
      <c r="L17" s="6"/>
      <c r="M17" s="6"/>
      <c r="N17" s="6"/>
    </row>
    <row r="18" spans="1:14" ht="35.1" customHeight="1" x14ac:dyDescent="0.25">
      <c r="A18" s="10"/>
      <c r="B18" s="10"/>
      <c r="C18" s="10"/>
      <c r="D18" s="10" t="s">
        <v>25</v>
      </c>
      <c r="E18" s="10"/>
      <c r="F18" s="10"/>
      <c r="G18" s="10"/>
      <c r="H18" s="11">
        <f>SUM(H4:H17)</f>
        <v>448034.36000000004</v>
      </c>
      <c r="I18" s="10"/>
      <c r="J18" s="10"/>
      <c r="K18" s="10"/>
      <c r="L18" s="10"/>
      <c r="M18" s="6"/>
      <c r="N18" s="6"/>
    </row>
    <row r="19" spans="1:14" ht="35.1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35.1" customHeight="1" x14ac:dyDescent="0.25"/>
    <row r="21" spans="1:14" ht="35.1" customHeight="1" x14ac:dyDescent="0.25"/>
    <row r="22" spans="1:14" ht="35.1" customHeight="1" x14ac:dyDescent="0.25"/>
    <row r="23" spans="1:14" ht="35.1" customHeight="1" x14ac:dyDescent="0.25"/>
    <row r="24" spans="1:14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B6CD-5F7D-4D4E-AF27-CA279E1A5354}">
  <sheetPr>
    <pageSetUpPr fitToPage="1"/>
  </sheetPr>
  <dimension ref="A1:E29"/>
  <sheetViews>
    <sheetView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6.42578125" style="12" bestFit="1" customWidth="1"/>
    <col min="2" max="2" width="14" style="12" bestFit="1" customWidth="1"/>
    <col min="3" max="3" width="23.42578125" style="12" bestFit="1" customWidth="1"/>
    <col min="4" max="4" width="20.28515625" style="12" bestFit="1" customWidth="1"/>
    <col min="5" max="5" width="31.85546875" style="12" bestFit="1" customWidth="1"/>
    <col min="6" max="16384" width="9.140625" style="12"/>
  </cols>
  <sheetData>
    <row r="1" spans="1:5" x14ac:dyDescent="0.25">
      <c r="A1" s="13"/>
      <c r="B1" s="13"/>
      <c r="C1" s="13" t="s">
        <v>3</v>
      </c>
      <c r="D1" s="14">
        <v>45940</v>
      </c>
      <c r="E1" s="13" t="s">
        <v>2</v>
      </c>
    </row>
    <row r="2" spans="1:5" x14ac:dyDescent="0.25">
      <c r="A2" s="22" t="s">
        <v>0</v>
      </c>
      <c r="B2" s="23"/>
      <c r="C2" s="23"/>
      <c r="D2" s="24" t="s">
        <v>102</v>
      </c>
      <c r="E2" s="23"/>
    </row>
    <row r="3" spans="1:5" x14ac:dyDescent="0.25">
      <c r="A3" s="13" t="s">
        <v>95</v>
      </c>
      <c r="B3" s="13" t="s">
        <v>93</v>
      </c>
      <c r="C3" s="13" t="s">
        <v>92</v>
      </c>
      <c r="D3" s="13" t="s">
        <v>91</v>
      </c>
      <c r="E3" s="13" t="s">
        <v>4</v>
      </c>
    </row>
    <row r="4" spans="1:5" x14ac:dyDescent="0.25">
      <c r="A4" s="13" t="s">
        <v>101</v>
      </c>
      <c r="B4" s="13" t="s">
        <v>35</v>
      </c>
      <c r="C4" s="13" t="s">
        <v>41</v>
      </c>
      <c r="D4" s="13" t="s">
        <v>40</v>
      </c>
      <c r="E4" s="13" t="s">
        <v>17</v>
      </c>
    </row>
    <row r="5" spans="1:5" x14ac:dyDescent="0.25">
      <c r="A5" s="13" t="s">
        <v>37</v>
      </c>
      <c r="B5" s="13" t="s">
        <v>35</v>
      </c>
      <c r="C5" s="13" t="s">
        <v>34</v>
      </c>
      <c r="D5" s="13"/>
      <c r="E5" s="13" t="s">
        <v>18</v>
      </c>
    </row>
    <row r="6" spans="1:5" x14ac:dyDescent="0.25">
      <c r="A6" s="15"/>
      <c r="B6" s="15"/>
      <c r="C6" s="15" t="s">
        <v>100</v>
      </c>
      <c r="D6" s="15"/>
      <c r="E6" s="15"/>
    </row>
    <row r="7" spans="1:5" x14ac:dyDescent="0.25">
      <c r="A7" s="13"/>
      <c r="B7" s="13"/>
      <c r="C7" s="13"/>
      <c r="D7" s="13"/>
      <c r="E7" s="13"/>
    </row>
    <row r="8" spans="1:5" x14ac:dyDescent="0.25">
      <c r="A8" s="13"/>
      <c r="B8" s="13"/>
      <c r="C8" s="13"/>
      <c r="D8" s="13"/>
      <c r="E8" s="13"/>
    </row>
    <row r="9" spans="1:5" x14ac:dyDescent="0.25">
      <c r="A9" s="13"/>
      <c r="B9" s="13"/>
      <c r="C9" s="13"/>
      <c r="D9" s="13"/>
      <c r="E9" s="13"/>
    </row>
    <row r="10" spans="1:5" x14ac:dyDescent="0.25">
      <c r="A10" s="13" t="s">
        <v>99</v>
      </c>
      <c r="B10" s="13"/>
      <c r="C10" s="13"/>
      <c r="D10" s="13"/>
      <c r="E10" s="13"/>
    </row>
    <row r="11" spans="1:5" x14ac:dyDescent="0.25">
      <c r="A11" s="13"/>
      <c r="B11" s="13"/>
      <c r="C11" s="13"/>
      <c r="D11" s="13"/>
      <c r="E11" s="13"/>
    </row>
    <row r="12" spans="1:5" x14ac:dyDescent="0.25">
      <c r="A12" s="13"/>
      <c r="B12" s="13"/>
      <c r="C12" s="13"/>
      <c r="D12" s="13"/>
      <c r="E12" s="13"/>
    </row>
    <row r="13" spans="1:5" x14ac:dyDescent="0.25">
      <c r="A13" s="13" t="s">
        <v>98</v>
      </c>
      <c r="B13" s="13"/>
      <c r="C13" s="13"/>
      <c r="D13" s="13"/>
      <c r="E13" s="13"/>
    </row>
    <row r="14" spans="1:5" x14ac:dyDescent="0.25">
      <c r="A14" s="13"/>
      <c r="B14" s="13"/>
      <c r="C14" s="13"/>
      <c r="D14" s="13"/>
      <c r="E14" s="13"/>
    </row>
    <row r="15" spans="1:5" x14ac:dyDescent="0.25">
      <c r="A15" s="13"/>
      <c r="B15" s="13"/>
      <c r="C15" s="13"/>
      <c r="D15" s="13"/>
      <c r="E15" s="13"/>
    </row>
    <row r="16" spans="1:5" x14ac:dyDescent="0.25">
      <c r="A16" s="13" t="s">
        <v>97</v>
      </c>
      <c r="B16" s="13"/>
      <c r="C16" s="13"/>
      <c r="D16" s="13"/>
      <c r="E16" s="13"/>
    </row>
    <row r="17" spans="1:5" x14ac:dyDescent="0.25">
      <c r="A17" s="13"/>
      <c r="B17" s="13"/>
      <c r="C17" s="13"/>
      <c r="D17" s="13"/>
      <c r="E17" s="13"/>
    </row>
    <row r="18" spans="1:5" x14ac:dyDescent="0.25">
      <c r="A18" s="13"/>
      <c r="B18" s="13"/>
      <c r="C18" s="13"/>
      <c r="D18" s="13"/>
      <c r="E18" s="13"/>
    </row>
    <row r="19" spans="1:5" x14ac:dyDescent="0.25">
      <c r="A19" s="13"/>
      <c r="B19" s="13"/>
      <c r="C19" s="13"/>
      <c r="D19" s="13"/>
      <c r="E19" s="13"/>
    </row>
    <row r="20" spans="1:5" x14ac:dyDescent="0.25">
      <c r="A20" s="13"/>
      <c r="B20" s="13"/>
      <c r="C20" s="13"/>
      <c r="D20" s="13"/>
      <c r="E20" s="13"/>
    </row>
    <row r="21" spans="1:5" x14ac:dyDescent="0.25">
      <c r="A21" s="13"/>
      <c r="B21" s="13"/>
      <c r="C21" s="13"/>
      <c r="D21" s="13"/>
      <c r="E21" s="13"/>
    </row>
    <row r="22" spans="1:5" x14ac:dyDescent="0.25">
      <c r="A22" s="13"/>
      <c r="B22" s="13"/>
      <c r="C22" s="13"/>
      <c r="D22" s="13"/>
      <c r="E22" s="13"/>
    </row>
    <row r="23" spans="1:5" x14ac:dyDescent="0.25">
      <c r="A23" s="13"/>
      <c r="B23" s="13"/>
      <c r="C23" s="13"/>
      <c r="D23" s="13"/>
      <c r="E23" s="13"/>
    </row>
    <row r="24" spans="1:5" x14ac:dyDescent="0.25">
      <c r="A24" s="13"/>
      <c r="B24" s="13"/>
      <c r="C24" s="13"/>
      <c r="D24" s="13"/>
      <c r="E24" s="13"/>
    </row>
    <row r="25" spans="1:5" x14ac:dyDescent="0.25">
      <c r="A25" s="13"/>
      <c r="B25" s="13"/>
      <c r="C25" s="13"/>
      <c r="D25" s="13"/>
      <c r="E25" s="13"/>
    </row>
    <row r="26" spans="1:5" x14ac:dyDescent="0.25">
      <c r="A26" s="13"/>
      <c r="B26" s="13"/>
      <c r="C26" s="13"/>
      <c r="D26" s="13"/>
      <c r="E26" s="13"/>
    </row>
    <row r="27" spans="1:5" x14ac:dyDescent="0.25">
      <c r="A27" s="13"/>
      <c r="B27" s="13"/>
      <c r="C27" s="13"/>
      <c r="D27" s="13"/>
      <c r="E27" s="13"/>
    </row>
    <row r="28" spans="1:5" x14ac:dyDescent="0.25">
      <c r="A28" s="13"/>
      <c r="B28" s="13"/>
      <c r="C28" s="13"/>
      <c r="D28" s="13"/>
      <c r="E28" s="13"/>
    </row>
    <row r="29" spans="1:5" x14ac:dyDescent="0.25">
      <c r="A29" s="13"/>
      <c r="B29" s="13"/>
      <c r="C29" s="13"/>
      <c r="D29" s="13"/>
      <c r="E29" s="13"/>
    </row>
  </sheetData>
  <mergeCells count="2">
    <mergeCell ref="A2:C2"/>
    <mergeCell ref="D2:E2"/>
  </mergeCells>
  <pageMargins left="0.7" right="0.7" top="0.75" bottom="0.75" header="0.3" footer="0.3"/>
  <pageSetup scale="8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2025-10-10T18:52:24Z</cp:lastPrinted>
  <dcterms:created xsi:type="dcterms:W3CDTF">2025-10-10T18:44:14Z</dcterms:created>
  <dcterms:modified xsi:type="dcterms:W3CDTF">2025-10-31T12:39:19Z</dcterms:modified>
</cp:coreProperties>
</file>