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96540442-FBF1-4A18-9390-06A6FB9E9D1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F19" i="1"/>
  <c r="H34" i="1"/>
  <c r="E34" i="1"/>
  <c r="D34" i="1"/>
  <c r="C34" i="1"/>
</calcChain>
</file>

<file path=xl/sharedStrings.xml><?xml version="1.0" encoding="utf-8"?>
<sst xmlns="http://schemas.openxmlformats.org/spreadsheetml/2006/main" count="223" uniqueCount="122">
  <si>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</si>
  <si>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</si>
  <si>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</si>
  <si>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</si>
  <si>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</si>
  <si>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</si>
  <si>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</si>
  <si>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</si>
  <si>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</si>
  <si>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</si>
  <si>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</si>
  <si>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Neli Oliveira</t>
  </si>
  <si>
    <t>Alden Mazda</t>
  </si>
  <si>
    <t>Rachel Gorham</t>
  </si>
  <si>
    <t>Atlantic Subaru</t>
  </si>
  <si>
    <t>Battles Nissan, LLC</t>
  </si>
  <si>
    <t>Frank Battles Inc</t>
  </si>
  <si>
    <t>Hiller Co Inc</t>
  </si>
  <si>
    <t>New England Automax Inc (marlborough)</t>
  </si>
  <si>
    <t>Patriot Auto Group Inc d/b/a</t>
  </si>
  <si>
    <t>Paul Masse Buick GMC South, Inc</t>
  </si>
  <si>
    <t>Planet Subaru</t>
  </si>
  <si>
    <t>Priority Automotive LLC</t>
  </si>
  <si>
    <t>Richard Lundgren, Inc. d/b/a</t>
  </si>
  <si>
    <t>Salvadore Chrysler</t>
  </si>
  <si>
    <t>T F Murphy Enterprises Inc</t>
  </si>
  <si>
    <t>Tasca Ford</t>
  </si>
  <si>
    <t>Column1</t>
  </si>
  <si>
    <t>Column2</t>
  </si>
  <si>
    <t># 16</t>
  </si>
  <si>
    <t>LILIEN</t>
  </si>
  <si>
    <t>BRANCH@TOUCHSTONEAPARTMENTS.COM</t>
  </si>
  <si>
    <t>YULES, BRANCH</t>
  </si>
  <si>
    <t>LILIEN REALTY LLC</t>
  </si>
  <si>
    <t>E Contract</t>
  </si>
  <si>
    <t>DealerTrack</t>
  </si>
  <si>
    <t>151219211E</t>
  </si>
  <si>
    <t>dudley</t>
  </si>
  <si>
    <t>steve@metrowestglass.com</t>
  </si>
  <si>
    <t>sanders, stephen</t>
  </si>
  <si>
    <t>metrowest glass llc</t>
  </si>
  <si>
    <t>Paper</t>
  </si>
  <si>
    <t>Route One</t>
  </si>
  <si>
    <t>151219196</t>
  </si>
  <si>
    <t>HUBERT</t>
  </si>
  <si>
    <t>DAD2515@AOL.COM</t>
  </si>
  <si>
    <t>COTE, RANDALL</t>
  </si>
  <si>
    <t>151219170E</t>
  </si>
  <si>
    <t>THORNE</t>
  </si>
  <si>
    <t>TURNER2065@COMCAST.NET</t>
  </si>
  <si>
    <t>TURNER, RICHARD</t>
  </si>
  <si>
    <t>151219162</t>
  </si>
  <si>
    <t>JARDIN</t>
  </si>
  <si>
    <t>NEWELL</t>
  </si>
  <si>
    <t>Ranger553@yahoo.com</t>
  </si>
  <si>
    <t>Benji61314@gmail.com</t>
  </si>
  <si>
    <t>Cunha, Steven</t>
  </si>
  <si>
    <t>Cunha, Jilian</t>
  </si>
  <si>
    <t>151219146E</t>
  </si>
  <si>
    <t>JESSOME</t>
  </si>
  <si>
    <t>ASHLEYLEABELAIR@GMAIL.COM</t>
  </si>
  <si>
    <t>SOUSA, ASHLEY</t>
  </si>
  <si>
    <t>151219138E</t>
  </si>
  <si>
    <t>WOJCICKI</t>
  </si>
  <si>
    <t>BILLWESTWOODSTOCK@GMAIL.COM</t>
  </si>
  <si>
    <t>DWYER, WILLIAM</t>
  </si>
  <si>
    <t>151219120E</t>
  </si>
  <si>
    <t>KEARNEY</t>
  </si>
  <si>
    <t>randallschut@yahoo.com</t>
  </si>
  <si>
    <t>SCHUT, RANDALL</t>
  </si>
  <si>
    <t>151219104E</t>
  </si>
  <si>
    <t>VAN AUKEN</t>
  </si>
  <si>
    <t>AARONMV11@YAHOO.COM</t>
  </si>
  <si>
    <t>WILSON, AARON</t>
  </si>
  <si>
    <t>151219089E</t>
  </si>
  <si>
    <t>FRENIER</t>
  </si>
  <si>
    <t>PHV317@GMAIL.COM</t>
  </si>
  <si>
    <t>VINCENT, PAUL</t>
  </si>
  <si>
    <t>151219071E</t>
  </si>
  <si>
    <t>DUGUAY</t>
  </si>
  <si>
    <t>eramsdell333@gmail.com</t>
  </si>
  <si>
    <t>Ramsdell, Elizabeth</t>
  </si>
  <si>
    <t>151219047E</t>
  </si>
  <si>
    <t>DELEMOS</t>
  </si>
  <si>
    <t>lbarry736@gmail.com</t>
  </si>
  <si>
    <t>BARRY, LUCAS</t>
  </si>
  <si>
    <t>151219013</t>
  </si>
  <si>
    <t>LINHARES</t>
  </si>
  <si>
    <t>DJLIMA@COMCAST.NET</t>
  </si>
  <si>
    <t>LIMA, NELSON</t>
  </si>
  <si>
    <t>151218932E</t>
  </si>
  <si>
    <t>CURRIE</t>
  </si>
  <si>
    <t>DNFOWLER213@GMAIL.COM</t>
  </si>
  <si>
    <t>FOWLER, DANIEL</t>
  </si>
  <si>
    <t>151218924E</t>
  </si>
  <si>
    <t>COLEMAN</t>
  </si>
  <si>
    <t>TERESA191913@ICLOUD.COM</t>
  </si>
  <si>
    <t>COLEMAN, TERESA</t>
  </si>
  <si>
    <t>151218908E</t>
  </si>
  <si>
    <t>HERRICK</t>
  </si>
  <si>
    <t>MILLIS</t>
  </si>
  <si>
    <t>mcaldwell09@elmira.edu</t>
  </si>
  <si>
    <t>tewry@icloud.com</t>
  </si>
  <si>
    <t>CALDWELL, MEGHAN</t>
  </si>
  <si>
    <t>WRY, THOMAS</t>
  </si>
  <si>
    <t>151218891E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</si>
  <si>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</si>
  <si>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</si>
  <si>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</si>
  <si>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</si>
  <si>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</si>
  <si>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</si>
  <si>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</si>
  <si>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</si>
  <si>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</si>
  <si>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</si>
  <si>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</si>
  <si>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</t>
  </si>
  <si>
    <t>Received By________________________________________________________________________</t>
  </si>
  <si>
    <t>Delivered By________________________________________________________________________</t>
  </si>
  <si>
    <t># 3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</si>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</sst>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</cellXfs>
  <cellStyles count="2">
    <cellStyle name="Normal" xfId="0" builtinId="0"/>
    <cellStyle name="Normal 2" xfId="1" xr:uid="{16F7E38B-E425-41CB-8B5A-917263683CC7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4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FF358CCC-1439-4A15-8A15-C66E189BAFBA}" name="Column1" dataDxfId="24"/>
    <tableColumn id="8" xr3:uid="{F945D48B-F31A-4C6A-915F-BB466FD99D02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6D1AA7-CCD7-4EC7-8384-8318CCB091F7}" name="Table_13" displayName="Table_13" ref="A3:L20" headerRowDxfId="22" dataDxfId="21" totalsRowDxfId="20">
  <tableColumns count="12">
    <tableColumn id="1" xr3:uid="{00000000-0010-0000-0000-000001000000}" name="Account Number" dataDxfId="19"/>
    <tableColumn id="2" xr3:uid="{00000000-0010-0000-0000-000002000000}" name="Portal" dataDxfId="18"/>
    <tableColumn id="3" xr3:uid="{00000000-0010-0000-0000-000003000000}" name="Contract Type" dataDxfId="17"/>
    <tableColumn id="4" xr3:uid="{00000000-0010-0000-0000-000004000000}" name="Applicant Name" dataDxfId="16"/>
    <tableColumn id="5" xr3:uid="{00000000-0010-0000-0000-000005000000}" name="Co-Applicant Name" dataDxfId="15"/>
    <tableColumn id="6" xr3:uid="{00000000-0010-0000-0000-000006000000}" name="Dealer Name" dataDxfId="14"/>
    <tableColumn id="7" xr3:uid="{00000000-0010-0000-0000-000007000000}" name="Funded by" dataDxfId="13"/>
    <tableColumn id="8" xr3:uid="{00000000-0010-0000-0000-000008000000}" name="Amount Financed" dataDxfId="12"/>
    <tableColumn id="9" xr3:uid="{00000000-0010-0000-0000-000009000000}" name="Applicant Email" dataDxfId="11"/>
    <tableColumn id="10" xr3:uid="{00000000-0010-0000-0000-00000A000000}" name="Co-Applicant Email" dataDxfId="10"/>
    <tableColumn id="11" xr3:uid="{00000000-0010-0000-0000-00000B000000}" name="App MMN" dataDxfId="9"/>
    <tableColumn id="12" xr3:uid="{00000000-0010-0000-0000-00000C000000}" name="Co-App MMN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764B66-1030-4263-A2B5-CF7BC7CC5144}" name="Table_14" displayName="Table_14" ref="A3:E7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workbookViewId="0">
      <pane ySplit="3" topLeftCell="A4" activePane="bottomLeft" state="frozen"/>
      <selection pane="bottomLeft" activeCell="T8" sqref="T8"/>
    </sheetView>
  </sheetViews>
  <sheetFormatPr defaultRowHeight="14.4" x14ac:dyDescent="0.3"/>
  <cols>
    <col min="1" max="1" width="39" bestFit="1" customWidth="1"/>
    <col min="2" max="2" width="15.109375" bestFit="1" customWidth="1"/>
    <col min="3" max="3" width="11.109375" bestFit="1" customWidth="1"/>
    <col min="4" max="4" width="16.109375" bestFit="1" customWidth="1"/>
    <col min="5" max="5" width="13.33203125" bestFit="1" customWidth="1"/>
    <col min="6" max="7" width="13.33203125" customWidth="1"/>
    <col min="8" max="8" width="27.88671875" bestFit="1" customWidth="1"/>
  </cols>
  <sheetData>
    <row r="1" spans="1:8" x14ac:dyDescent="0.3">
      <c r="C1" t="s">
        <v>3</v>
      </c>
      <c r="D1" s="4">
        <v>45898</v>
      </c>
      <c r="E1" t="s">
        <v>2</v>
      </c>
      <c r="H1" s="4">
        <v>45898.999988425923</v>
      </c>
    </row>
    <row r="2" spans="1:8" x14ac:dyDescent="0.3">
      <c r="A2" s="11" t="s">
        <v>0</v>
      </c>
      <c r="B2" s="12"/>
      <c r="C2" s="12"/>
      <c r="D2" s="13" t="s">
        <v>1</v>
      </c>
      <c r="E2" s="12"/>
      <c r="F2" s="12"/>
      <c r="G2" s="12"/>
      <c r="H2" s="12"/>
    </row>
    <row r="3" spans="1:8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27</v>
      </c>
      <c r="G3" t="s">
        <v>28</v>
      </c>
      <c r="H3" t="s">
        <v>9</v>
      </c>
    </row>
    <row r="4" spans="1:8" x14ac:dyDescent="0.3">
      <c r="A4" t="s">
        <v>10</v>
      </c>
      <c r="B4" t="s">
        <v>11</v>
      </c>
      <c r="C4" s="2">
        <v>1350</v>
      </c>
      <c r="D4" s="2">
        <v>0</v>
      </c>
      <c r="E4" s="2">
        <v>59277.88</v>
      </c>
      <c r="F4" s="2"/>
      <c r="G4" s="2"/>
      <c r="H4" s="2">
        <v>59352.88</v>
      </c>
    </row>
    <row r="5" spans="1:8" x14ac:dyDescent="0.3">
      <c r="C5" s="2"/>
      <c r="D5" s="2"/>
      <c r="E5" s="2"/>
      <c r="F5" s="2"/>
      <c r="G5" s="2"/>
      <c r="H5" s="2"/>
    </row>
    <row r="6" spans="1:8" x14ac:dyDescent="0.3">
      <c r="A6" t="s">
        <v>12</v>
      </c>
      <c r="B6" t="s">
        <v>13</v>
      </c>
      <c r="C6" s="2">
        <v>500</v>
      </c>
      <c r="D6" s="2">
        <v>0</v>
      </c>
      <c r="E6" s="2">
        <v>19352.689999999999</v>
      </c>
      <c r="F6" s="2"/>
      <c r="G6" s="2"/>
      <c r="H6" s="2">
        <v>19427.689999999999</v>
      </c>
    </row>
    <row r="7" spans="1:8" x14ac:dyDescent="0.3">
      <c r="C7" s="2"/>
      <c r="D7" s="2"/>
      <c r="E7" s="2"/>
      <c r="F7" s="2"/>
      <c r="G7" s="2"/>
      <c r="H7" s="2"/>
    </row>
    <row r="8" spans="1:8" x14ac:dyDescent="0.3">
      <c r="A8" t="s">
        <v>14</v>
      </c>
      <c r="B8" t="s">
        <v>13</v>
      </c>
      <c r="C8" s="2">
        <v>650</v>
      </c>
      <c r="D8" s="2">
        <v>0</v>
      </c>
      <c r="E8" s="2">
        <v>23842.06</v>
      </c>
      <c r="F8" s="2"/>
      <c r="G8" s="2"/>
      <c r="H8" s="2">
        <v>23917.06</v>
      </c>
    </row>
    <row r="9" spans="1:8" x14ac:dyDescent="0.3">
      <c r="C9" s="2"/>
      <c r="D9" s="2"/>
      <c r="E9" s="2"/>
      <c r="F9" s="2"/>
      <c r="G9" s="2"/>
      <c r="H9" s="2"/>
    </row>
    <row r="10" spans="1:8" x14ac:dyDescent="0.3">
      <c r="A10" t="s">
        <v>15</v>
      </c>
      <c r="B10" t="s">
        <v>13</v>
      </c>
      <c r="C10" s="2">
        <v>750</v>
      </c>
      <c r="D10" s="2">
        <v>0</v>
      </c>
      <c r="E10" s="2">
        <v>25195.94</v>
      </c>
      <c r="F10" s="2"/>
      <c r="G10" s="2"/>
      <c r="H10" s="2">
        <v>25270.94</v>
      </c>
    </row>
    <row r="11" spans="1:8" x14ac:dyDescent="0.3">
      <c r="C11" s="2"/>
      <c r="D11" s="2"/>
      <c r="E11" s="2"/>
      <c r="F11" s="2"/>
      <c r="G11" s="2"/>
      <c r="H11" s="2"/>
    </row>
    <row r="12" spans="1:8" x14ac:dyDescent="0.3">
      <c r="A12" t="s">
        <v>16</v>
      </c>
      <c r="B12" t="s">
        <v>13</v>
      </c>
      <c r="C12" s="2">
        <v>500</v>
      </c>
      <c r="D12" s="2">
        <v>0</v>
      </c>
      <c r="E12" s="2">
        <v>16650.689999999999</v>
      </c>
      <c r="F12" s="2"/>
      <c r="G12" s="2"/>
      <c r="H12" s="2">
        <v>16725.689999999999</v>
      </c>
    </row>
    <row r="13" spans="1:8" x14ac:dyDescent="0.3">
      <c r="C13" s="2"/>
      <c r="D13" s="2"/>
      <c r="E13" s="2"/>
      <c r="F13" s="2"/>
      <c r="G13" s="2"/>
      <c r="H13" s="2"/>
    </row>
    <row r="14" spans="1:8" x14ac:dyDescent="0.3">
      <c r="A14" t="s">
        <v>17</v>
      </c>
      <c r="B14" t="s">
        <v>11</v>
      </c>
      <c r="C14" s="2">
        <v>850</v>
      </c>
      <c r="D14" s="2">
        <v>0</v>
      </c>
      <c r="E14" s="2">
        <v>33066.519999999997</v>
      </c>
      <c r="F14" s="2"/>
      <c r="G14" s="2"/>
      <c r="H14" s="2">
        <v>33141.519999999997</v>
      </c>
    </row>
    <row r="15" spans="1:8" x14ac:dyDescent="0.3">
      <c r="C15" s="2"/>
      <c r="D15" s="2"/>
      <c r="E15" s="2"/>
      <c r="F15" s="2"/>
      <c r="G15" s="2"/>
      <c r="H15" s="2"/>
    </row>
    <row r="16" spans="1:8" x14ac:dyDescent="0.3">
      <c r="A16" t="s">
        <v>18</v>
      </c>
      <c r="B16" t="s">
        <v>11</v>
      </c>
      <c r="C16" s="2">
        <v>300</v>
      </c>
      <c r="D16" s="2">
        <v>0</v>
      </c>
      <c r="E16" s="2">
        <v>12790.56</v>
      </c>
      <c r="F16" s="2"/>
      <c r="G16" s="2"/>
      <c r="H16" s="2">
        <v>12865.56</v>
      </c>
    </row>
    <row r="17" spans="1:8" x14ac:dyDescent="0.3">
      <c r="C17" s="2"/>
      <c r="D17" s="2"/>
      <c r="E17" s="2"/>
      <c r="F17" s="2"/>
      <c r="G17" s="2"/>
      <c r="H17" s="2"/>
    </row>
    <row r="18" spans="1:8" x14ac:dyDescent="0.3">
      <c r="A18" t="s">
        <v>19</v>
      </c>
      <c r="B18" t="s">
        <v>11</v>
      </c>
      <c r="C18" s="2">
        <v>650</v>
      </c>
      <c r="D18" s="2">
        <v>0</v>
      </c>
      <c r="E18" s="2">
        <v>23437</v>
      </c>
      <c r="F18" s="2"/>
      <c r="G18" s="2"/>
      <c r="H18" s="2">
        <v>23512</v>
      </c>
    </row>
    <row r="19" spans="1:8" x14ac:dyDescent="0.3">
      <c r="A19" t="s">
        <v>19</v>
      </c>
      <c r="B19" t="s">
        <v>11</v>
      </c>
      <c r="C19" s="2">
        <v>500</v>
      </c>
      <c r="D19" s="2">
        <v>0</v>
      </c>
      <c r="E19" s="2">
        <v>15018.25</v>
      </c>
      <c r="F19" s="2">
        <f>SUM(E18:E19)</f>
        <v>38455.25</v>
      </c>
      <c r="G19" s="2"/>
      <c r="H19" s="2">
        <v>15093.25</v>
      </c>
    </row>
    <row r="20" spans="1:8" x14ac:dyDescent="0.3">
      <c r="C20" s="2"/>
      <c r="D20" s="2"/>
      <c r="E20" s="2"/>
      <c r="F20" s="2"/>
      <c r="G20" s="2"/>
      <c r="H20" s="2"/>
    </row>
    <row r="21" spans="1:8" x14ac:dyDescent="0.3">
      <c r="A21" t="s">
        <v>20</v>
      </c>
      <c r="B21" t="s">
        <v>11</v>
      </c>
      <c r="C21" s="2">
        <v>1350</v>
      </c>
      <c r="D21" s="2">
        <v>0</v>
      </c>
      <c r="E21" s="2">
        <v>54602.68</v>
      </c>
      <c r="F21" s="2"/>
      <c r="G21" s="2"/>
      <c r="H21" s="2">
        <v>54677.68</v>
      </c>
    </row>
    <row r="22" spans="1:8" x14ac:dyDescent="0.3">
      <c r="C22" s="2"/>
      <c r="D22" s="2"/>
      <c r="E22" s="2"/>
      <c r="F22" s="2"/>
      <c r="G22" s="2"/>
      <c r="H22" s="2"/>
    </row>
    <row r="23" spans="1:8" x14ac:dyDescent="0.3">
      <c r="A23" t="s">
        <v>21</v>
      </c>
      <c r="B23" t="s">
        <v>11</v>
      </c>
      <c r="C23" s="2">
        <v>750</v>
      </c>
      <c r="D23" s="2">
        <v>0</v>
      </c>
      <c r="E23" s="2">
        <v>25827</v>
      </c>
      <c r="F23" s="2"/>
      <c r="G23" s="2"/>
      <c r="H23" s="2">
        <v>25902</v>
      </c>
    </row>
    <row r="24" spans="1:8" x14ac:dyDescent="0.3">
      <c r="C24" s="2"/>
      <c r="D24" s="2"/>
      <c r="E24" s="2"/>
      <c r="F24" s="2"/>
      <c r="G24" s="2"/>
      <c r="H24" s="2"/>
    </row>
    <row r="25" spans="1:8" x14ac:dyDescent="0.3">
      <c r="A25" t="s">
        <v>22</v>
      </c>
      <c r="B25" t="s">
        <v>13</v>
      </c>
      <c r="C25" s="2">
        <v>850</v>
      </c>
      <c r="D25" s="2">
        <v>0</v>
      </c>
      <c r="E25" s="2">
        <v>31325.439999999999</v>
      </c>
      <c r="F25" s="2"/>
      <c r="G25" s="2"/>
      <c r="H25" s="2">
        <v>31400.44</v>
      </c>
    </row>
    <row r="26" spans="1:8" x14ac:dyDescent="0.3">
      <c r="C26" s="2"/>
      <c r="D26" s="2"/>
      <c r="E26" s="2"/>
      <c r="F26" s="2"/>
      <c r="G26" s="2"/>
      <c r="H26" s="2"/>
    </row>
    <row r="27" spans="1:8" x14ac:dyDescent="0.3">
      <c r="A27" t="s">
        <v>23</v>
      </c>
      <c r="B27" t="s">
        <v>11</v>
      </c>
      <c r="C27" s="2">
        <v>500</v>
      </c>
      <c r="D27" s="2">
        <v>0</v>
      </c>
      <c r="E27" s="2">
        <v>17040.36</v>
      </c>
      <c r="F27" s="2"/>
      <c r="G27" s="2"/>
      <c r="H27" s="2">
        <v>17115.36</v>
      </c>
    </row>
    <row r="28" spans="1:8" x14ac:dyDescent="0.3">
      <c r="C28" s="2"/>
      <c r="D28" s="2"/>
      <c r="E28" s="2"/>
      <c r="F28" s="2"/>
      <c r="G28" s="2"/>
      <c r="H28" s="2"/>
    </row>
    <row r="29" spans="1:8" x14ac:dyDescent="0.3">
      <c r="A29" t="s">
        <v>24</v>
      </c>
      <c r="B29" t="s">
        <v>11</v>
      </c>
      <c r="C29" s="2">
        <v>750</v>
      </c>
      <c r="D29" s="2">
        <v>0</v>
      </c>
      <c r="E29" s="2">
        <v>27803.07</v>
      </c>
      <c r="F29" s="2"/>
      <c r="G29" s="2"/>
      <c r="H29" s="2">
        <v>27878.07</v>
      </c>
    </row>
    <row r="30" spans="1:8" x14ac:dyDescent="0.3">
      <c r="C30" s="2"/>
      <c r="D30" s="2"/>
      <c r="E30" s="2"/>
      <c r="F30" s="2"/>
      <c r="G30" s="2"/>
      <c r="H30" s="2"/>
    </row>
    <row r="31" spans="1:8" x14ac:dyDescent="0.3">
      <c r="A31" t="s">
        <v>25</v>
      </c>
      <c r="B31" t="s">
        <v>13</v>
      </c>
      <c r="C31" s="2">
        <v>850</v>
      </c>
      <c r="D31" s="2">
        <v>0</v>
      </c>
      <c r="E31" s="2">
        <v>34378.42</v>
      </c>
      <c r="F31" s="2"/>
      <c r="G31" s="2"/>
      <c r="H31" s="2">
        <v>34453.42</v>
      </c>
    </row>
    <row r="32" spans="1:8" x14ac:dyDescent="0.3">
      <c r="C32" s="2"/>
      <c r="D32" s="2"/>
      <c r="E32" s="2"/>
      <c r="F32" s="2"/>
      <c r="G32" s="2"/>
      <c r="H32" s="2"/>
    </row>
    <row r="33" spans="1:8" x14ac:dyDescent="0.3">
      <c r="A33" t="s">
        <v>26</v>
      </c>
      <c r="B33" t="s">
        <v>11</v>
      </c>
      <c r="C33" s="2">
        <v>950</v>
      </c>
      <c r="D33" s="2">
        <v>0</v>
      </c>
      <c r="E33" s="2">
        <v>35871.33</v>
      </c>
      <c r="F33" s="2"/>
      <c r="G33" s="2"/>
      <c r="H33" s="2">
        <v>35946.33</v>
      </c>
    </row>
    <row r="34" spans="1:8" x14ac:dyDescent="0.3">
      <c r="A34" s="1"/>
      <c r="B34" s="1"/>
      <c r="C34" s="3">
        <f>SUM(C4:C33)</f>
        <v>12050</v>
      </c>
      <c r="D34" s="3">
        <f>SUM(D4:D33)</f>
        <v>0</v>
      </c>
      <c r="E34" s="3">
        <f>SUM(E4:E33)</f>
        <v>455479.88999999996</v>
      </c>
      <c r="F34" s="3"/>
      <c r="G34" s="3"/>
      <c r="H34" s="3">
        <f>SUM(H4:H33)</f>
        <v>456679.88999999996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798A-88DC-4FFE-A778-4C7AD1382B7F}">
  <sheetPr>
    <pageSetUpPr fitToPage="1"/>
  </sheetPr>
  <dimension ref="A1:N25"/>
  <sheetViews>
    <sheetView workbookViewId="0">
      <pane ySplit="3" topLeftCell="A10" activePane="bottomLeft" state="frozen"/>
      <selection pane="bottomLeft" activeCell="A4" sqref="A4:A19"/>
    </sheetView>
  </sheetViews>
  <sheetFormatPr defaultColWidth="9.109375" defaultRowHeight="14.4" x14ac:dyDescent="0.3"/>
  <cols>
    <col min="1" max="1" width="16.44140625" style="5" bestFit="1" customWidth="1"/>
    <col min="2" max="2" width="12.109375" style="5" bestFit="1" customWidth="1"/>
    <col min="3" max="3" width="14" style="5" bestFit="1" customWidth="1"/>
    <col min="4" max="4" width="19.109375" style="5" bestFit="1" customWidth="1"/>
    <col min="5" max="5" width="20.33203125" style="5" bestFit="1" customWidth="1"/>
    <col min="6" max="6" width="39" style="5" bestFit="1" customWidth="1"/>
    <col min="7" max="7" width="15.109375" style="5" bestFit="1" customWidth="1"/>
    <col min="8" max="8" width="17.109375" style="5" bestFit="1" customWidth="1"/>
    <col min="9" max="9" width="40.88671875" style="5" bestFit="1" customWidth="1"/>
    <col min="10" max="10" width="24.33203125" style="5" bestFit="1" customWidth="1"/>
    <col min="11" max="11" width="16.109375" style="5" bestFit="1" customWidth="1"/>
    <col min="12" max="12" width="12.88671875" style="5" bestFit="1" customWidth="1"/>
    <col min="13" max="16384" width="9.109375" style="5"/>
  </cols>
  <sheetData>
    <row r="1" spans="1:14" ht="35.1" customHeight="1" x14ac:dyDescent="0.3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45898</v>
      </c>
      <c r="L1" s="6" t="s">
        <v>2</v>
      </c>
      <c r="M1" s="6"/>
      <c r="N1" s="6"/>
    </row>
    <row r="2" spans="1:14" ht="35.1" customHeight="1" x14ac:dyDescent="0.3">
      <c r="A2" s="14" t="s">
        <v>0</v>
      </c>
      <c r="B2" s="15"/>
      <c r="C2" s="15"/>
      <c r="D2" s="15"/>
      <c r="E2" s="15"/>
      <c r="F2" s="15"/>
      <c r="G2" s="16" t="s">
        <v>116</v>
      </c>
      <c r="H2" s="15"/>
      <c r="I2" s="15"/>
      <c r="J2" s="15"/>
      <c r="K2" s="15"/>
      <c r="L2" s="15"/>
      <c r="M2" s="6"/>
      <c r="N2" s="6"/>
    </row>
    <row r="3" spans="1:14" ht="35.1" customHeight="1" x14ac:dyDescent="0.3">
      <c r="A3" s="6" t="s">
        <v>115</v>
      </c>
      <c r="B3" s="6" t="s">
        <v>114</v>
      </c>
      <c r="C3" s="6" t="s">
        <v>113</v>
      </c>
      <c r="D3" s="6" t="s">
        <v>112</v>
      </c>
      <c r="E3" s="6" t="s">
        <v>111</v>
      </c>
      <c r="F3" s="6" t="s">
        <v>4</v>
      </c>
      <c r="G3" s="6" t="s">
        <v>5</v>
      </c>
      <c r="H3" s="6" t="s">
        <v>110</v>
      </c>
      <c r="I3" s="6" t="s">
        <v>109</v>
      </c>
      <c r="J3" s="6" t="s">
        <v>108</v>
      </c>
      <c r="K3" s="6" t="s">
        <v>107</v>
      </c>
      <c r="L3" s="6" t="s">
        <v>106</v>
      </c>
      <c r="M3" s="6"/>
      <c r="N3" s="6"/>
    </row>
    <row r="4" spans="1:14" ht="35.1" customHeight="1" x14ac:dyDescent="0.3">
      <c r="A4" s="6" t="s">
        <v>105</v>
      </c>
      <c r="B4" s="6" t="s">
        <v>42</v>
      </c>
      <c r="C4" s="6" t="s">
        <v>34</v>
      </c>
      <c r="D4" s="6" t="s">
        <v>104</v>
      </c>
      <c r="E4" s="6" t="s">
        <v>103</v>
      </c>
      <c r="F4" s="6" t="s">
        <v>19</v>
      </c>
      <c r="G4" s="6" t="s">
        <v>11</v>
      </c>
      <c r="H4" s="8">
        <v>23512</v>
      </c>
      <c r="I4" s="6" t="s">
        <v>102</v>
      </c>
      <c r="J4" s="6" t="s">
        <v>101</v>
      </c>
      <c r="K4" s="6" t="s">
        <v>100</v>
      </c>
      <c r="L4" s="6" t="s">
        <v>99</v>
      </c>
      <c r="M4" s="6"/>
      <c r="N4" s="6"/>
    </row>
    <row r="5" spans="1:14" ht="35.1" customHeight="1" x14ac:dyDescent="0.3">
      <c r="A5" s="6" t="s">
        <v>98</v>
      </c>
      <c r="B5" s="6" t="s">
        <v>35</v>
      </c>
      <c r="C5" s="6" t="s">
        <v>34</v>
      </c>
      <c r="D5" s="6" t="s">
        <v>97</v>
      </c>
      <c r="E5" s="6"/>
      <c r="F5" s="6" t="s">
        <v>14</v>
      </c>
      <c r="G5" s="6" t="s">
        <v>13</v>
      </c>
      <c r="H5" s="8">
        <v>23917.06</v>
      </c>
      <c r="I5" s="6" t="s">
        <v>96</v>
      </c>
      <c r="J5" s="6"/>
      <c r="K5" s="6" t="s">
        <v>95</v>
      </c>
      <c r="L5" s="6"/>
      <c r="M5" s="6"/>
      <c r="N5" s="6"/>
    </row>
    <row r="6" spans="1:14" ht="35.1" customHeight="1" x14ac:dyDescent="0.3">
      <c r="A6" s="6" t="s">
        <v>94</v>
      </c>
      <c r="B6" s="6" t="s">
        <v>35</v>
      </c>
      <c r="C6" s="6" t="s">
        <v>34</v>
      </c>
      <c r="D6" s="6" t="s">
        <v>93</v>
      </c>
      <c r="E6" s="6"/>
      <c r="F6" s="6" t="s">
        <v>15</v>
      </c>
      <c r="G6" s="6" t="s">
        <v>13</v>
      </c>
      <c r="H6" s="8">
        <v>25270.94</v>
      </c>
      <c r="I6" s="6" t="s">
        <v>92</v>
      </c>
      <c r="J6" s="6"/>
      <c r="K6" s="6" t="s">
        <v>91</v>
      </c>
      <c r="L6" s="6"/>
      <c r="M6" s="6"/>
      <c r="N6" s="6"/>
    </row>
    <row r="7" spans="1:14" ht="35.1" customHeight="1" x14ac:dyDescent="0.3">
      <c r="A7" s="6" t="s">
        <v>90</v>
      </c>
      <c r="B7" s="6" t="s">
        <v>42</v>
      </c>
      <c r="C7" s="6" t="s">
        <v>34</v>
      </c>
      <c r="D7" s="6" t="s">
        <v>89</v>
      </c>
      <c r="E7" s="6"/>
      <c r="F7" s="6" t="s">
        <v>12</v>
      </c>
      <c r="G7" s="6" t="s">
        <v>13</v>
      </c>
      <c r="H7" s="8">
        <v>19427.689999999999</v>
      </c>
      <c r="I7" s="6" t="s">
        <v>88</v>
      </c>
      <c r="J7" s="6"/>
      <c r="K7" s="6" t="s">
        <v>87</v>
      </c>
      <c r="L7" s="6"/>
      <c r="M7" s="6"/>
      <c r="N7" s="6"/>
    </row>
    <row r="8" spans="1:14" ht="35.1" customHeight="1" x14ac:dyDescent="0.3">
      <c r="A8" s="6" t="s">
        <v>86</v>
      </c>
      <c r="B8" s="6" t="s">
        <v>42</v>
      </c>
      <c r="C8" s="6" t="s">
        <v>41</v>
      </c>
      <c r="D8" s="6" t="s">
        <v>85</v>
      </c>
      <c r="E8" s="6"/>
      <c r="F8" s="6" t="s">
        <v>20</v>
      </c>
      <c r="G8" s="6" t="s">
        <v>11</v>
      </c>
      <c r="H8" s="8">
        <v>54677.68</v>
      </c>
      <c r="I8" s="6" t="s">
        <v>84</v>
      </c>
      <c r="J8" s="6"/>
      <c r="K8" s="6" t="s">
        <v>83</v>
      </c>
      <c r="L8" s="6"/>
      <c r="M8" s="6"/>
      <c r="N8" s="6"/>
    </row>
    <row r="9" spans="1:14" ht="35.1" customHeight="1" x14ac:dyDescent="0.3">
      <c r="A9" s="6" t="s">
        <v>82</v>
      </c>
      <c r="B9" s="6" t="s">
        <v>42</v>
      </c>
      <c r="C9" s="6" t="s">
        <v>34</v>
      </c>
      <c r="D9" s="6" t="s">
        <v>81</v>
      </c>
      <c r="E9" s="6"/>
      <c r="F9" s="6" t="s">
        <v>24</v>
      </c>
      <c r="G9" s="6" t="s">
        <v>11</v>
      </c>
      <c r="H9" s="8">
        <v>27878.07</v>
      </c>
      <c r="I9" s="6" t="s">
        <v>80</v>
      </c>
      <c r="J9" s="6"/>
      <c r="K9" s="6" t="s">
        <v>79</v>
      </c>
      <c r="L9" s="6"/>
      <c r="M9" s="6"/>
      <c r="N9" s="6"/>
    </row>
    <row r="10" spans="1:14" ht="35.1" customHeight="1" x14ac:dyDescent="0.3">
      <c r="A10" s="6" t="s">
        <v>78</v>
      </c>
      <c r="B10" s="6" t="s">
        <v>35</v>
      </c>
      <c r="C10" s="6" t="s">
        <v>34</v>
      </c>
      <c r="D10" s="6" t="s">
        <v>77</v>
      </c>
      <c r="E10" s="6"/>
      <c r="F10" s="6" t="s">
        <v>22</v>
      </c>
      <c r="G10" s="6" t="s">
        <v>13</v>
      </c>
      <c r="H10" s="8">
        <v>31400.44</v>
      </c>
      <c r="I10" s="6" t="s">
        <v>76</v>
      </c>
      <c r="J10" s="6"/>
      <c r="K10" s="6" t="s">
        <v>75</v>
      </c>
      <c r="L10" s="6"/>
      <c r="M10" s="6"/>
      <c r="N10" s="6"/>
    </row>
    <row r="11" spans="1:14" ht="35.1" customHeight="1" x14ac:dyDescent="0.3">
      <c r="A11" s="6" t="s">
        <v>74</v>
      </c>
      <c r="B11" s="6" t="s">
        <v>42</v>
      </c>
      <c r="C11" s="6" t="s">
        <v>34</v>
      </c>
      <c r="D11" s="6" t="s">
        <v>73</v>
      </c>
      <c r="E11" s="6"/>
      <c r="F11" s="6" t="s">
        <v>25</v>
      </c>
      <c r="G11" s="6" t="s">
        <v>13</v>
      </c>
      <c r="H11" s="8">
        <v>34453.42</v>
      </c>
      <c r="I11" s="6" t="s">
        <v>72</v>
      </c>
      <c r="J11" s="6"/>
      <c r="K11" s="6" t="s">
        <v>71</v>
      </c>
      <c r="L11" s="6"/>
      <c r="M11" s="6"/>
      <c r="N11" s="6"/>
    </row>
    <row r="12" spans="1:14" ht="35.1" customHeight="1" x14ac:dyDescent="0.3">
      <c r="A12" s="6" t="s">
        <v>70</v>
      </c>
      <c r="B12" s="6" t="s">
        <v>42</v>
      </c>
      <c r="C12" s="6" t="s">
        <v>34</v>
      </c>
      <c r="D12" s="6" t="s">
        <v>69</v>
      </c>
      <c r="E12" s="6"/>
      <c r="F12" s="6" t="s">
        <v>19</v>
      </c>
      <c r="G12" s="6" t="s">
        <v>11</v>
      </c>
      <c r="H12" s="8">
        <v>15093.25</v>
      </c>
      <c r="I12" s="6" t="s">
        <v>68</v>
      </c>
      <c r="J12" s="6"/>
      <c r="K12" s="6" t="s">
        <v>67</v>
      </c>
      <c r="L12" s="6"/>
      <c r="M12" s="6"/>
      <c r="N12" s="6"/>
    </row>
    <row r="13" spans="1:14" ht="35.1" customHeight="1" x14ac:dyDescent="0.3">
      <c r="A13" s="6" t="s">
        <v>66</v>
      </c>
      <c r="B13" s="6" t="s">
        <v>35</v>
      </c>
      <c r="C13" s="6" t="s">
        <v>34</v>
      </c>
      <c r="D13" s="6" t="s">
        <v>65</v>
      </c>
      <c r="E13" s="6"/>
      <c r="F13" s="6" t="s">
        <v>23</v>
      </c>
      <c r="G13" s="6" t="s">
        <v>11</v>
      </c>
      <c r="H13" s="8">
        <v>17115.36</v>
      </c>
      <c r="I13" s="6" t="s">
        <v>64</v>
      </c>
      <c r="J13" s="6"/>
      <c r="K13" s="6" t="s">
        <v>63</v>
      </c>
      <c r="L13" s="6"/>
      <c r="M13" s="6"/>
      <c r="N13" s="6"/>
    </row>
    <row r="14" spans="1:14" ht="35.1" customHeight="1" x14ac:dyDescent="0.3">
      <c r="A14" s="6" t="s">
        <v>62</v>
      </c>
      <c r="B14" s="6" t="s">
        <v>35</v>
      </c>
      <c r="C14" s="6" t="s">
        <v>34</v>
      </c>
      <c r="D14" s="6" t="s">
        <v>61</v>
      </c>
      <c r="E14" s="6"/>
      <c r="F14" s="6" t="s">
        <v>21</v>
      </c>
      <c r="G14" s="6" t="s">
        <v>11</v>
      </c>
      <c r="H14" s="8">
        <v>25902</v>
      </c>
      <c r="I14" s="6" t="s">
        <v>60</v>
      </c>
      <c r="J14" s="6"/>
      <c r="K14" s="6" t="s">
        <v>59</v>
      </c>
      <c r="L14" s="6"/>
      <c r="M14" s="6"/>
      <c r="N14" s="6"/>
    </row>
    <row r="15" spans="1:14" ht="35.1" customHeight="1" x14ac:dyDescent="0.3">
      <c r="A15" s="6" t="s">
        <v>58</v>
      </c>
      <c r="B15" s="6" t="s">
        <v>42</v>
      </c>
      <c r="C15" s="6" t="s">
        <v>34</v>
      </c>
      <c r="D15" s="6" t="s">
        <v>57</v>
      </c>
      <c r="E15" s="6" t="s">
        <v>56</v>
      </c>
      <c r="F15" s="6" t="s">
        <v>17</v>
      </c>
      <c r="G15" s="6" t="s">
        <v>11</v>
      </c>
      <c r="H15" s="8">
        <v>33141.519999999997</v>
      </c>
      <c r="I15" s="6" t="s">
        <v>55</v>
      </c>
      <c r="J15" s="6" t="s">
        <v>54</v>
      </c>
      <c r="K15" s="6" t="s">
        <v>53</v>
      </c>
      <c r="L15" s="6" t="s">
        <v>52</v>
      </c>
      <c r="M15" s="6"/>
      <c r="N15" s="6"/>
    </row>
    <row r="16" spans="1:14" ht="35.1" customHeight="1" x14ac:dyDescent="0.3">
      <c r="A16" s="6" t="s">
        <v>51</v>
      </c>
      <c r="B16" s="6" t="s">
        <v>35</v>
      </c>
      <c r="C16" s="6" t="s">
        <v>41</v>
      </c>
      <c r="D16" s="6" t="s">
        <v>50</v>
      </c>
      <c r="E16" s="6"/>
      <c r="F16" s="6" t="s">
        <v>16</v>
      </c>
      <c r="G16" s="6" t="s">
        <v>13</v>
      </c>
      <c r="H16" s="8">
        <v>16725.689999999999</v>
      </c>
      <c r="I16" s="6" t="s">
        <v>49</v>
      </c>
      <c r="J16" s="6"/>
      <c r="K16" s="6" t="s">
        <v>48</v>
      </c>
      <c r="L16" s="6"/>
      <c r="M16" s="6"/>
      <c r="N16" s="6"/>
    </row>
    <row r="17" spans="1:14" ht="35.1" customHeight="1" x14ac:dyDescent="0.3">
      <c r="A17" s="6" t="s">
        <v>47</v>
      </c>
      <c r="B17" s="6" t="s">
        <v>42</v>
      </c>
      <c r="C17" s="6" t="s">
        <v>34</v>
      </c>
      <c r="D17" s="6" t="s">
        <v>46</v>
      </c>
      <c r="E17" s="6"/>
      <c r="F17" s="6" t="s">
        <v>26</v>
      </c>
      <c r="G17" s="6" t="s">
        <v>11</v>
      </c>
      <c r="H17" s="8">
        <v>35946.33</v>
      </c>
      <c r="I17" s="6" t="s">
        <v>45</v>
      </c>
      <c r="J17" s="6"/>
      <c r="K17" s="6" t="s">
        <v>44</v>
      </c>
      <c r="L17" s="6"/>
      <c r="M17" s="6"/>
      <c r="N17" s="6"/>
    </row>
    <row r="18" spans="1:14" ht="35.1" customHeight="1" x14ac:dyDescent="0.3">
      <c r="A18" s="6" t="s">
        <v>43</v>
      </c>
      <c r="B18" s="6" t="s">
        <v>42</v>
      </c>
      <c r="C18" s="6" t="s">
        <v>41</v>
      </c>
      <c r="D18" s="6" t="s">
        <v>40</v>
      </c>
      <c r="E18" s="6" t="s">
        <v>39</v>
      </c>
      <c r="F18" s="6" t="s">
        <v>10</v>
      </c>
      <c r="G18" s="6" t="s">
        <v>11</v>
      </c>
      <c r="H18" s="8">
        <v>59352.88</v>
      </c>
      <c r="I18" s="6" t="s">
        <v>38</v>
      </c>
      <c r="J18" s="6"/>
      <c r="K18" s="6" t="s">
        <v>37</v>
      </c>
      <c r="L18" s="6"/>
      <c r="M18" s="6"/>
      <c r="N18" s="6"/>
    </row>
    <row r="19" spans="1:14" ht="35.1" customHeight="1" x14ac:dyDescent="0.3">
      <c r="A19" s="6" t="s">
        <v>36</v>
      </c>
      <c r="B19" s="6" t="s">
        <v>35</v>
      </c>
      <c r="C19" s="6" t="s">
        <v>34</v>
      </c>
      <c r="D19" s="6" t="s">
        <v>33</v>
      </c>
      <c r="E19" s="6" t="s">
        <v>32</v>
      </c>
      <c r="F19" s="6" t="s">
        <v>18</v>
      </c>
      <c r="G19" s="6" t="s">
        <v>11</v>
      </c>
      <c r="H19" s="8">
        <v>12865.56</v>
      </c>
      <c r="I19" s="6" t="s">
        <v>31</v>
      </c>
      <c r="J19" s="6"/>
      <c r="K19" s="6" t="s">
        <v>30</v>
      </c>
      <c r="L19" s="6"/>
      <c r="M19" s="6"/>
      <c r="N19" s="6"/>
    </row>
    <row r="20" spans="1:14" ht="35.1" customHeight="1" x14ac:dyDescent="0.3">
      <c r="A20" s="9"/>
      <c r="B20" s="9"/>
      <c r="C20" s="9"/>
      <c r="D20" s="9" t="s">
        <v>29</v>
      </c>
      <c r="E20" s="9"/>
      <c r="F20" s="9"/>
      <c r="G20" s="9"/>
      <c r="H20" s="10">
        <f>SUM(H4:H19)</f>
        <v>456679.89</v>
      </c>
      <c r="I20" s="9"/>
      <c r="J20" s="9"/>
      <c r="K20" s="9"/>
      <c r="L20" s="9"/>
      <c r="M20" s="6"/>
      <c r="N20" s="6"/>
    </row>
    <row r="21" spans="1:14" ht="35.1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35.1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35.1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35.1" customHeight="1" x14ac:dyDescent="0.3"/>
    <row r="25" spans="1:14" ht="35.1" customHeight="1" x14ac:dyDescent="0.3"/>
  </sheetData>
  <mergeCells count="2">
    <mergeCell ref="A2:F2"/>
    <mergeCell ref="G2:L2"/>
  </mergeCells>
  <pageMargins left="0.7" right="0.7" top="0.75" bottom="0.75" header="0.3" footer="0.3"/>
  <pageSetup paperSize="5" scale="6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7A26-30D2-44A4-B6A9-8129C4F79D42}">
  <sheetPr>
    <pageSetUpPr fitToPage="1"/>
  </sheetPr>
  <dimension ref="A1:E20"/>
  <sheetViews>
    <sheetView workbookViewId="0">
      <pane ySplit="3" topLeftCell="A4" activePane="bottomLeft" state="frozen"/>
      <selection pane="bottomLeft" activeCell="E31" sqref="E31"/>
    </sheetView>
  </sheetViews>
  <sheetFormatPr defaultColWidth="9.109375" defaultRowHeight="14.4" x14ac:dyDescent="0.3"/>
  <cols>
    <col min="1" max="1" width="16.44140625" style="5" bestFit="1" customWidth="1"/>
    <col min="2" max="2" width="14" style="5" bestFit="1" customWidth="1"/>
    <col min="3" max="3" width="19.109375" style="5" bestFit="1" customWidth="1"/>
    <col min="4" max="4" width="20.33203125" style="5" bestFit="1" customWidth="1"/>
    <col min="5" max="5" width="39" style="5" bestFit="1" customWidth="1"/>
    <col min="6" max="16384" width="9.109375" style="5"/>
  </cols>
  <sheetData>
    <row r="1" spans="1:5" x14ac:dyDescent="0.3">
      <c r="A1" s="6"/>
      <c r="B1" s="6"/>
      <c r="C1" s="6" t="s">
        <v>3</v>
      </c>
      <c r="D1" s="7">
        <v>45898</v>
      </c>
      <c r="E1" s="6" t="s">
        <v>2</v>
      </c>
    </row>
    <row r="2" spans="1:5" x14ac:dyDescent="0.3">
      <c r="A2" s="14" t="s">
        <v>0</v>
      </c>
      <c r="B2" s="15"/>
      <c r="C2" s="15"/>
      <c r="D2" s="16" t="s">
        <v>121</v>
      </c>
      <c r="E2" s="15"/>
    </row>
    <row r="3" spans="1:5" x14ac:dyDescent="0.3">
      <c r="A3" s="6" t="s">
        <v>115</v>
      </c>
      <c r="B3" s="6" t="s">
        <v>113</v>
      </c>
      <c r="C3" s="6" t="s">
        <v>112</v>
      </c>
      <c r="D3" s="6" t="s">
        <v>111</v>
      </c>
      <c r="E3" s="6" t="s">
        <v>4</v>
      </c>
    </row>
    <row r="4" spans="1:5" x14ac:dyDescent="0.3">
      <c r="A4" s="6" t="s">
        <v>86</v>
      </c>
      <c r="B4" s="6" t="s">
        <v>41</v>
      </c>
      <c r="C4" s="6" t="s">
        <v>85</v>
      </c>
      <c r="D4" s="6"/>
      <c r="E4" s="6" t="s">
        <v>20</v>
      </c>
    </row>
    <row r="5" spans="1:5" x14ac:dyDescent="0.3">
      <c r="A5" s="6" t="s">
        <v>51</v>
      </c>
      <c r="B5" s="6" t="s">
        <v>41</v>
      </c>
      <c r="C5" s="6" t="s">
        <v>50</v>
      </c>
      <c r="D5" s="6"/>
      <c r="E5" s="6" t="s">
        <v>16</v>
      </c>
    </row>
    <row r="6" spans="1:5" x14ac:dyDescent="0.3">
      <c r="A6" s="6" t="s">
        <v>43</v>
      </c>
      <c r="B6" s="6" t="s">
        <v>41</v>
      </c>
      <c r="C6" s="6" t="s">
        <v>40</v>
      </c>
      <c r="D6" s="6" t="s">
        <v>39</v>
      </c>
      <c r="E6" s="6" t="s">
        <v>10</v>
      </c>
    </row>
    <row r="7" spans="1:5" x14ac:dyDescent="0.3">
      <c r="A7" s="9"/>
      <c r="B7" s="9"/>
      <c r="C7" s="9" t="s">
        <v>120</v>
      </c>
      <c r="D7" s="9"/>
      <c r="E7" s="9"/>
    </row>
    <row r="8" spans="1:5" x14ac:dyDescent="0.3">
      <c r="A8" s="6"/>
      <c r="B8" s="6"/>
      <c r="C8" s="6"/>
      <c r="D8" s="6"/>
      <c r="E8" s="6"/>
    </row>
    <row r="9" spans="1:5" x14ac:dyDescent="0.3">
      <c r="A9" s="6"/>
      <c r="B9" s="6"/>
      <c r="C9" s="6"/>
      <c r="D9" s="6"/>
      <c r="E9" s="6"/>
    </row>
    <row r="10" spans="1:5" x14ac:dyDescent="0.3">
      <c r="A10" s="6" t="s">
        <v>119</v>
      </c>
      <c r="B10" s="6"/>
      <c r="C10" s="6"/>
      <c r="D10" s="6"/>
      <c r="E10" s="6"/>
    </row>
    <row r="11" spans="1:5" x14ac:dyDescent="0.3">
      <c r="A11" s="6"/>
      <c r="B11" s="6"/>
      <c r="C11" s="6"/>
      <c r="D11" s="6"/>
      <c r="E11" s="6"/>
    </row>
    <row r="12" spans="1:5" x14ac:dyDescent="0.3">
      <c r="A12" s="6"/>
      <c r="B12" s="6"/>
      <c r="C12" s="6"/>
      <c r="D12" s="6"/>
      <c r="E12" s="6"/>
    </row>
    <row r="13" spans="1:5" x14ac:dyDescent="0.3">
      <c r="A13" s="6" t="s">
        <v>118</v>
      </c>
      <c r="B13" s="6"/>
      <c r="C13" s="6"/>
      <c r="D13" s="6"/>
      <c r="E13" s="6"/>
    </row>
    <row r="14" spans="1:5" x14ac:dyDescent="0.3">
      <c r="A14" s="6"/>
      <c r="B14" s="6"/>
      <c r="C14" s="6"/>
      <c r="D14" s="6"/>
      <c r="E14" s="6"/>
    </row>
    <row r="15" spans="1:5" x14ac:dyDescent="0.3">
      <c r="A15" s="6"/>
      <c r="B15" s="6"/>
      <c r="C15" s="6"/>
      <c r="D15" s="6"/>
      <c r="E15" s="6"/>
    </row>
    <row r="16" spans="1:5" x14ac:dyDescent="0.3">
      <c r="A16" s="6" t="s">
        <v>117</v>
      </c>
      <c r="B16" s="6"/>
      <c r="C16" s="6"/>
      <c r="D16" s="6"/>
      <c r="E16" s="6"/>
    </row>
    <row r="17" spans="1:5" x14ac:dyDescent="0.3">
      <c r="A17" s="6"/>
      <c r="B17" s="6"/>
      <c r="C17" s="6"/>
      <c r="D17" s="6"/>
      <c r="E17" s="6"/>
    </row>
    <row r="18" spans="1:5" x14ac:dyDescent="0.3">
      <c r="A18" s="6"/>
      <c r="B18" s="6"/>
      <c r="C18" s="6"/>
      <c r="D18" s="6"/>
      <c r="E18" s="6"/>
    </row>
    <row r="19" spans="1:5" x14ac:dyDescent="0.3">
      <c r="A19" s="6"/>
      <c r="B19" s="6"/>
      <c r="C19" s="6"/>
      <c r="D19" s="6"/>
      <c r="E19" s="6"/>
    </row>
    <row r="20" spans="1:5" x14ac:dyDescent="0.3">
      <c r="A20" s="6"/>
      <c r="B20" s="6"/>
      <c r="C20" s="6"/>
      <c r="D20" s="6"/>
      <c r="E20" s="6"/>
    </row>
  </sheetData>
  <mergeCells count="2">
    <mergeCell ref="A2:C2"/>
    <mergeCell ref="D2:E2"/>
  </mergeCells>
  <pageMargins left="0.7" right="0.7" top="0.75" bottom="0.75" header="0.3" footer="0.3"/>
  <pageSetup scale="83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2025-08-29T18:42:31Z</cp:lastPrinted>
  <dcterms:created xsi:type="dcterms:W3CDTF">2025-08-29T18:34:44Z</dcterms:created>
  <dcterms:modified xsi:type="dcterms:W3CDTF">2025-08-30T11:30:51Z</dcterms:modified>
</cp:coreProperties>
</file>