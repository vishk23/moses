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arlene\"/>
    </mc:Choice>
  </mc:AlternateContent>
  <xr:revisionPtr revIDLastSave="0" documentId="8_{AA7B20ED-AFFC-4155-9585-6827481E4A02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L14" i="1"/>
  <c r="K14" i="1"/>
  <c r="J14" i="1"/>
</calcChain>
</file>

<file path=xl/sharedStrings.xml><?xml version="1.0" encoding="utf-8"?>
<sst xmlns="http://schemas.openxmlformats.org/spreadsheetml/2006/main" count="105" uniqueCount="63">
  <si>
    <t>Bristol County Savings Bank</t>
  </si>
  <si>
    <t>Funding worksheet</t>
  </si>
  <si>
    <t>To</t>
  </si>
  <si>
    <t>From</t>
  </si>
  <si>
    <t>Application Number</t>
  </si>
  <si>
    <t>Application Date</t>
  </si>
  <si>
    <t>Application Status</t>
  </si>
  <si>
    <t>Applicant Name</t>
  </si>
  <si>
    <t>Co-Applicant Name</t>
  </si>
  <si>
    <t>Portal</t>
  </si>
  <si>
    <t>Dealer Name</t>
  </si>
  <si>
    <t>Effective Fund Date</t>
  </si>
  <si>
    <t>Funded by</t>
  </si>
  <si>
    <t>Dealer Flat</t>
  </si>
  <si>
    <t>Dealer Split</t>
  </si>
  <si>
    <t>Net to Dealer</t>
  </si>
  <si>
    <t>Contracted Amount Financed (Funding)</t>
  </si>
  <si>
    <t>Business Name</t>
  </si>
  <si>
    <t>X V S I</t>
  </si>
  <si>
    <t>X Contract Type</t>
  </si>
  <si>
    <t>X Account Number Funding Applicant</t>
  </si>
  <si>
    <t>X Contract Type 1</t>
  </si>
  <si>
    <t>X Account Number Funding Co Applicant</t>
  </si>
  <si>
    <t>Submitted</t>
  </si>
  <si>
    <t>MCGOVERN, LISA</t>
  </si>
  <si>
    <t>DealerTrack</t>
  </si>
  <si>
    <t>Sandy Motors, Inc</t>
  </si>
  <si>
    <t>Marlene Braganca</t>
  </si>
  <si>
    <t>75</t>
  </si>
  <si>
    <t>Paper</t>
  </si>
  <si>
    <t>151152966</t>
  </si>
  <si>
    <t>CRAUN, NED</t>
  </si>
  <si>
    <t>Volvo of Tiverton</t>
  </si>
  <si>
    <t>Neli Oliveira</t>
  </si>
  <si>
    <t>151152990</t>
  </si>
  <si>
    <t>KEOGH, JOHN</t>
  </si>
  <si>
    <t>RAH FALL RIVER VW, LLC</t>
  </si>
  <si>
    <t>E Contract</t>
  </si>
  <si>
    <t>151152891</t>
  </si>
  <si>
    <t>PRENDERGAST, REBECCA</t>
  </si>
  <si>
    <t>Bourne Enterprises Inc</t>
  </si>
  <si>
    <t>151152940</t>
  </si>
  <si>
    <t>DEPALO, GINA</t>
  </si>
  <si>
    <t>Route One</t>
  </si>
  <si>
    <t>Colonial South Chevrolet</t>
  </si>
  <si>
    <t>151153047</t>
  </si>
  <si>
    <t>Karski, Calvin</t>
  </si>
  <si>
    <t>Lucchettis Service Center Inc</t>
  </si>
  <si>
    <t>151152982</t>
  </si>
  <si>
    <t>HOTALING, ANDREW</t>
  </si>
  <si>
    <t>AutoMax Preowned(Framingham)</t>
  </si>
  <si>
    <t>151152841</t>
  </si>
  <si>
    <t>Lima, Alexander</t>
  </si>
  <si>
    <t>Herb Chambers Lincoln</t>
  </si>
  <si>
    <t>151152883</t>
  </si>
  <si>
    <t>richard, barry</t>
  </si>
  <si>
    <t>Alden Buick Pontiac GMC</t>
  </si>
  <si>
    <t>151153005</t>
  </si>
  <si>
    <t>ZADROZNY, PAUL</t>
  </si>
  <si>
    <t>Mathieu Ford Sales, Inc</t>
  </si>
  <si>
    <t>151153021</t>
  </si>
  <si>
    <t>Total</t>
  </si>
  <si>
    <t>#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</si>
</sst>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S14">
  <tableColumns count="19">
    <tableColumn id="1" xr3:uid="{00000000-0010-0000-0000-000001000000}" name="Application Number"/>
    <tableColumn id="2" xr3:uid="{00000000-0010-0000-0000-000002000000}" name="Application Date"/>
    <tableColumn id="3" xr3:uid="{00000000-0010-0000-0000-000003000000}" name="Application Status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Portal"/>
    <tableColumn id="7" xr3:uid="{00000000-0010-0000-0000-000007000000}" name="Dealer Name"/>
    <tableColumn id="8" xr3:uid="{00000000-0010-0000-0000-000008000000}" name="Effective Fund Date"/>
    <tableColumn id="9" xr3:uid="{00000000-0010-0000-0000-000009000000}" name="Funded by"/>
    <tableColumn id="10" xr3:uid="{00000000-0010-0000-0000-00000A000000}" name="Dealer Flat"/>
    <tableColumn id="11" xr3:uid="{00000000-0010-0000-0000-00000B000000}" name="Dealer Split"/>
    <tableColumn id="12" xr3:uid="{00000000-0010-0000-0000-00000C000000}" name="Net to Dealer"/>
    <tableColumn id="13" xr3:uid="{00000000-0010-0000-0000-00000D000000}" name="Contracted Amount Financed (Funding)"/>
    <tableColumn id="14" xr3:uid="{00000000-0010-0000-0000-00000E000000}" name="Business Name"/>
    <tableColumn id="15" xr3:uid="{00000000-0010-0000-0000-00000F000000}" name="X V S I"/>
    <tableColumn id="16" xr3:uid="{00000000-0010-0000-0000-000010000000}" name="X Contract Type"/>
    <tableColumn id="17" xr3:uid="{00000000-0010-0000-0000-000011000000}" name="X Account Number Funding Applicant"/>
    <tableColumn id="18" xr3:uid="{00000000-0010-0000-0000-000012000000}" name="X Contract Type 1"/>
    <tableColumn id="19" xr3:uid="{00000000-0010-0000-0000-000013000000}" name="X Account Number Funding Co Applic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19.28515625" bestFit="1" customWidth="1"/>
    <col min="2" max="2" width="18" bestFit="1" customWidth="1"/>
    <col min="3" max="3" width="17.7109375" bestFit="1" customWidth="1"/>
    <col min="4" max="4" width="24.5703125" bestFit="1" customWidth="1"/>
    <col min="5" max="5" width="18.7109375" bestFit="1" customWidth="1"/>
    <col min="6" max="6" width="12.140625" bestFit="1" customWidth="1"/>
    <col min="7" max="7" width="31.85546875" bestFit="1" customWidth="1"/>
    <col min="8" max="8" width="19.140625" bestFit="1" customWidth="1"/>
    <col min="9" max="9" width="17.7109375" bestFit="1" customWidth="1"/>
    <col min="10" max="10" width="11.140625" bestFit="1" customWidth="1"/>
    <col min="11" max="11" width="11.7109375" bestFit="1" customWidth="1"/>
    <col min="12" max="12" width="13.28515625" bestFit="1" customWidth="1"/>
    <col min="13" max="13" width="37.28515625" bestFit="1" customWidth="1"/>
    <col min="14" max="14" width="15.140625" bestFit="1" customWidth="1"/>
    <col min="15" max="15" width="7" bestFit="1" customWidth="1"/>
    <col min="16" max="16" width="15.85546875" bestFit="1" customWidth="1"/>
    <col min="17" max="17" width="35.42578125" bestFit="1" customWidth="1"/>
    <col min="18" max="18" width="17.5703125" bestFit="1" customWidth="1"/>
    <col min="19" max="19" width="38.42578125" bestFit="1" customWidth="1"/>
  </cols>
  <sheetData>
    <row r="1" spans="1:19" x14ac:dyDescent="0.25">
      <c r="P1" t="s">
        <v>3</v>
      </c>
      <c r="Q1" s="4">
        <v>45719</v>
      </c>
      <c r="R1" t="s">
        <v>2</v>
      </c>
      <c r="S1" s="4">
        <v>45719.999988425923</v>
      </c>
    </row>
    <row r="2" spans="1:19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7" t="s">
        <v>1</v>
      </c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</row>
    <row r="4" spans="1:19" x14ac:dyDescent="0.25">
      <c r="A4">
        <v>126504</v>
      </c>
      <c r="B4" s="4">
        <v>45710.446162615743</v>
      </c>
      <c r="C4" t="s">
        <v>23</v>
      </c>
      <c r="D4" t="s">
        <v>24</v>
      </c>
      <c r="F4" t="s">
        <v>25</v>
      </c>
      <c r="G4" t="s">
        <v>26</v>
      </c>
      <c r="I4" t="s">
        <v>27</v>
      </c>
      <c r="J4" s="2">
        <v>575</v>
      </c>
      <c r="K4" s="2">
        <v>0</v>
      </c>
      <c r="L4" s="2">
        <v>21431.93</v>
      </c>
      <c r="M4" s="2">
        <v>21506.93</v>
      </c>
      <c r="O4" t="s">
        <v>28</v>
      </c>
      <c r="P4" t="s">
        <v>29</v>
      </c>
      <c r="Q4" t="s">
        <v>30</v>
      </c>
    </row>
    <row r="5" spans="1:19" x14ac:dyDescent="0.25">
      <c r="A5">
        <v>126539</v>
      </c>
      <c r="B5" s="4">
        <v>45710.698819247686</v>
      </c>
      <c r="C5" t="s">
        <v>23</v>
      </c>
      <c r="D5" t="s">
        <v>31</v>
      </c>
      <c r="F5" t="s">
        <v>25</v>
      </c>
      <c r="G5" t="s">
        <v>32</v>
      </c>
      <c r="I5" t="s">
        <v>33</v>
      </c>
      <c r="J5" s="2">
        <v>750</v>
      </c>
      <c r="K5" s="2">
        <v>0</v>
      </c>
      <c r="L5" s="2">
        <v>30880.26</v>
      </c>
      <c r="M5" s="2">
        <v>30955.26</v>
      </c>
      <c r="O5" t="s">
        <v>28</v>
      </c>
      <c r="P5" t="s">
        <v>29</v>
      </c>
      <c r="Q5" t="s">
        <v>34</v>
      </c>
    </row>
    <row r="6" spans="1:19" x14ac:dyDescent="0.25">
      <c r="A6">
        <v>126593</v>
      </c>
      <c r="B6" s="4">
        <v>45713.548063194445</v>
      </c>
      <c r="C6" t="s">
        <v>23</v>
      </c>
      <c r="D6" t="s">
        <v>35</v>
      </c>
      <c r="F6" t="s">
        <v>25</v>
      </c>
      <c r="G6" t="s">
        <v>36</v>
      </c>
      <c r="I6" t="s">
        <v>27</v>
      </c>
      <c r="J6" s="2">
        <v>625</v>
      </c>
      <c r="K6" s="2">
        <v>0</v>
      </c>
      <c r="L6" s="2">
        <v>26757.93</v>
      </c>
      <c r="M6" s="2">
        <v>26832.93</v>
      </c>
      <c r="O6" t="s">
        <v>28</v>
      </c>
      <c r="P6" t="s">
        <v>37</v>
      </c>
      <c r="Q6" t="s">
        <v>38</v>
      </c>
    </row>
    <row r="7" spans="1:19" x14ac:dyDescent="0.25">
      <c r="A7">
        <v>126674</v>
      </c>
      <c r="B7" s="4">
        <v>45716.450486608795</v>
      </c>
      <c r="C7" t="s">
        <v>23</v>
      </c>
      <c r="D7" t="s">
        <v>39</v>
      </c>
      <c r="F7" t="s">
        <v>25</v>
      </c>
      <c r="G7" t="s">
        <v>40</v>
      </c>
      <c r="I7" t="s">
        <v>27</v>
      </c>
      <c r="J7" s="2">
        <v>625</v>
      </c>
      <c r="K7" s="2">
        <v>0</v>
      </c>
      <c r="L7" s="2">
        <v>29733.21</v>
      </c>
      <c r="M7" s="2">
        <v>29808.21</v>
      </c>
      <c r="O7" t="s">
        <v>28</v>
      </c>
      <c r="P7" t="s">
        <v>29</v>
      </c>
      <c r="Q7" t="s">
        <v>41</v>
      </c>
    </row>
    <row r="8" spans="1:19" x14ac:dyDescent="0.25">
      <c r="A8">
        <v>126704</v>
      </c>
      <c r="B8" s="4">
        <v>45717.345205983795</v>
      </c>
      <c r="C8" t="s">
        <v>23</v>
      </c>
      <c r="D8" t="s">
        <v>42</v>
      </c>
      <c r="F8" t="s">
        <v>43</v>
      </c>
      <c r="G8" t="s">
        <v>44</v>
      </c>
      <c r="I8" t="s">
        <v>27</v>
      </c>
      <c r="J8" s="2">
        <v>750</v>
      </c>
      <c r="K8" s="2">
        <v>0</v>
      </c>
      <c r="L8" s="2">
        <v>32728.91</v>
      </c>
      <c r="M8" s="2">
        <v>32803.910000000003</v>
      </c>
      <c r="O8" t="s">
        <v>28</v>
      </c>
      <c r="P8" t="s">
        <v>37</v>
      </c>
      <c r="Q8" t="s">
        <v>45</v>
      </c>
    </row>
    <row r="9" spans="1:19" x14ac:dyDescent="0.25">
      <c r="A9">
        <v>126708</v>
      </c>
      <c r="B9" s="4">
        <v>45717.450045335645</v>
      </c>
      <c r="C9" t="s">
        <v>23</v>
      </c>
      <c r="D9" t="s">
        <v>46</v>
      </c>
      <c r="F9" t="s">
        <v>43</v>
      </c>
      <c r="G9" t="s">
        <v>47</v>
      </c>
      <c r="I9" t="s">
        <v>33</v>
      </c>
      <c r="J9" s="2">
        <v>750</v>
      </c>
      <c r="K9" s="2">
        <v>0</v>
      </c>
      <c r="L9" s="2">
        <v>31222.880000000001</v>
      </c>
      <c r="M9" s="2">
        <v>31297.88</v>
      </c>
      <c r="O9" t="s">
        <v>28</v>
      </c>
      <c r="P9" t="s">
        <v>37</v>
      </c>
      <c r="Q9" t="s">
        <v>48</v>
      </c>
    </row>
    <row r="10" spans="1:19" x14ac:dyDescent="0.25">
      <c r="A10">
        <v>126721</v>
      </c>
      <c r="B10" s="4">
        <v>45717.543469988428</v>
      </c>
      <c r="C10" t="s">
        <v>23</v>
      </c>
      <c r="D10" t="s">
        <v>49</v>
      </c>
      <c r="F10" t="s">
        <v>25</v>
      </c>
      <c r="G10" t="s">
        <v>50</v>
      </c>
      <c r="I10" t="s">
        <v>27</v>
      </c>
      <c r="J10" s="2">
        <v>625</v>
      </c>
      <c r="K10" s="2">
        <v>0</v>
      </c>
      <c r="L10" s="2">
        <v>27993.81</v>
      </c>
      <c r="M10" s="2">
        <v>28068.81</v>
      </c>
      <c r="O10" t="s">
        <v>28</v>
      </c>
      <c r="P10" t="s">
        <v>37</v>
      </c>
      <c r="Q10" t="s">
        <v>51</v>
      </c>
    </row>
    <row r="11" spans="1:19" x14ac:dyDescent="0.25">
      <c r="A11">
        <v>126728</v>
      </c>
      <c r="B11" s="4">
        <v>45717.57056709491</v>
      </c>
      <c r="C11" t="s">
        <v>23</v>
      </c>
      <c r="D11" t="s">
        <v>52</v>
      </c>
      <c r="F11" t="s">
        <v>43</v>
      </c>
      <c r="G11" t="s">
        <v>53</v>
      </c>
      <c r="I11" t="s">
        <v>27</v>
      </c>
      <c r="J11" s="2">
        <v>625</v>
      </c>
      <c r="K11" s="2">
        <v>0</v>
      </c>
      <c r="L11" s="2">
        <v>29910.39</v>
      </c>
      <c r="M11" s="2">
        <v>29985.39</v>
      </c>
      <c r="O11" t="s">
        <v>28</v>
      </c>
      <c r="P11" t="s">
        <v>37</v>
      </c>
      <c r="Q11" t="s">
        <v>54</v>
      </c>
    </row>
    <row r="12" spans="1:19" x14ac:dyDescent="0.25">
      <c r="A12">
        <v>126759</v>
      </c>
      <c r="B12" s="4">
        <v>45719.339603622684</v>
      </c>
      <c r="C12" t="s">
        <v>23</v>
      </c>
      <c r="D12" t="s">
        <v>55</v>
      </c>
      <c r="F12" t="s">
        <v>43</v>
      </c>
      <c r="G12" t="s">
        <v>56</v>
      </c>
      <c r="I12" t="s">
        <v>27</v>
      </c>
      <c r="J12" s="2">
        <v>450</v>
      </c>
      <c r="K12" s="2">
        <v>0</v>
      </c>
      <c r="L12" s="2">
        <v>15366.31</v>
      </c>
      <c r="M12" s="2">
        <v>15441.31</v>
      </c>
      <c r="O12" t="s">
        <v>28</v>
      </c>
      <c r="P12" t="s">
        <v>37</v>
      </c>
      <c r="Q12" t="s">
        <v>57</v>
      </c>
    </row>
    <row r="13" spans="1:19" x14ac:dyDescent="0.25">
      <c r="A13">
        <v>126764</v>
      </c>
      <c r="B13" s="4">
        <v>45719.437158946763</v>
      </c>
      <c r="C13" t="s">
        <v>23</v>
      </c>
      <c r="D13" t="s">
        <v>58</v>
      </c>
      <c r="F13" t="s">
        <v>43</v>
      </c>
      <c r="G13" t="s">
        <v>59</v>
      </c>
      <c r="I13" t="s">
        <v>27</v>
      </c>
      <c r="J13" s="2">
        <v>625</v>
      </c>
      <c r="K13" s="2">
        <v>0</v>
      </c>
      <c r="L13" s="2">
        <v>27393.56</v>
      </c>
      <c r="M13" s="2">
        <v>27468.560000000001</v>
      </c>
      <c r="O13" t="s">
        <v>28</v>
      </c>
      <c r="P13" t="s">
        <v>37</v>
      </c>
      <c r="Q13" t="s">
        <v>60</v>
      </c>
    </row>
    <row r="14" spans="1:19" x14ac:dyDescent="0.25">
      <c r="A14" s="1" t="s">
        <v>61</v>
      </c>
      <c r="B14" s="1"/>
      <c r="C14" s="1"/>
      <c r="D14" s="1" t="s">
        <v>62</v>
      </c>
      <c r="E14" s="1"/>
      <c r="F14" s="1"/>
      <c r="G14" s="1"/>
      <c r="H14" s="1"/>
      <c r="I14" s="1"/>
      <c r="J14" s="3">
        <f>SUM(J4:J13)</f>
        <v>6400</v>
      </c>
      <c r="K14" s="3">
        <f>SUM(K4:K13)</f>
        <v>0</v>
      </c>
      <c r="L14" s="3">
        <f>SUM(L4:L13)</f>
        <v>273419.19</v>
      </c>
      <c r="M14" s="3">
        <f>SUM(M4:M13)</f>
        <v>274169.19</v>
      </c>
      <c r="N14" s="1"/>
      <c r="O14" s="1"/>
      <c r="P14" s="1"/>
      <c r="Q14" s="1"/>
      <c r="R14" s="1"/>
      <c r="S14" s="1"/>
    </row>
  </sheetData>
  <mergeCells count="2">
    <mergeCell ref="A2:I2"/>
    <mergeCell ref="J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2025-03-03T19:30:58Z</dcterms:created>
  <dcterms:modified xsi:type="dcterms:W3CDTF">2025-03-03T19:32:52Z</dcterms:modified>
</cp:coreProperties>
</file>