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D0624A5B-55F8-4EC8-A4FE-3CF9343649CA}" xr6:coauthVersionLast="47" xr6:coauthVersionMax="47" xr10:uidLastSave="{00000000-0000-0000-0000-000000000000}"/>
  <bookViews>
    <workbookView xWindow="0" yWindow="600" windowWidth="29040" windowHeight="15600" xr2:uid="{00000000-000D-0000-FFFF-FFFF00000000}"/>
  </bookViews>
  <sheets>
    <sheet name="Funding Worksheet - ACH Version" sheetId="1" r:id="rId1"/>
    <sheet name="Funding Worksheet - Folder V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2" l="1"/>
  <c r="H23" i="1"/>
  <c r="E23" i="1"/>
  <c r="D23" i="1"/>
  <c r="C23" i="1"/>
</calcChain>
</file>

<file path=xl/sharedStrings.xml><?xml version="1.0" encoding="utf-8"?>
<sst xmlns="http://schemas.openxmlformats.org/spreadsheetml/2006/main" count="135" uniqueCount="85">
  <si>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</si>
  <si>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</si>
  <si>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</si>
  <si>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</si>
  <si>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</si>
  <si>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</si>
  <si>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</si>
  <si>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</si>
  <si>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</si>
  <si>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</si>
  <si>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Drive Automotive Sales &amp; Service LLC</t>
  </si>
  <si>
    <t>Marlene Braganca</t>
  </si>
  <si>
    <t>Grieco Enterprises, LLC d/b/a</t>
  </si>
  <si>
    <t>Grieco Toyota</t>
  </si>
  <si>
    <t>Herb Chambers Cadillac Inc</t>
  </si>
  <si>
    <t>Infiniti of Norwood</t>
  </si>
  <si>
    <t>Neli Oliveira</t>
  </si>
  <si>
    <t>Lucchettis Service Center Inc</t>
  </si>
  <si>
    <t>Mastria Mazda</t>
  </si>
  <si>
    <t>Planet Subaru</t>
  </si>
  <si>
    <t>Viti Mercedes</t>
  </si>
  <si>
    <t>Wareham Ford</t>
  </si>
  <si>
    <t>Column1</t>
  </si>
  <si>
    <t>Column2</t>
  </si>
  <si>
    <t>5900     6390</t>
  </si>
  <si>
    <t># 10</t>
  </si>
  <si>
    <t>Hebert</t>
  </si>
  <si>
    <t>DAVIS, RUSSELL</t>
  </si>
  <si>
    <t>E Contract</t>
  </si>
  <si>
    <t>Route One</t>
  </si>
  <si>
    <t>151197300e</t>
  </si>
  <si>
    <t>LOTITO</t>
  </si>
  <si>
    <t>PURPURABOYS@GMAIL.COM</t>
  </si>
  <si>
    <t>PURPURA, MICHAEL</t>
  </si>
  <si>
    <t>151197219e</t>
  </si>
  <si>
    <t>ZELIN</t>
  </si>
  <si>
    <t>BLACKVELVETINE2003@GMAIL.COM</t>
  </si>
  <si>
    <t>LAFOREST, NATACHA</t>
  </si>
  <si>
    <t>DealerTrack</t>
  </si>
  <si>
    <t>151197152e</t>
  </si>
  <si>
    <t>POWELL</t>
  </si>
  <si>
    <t>wgary4203@gmail.com</t>
  </si>
  <si>
    <t>WILLIAMS, GARY</t>
  </si>
  <si>
    <t>151197136e</t>
  </si>
  <si>
    <t>DALTO</t>
  </si>
  <si>
    <t>MURTAGHK3621@GMAIL.COM</t>
  </si>
  <si>
    <t>MURTAGH, KELLY</t>
  </si>
  <si>
    <t>151197128e</t>
  </si>
  <si>
    <t>SOKOLENKO</t>
  </si>
  <si>
    <t>SSERGANTT@GMAIL.COM</t>
  </si>
  <si>
    <t>KOZYREV, IGOR</t>
  </si>
  <si>
    <t>151197110e</t>
  </si>
  <si>
    <t>VANDERWALKER</t>
  </si>
  <si>
    <t>JIM@HOCKYMCA.ORG</t>
  </si>
  <si>
    <t>DOWNS, JAMES</t>
  </si>
  <si>
    <t>151197087e</t>
  </si>
  <si>
    <t>NICKOLSON</t>
  </si>
  <si>
    <t>JBOMB1214@HOTMAIL.COM</t>
  </si>
  <si>
    <t>BOMBARDIER, JASON</t>
  </si>
  <si>
    <t>151197079e</t>
  </si>
  <si>
    <t>Bonin</t>
  </si>
  <si>
    <t>Nadeau</t>
  </si>
  <si>
    <t>PAMBOUCHER65@GMAIL.COM</t>
  </si>
  <si>
    <t>pamboucher65@gmail.com</t>
  </si>
  <si>
    <t>BOUCHER, PAMELA</t>
  </si>
  <si>
    <t>BOUCHER, PETER</t>
  </si>
  <si>
    <t>151197053e</t>
  </si>
  <si>
    <t>Giordano</t>
  </si>
  <si>
    <t>Elliott</t>
  </si>
  <si>
    <t>jeanninekeith12@gmail.com</t>
  </si>
  <si>
    <t>jasonkeith11@gmail.com</t>
  </si>
  <si>
    <t>Keith, Jeannine</t>
  </si>
  <si>
    <t>Keith, Jason</t>
  </si>
  <si>
    <t>151197029e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</si>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</sst>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62E91A94-8E3E-46FC-90E1-6CC5A92D9D96}"/>
  </cellStyles>
  <dxfs count="17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23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55702DFD-CFEA-421B-ABC2-A213FC995AD6}" name="Column1" dataDxfId="16"/>
    <tableColumn id="8" xr3:uid="{1497D18B-F52F-4159-9136-D11A63699C58}" name="Column2" dataDxfId="15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ED2007-C202-4364-93EA-D92D8E67F749}" name="Table_13" displayName="Table_13" ref="A3:L14" headerRowDxfId="2" dataDxfId="0" totalsRowDxfId="1">
  <tableColumns count="12">
    <tableColumn id="1" xr3:uid="{00000000-0010-0000-0000-000001000000}" name="Account Number" dataDxfId="14"/>
    <tableColumn id="2" xr3:uid="{00000000-0010-0000-0000-000002000000}" name="Portal" dataDxfId="13"/>
    <tableColumn id="3" xr3:uid="{00000000-0010-0000-0000-000003000000}" name="Contract Type" dataDxfId="12"/>
    <tableColumn id="4" xr3:uid="{00000000-0010-0000-0000-000004000000}" name="Applicant Name" dataDxfId="11"/>
    <tableColumn id="5" xr3:uid="{00000000-0010-0000-0000-000005000000}" name="Co-Applicant Name" dataDxfId="10"/>
    <tableColumn id="6" xr3:uid="{00000000-0010-0000-0000-000006000000}" name="Dealer Name" dataDxfId="9"/>
    <tableColumn id="7" xr3:uid="{00000000-0010-0000-0000-000007000000}" name="Funded by" dataDxfId="8"/>
    <tableColumn id="8" xr3:uid="{00000000-0010-0000-0000-000008000000}" name="Amount Financed" dataDxfId="7"/>
    <tableColumn id="9" xr3:uid="{00000000-0010-0000-0000-000009000000}" name="Applicant Email" dataDxfId="6"/>
    <tableColumn id="10" xr3:uid="{00000000-0010-0000-0000-00000A000000}" name="Co-Applicant Email" dataDxfId="5"/>
    <tableColumn id="11" xr3:uid="{00000000-0010-0000-0000-00000B000000}" name="App MMN" dataDxfId="4"/>
    <tableColumn id="12" xr3:uid="{00000000-0010-0000-0000-00000C000000}" name="Co-App MMN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3"/>
  <sheetViews>
    <sheetView tabSelected="1" workbookViewId="0">
      <pane ySplit="3" topLeftCell="A4" activePane="bottomLeft" state="frozen"/>
      <selection pane="bottomLeft" activeCell="S14" sqref="S14"/>
    </sheetView>
  </sheetViews>
  <sheetFormatPr defaultRowHeight="15" x14ac:dyDescent="0.25"/>
  <cols>
    <col min="1" max="1" width="35.85546875" bestFit="1" customWidth="1"/>
    <col min="2" max="2" width="17.7109375" bestFit="1" customWidth="1"/>
    <col min="3" max="3" width="11.140625" bestFit="1" customWidth="1"/>
    <col min="4" max="4" width="13.710937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45835</v>
      </c>
      <c r="E1" t="s">
        <v>2</v>
      </c>
      <c r="H1" s="4">
        <v>45835.999988425923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22</v>
      </c>
      <c r="G3" t="s">
        <v>23</v>
      </c>
      <c r="H3" t="s">
        <v>9</v>
      </c>
    </row>
    <row r="4" spans="1:8" x14ac:dyDescent="0.25">
      <c r="A4" t="s">
        <v>10</v>
      </c>
      <c r="B4" t="s">
        <v>11</v>
      </c>
      <c r="C4" s="2">
        <v>750</v>
      </c>
      <c r="D4" s="2">
        <v>0</v>
      </c>
      <c r="E4" s="2">
        <v>27925</v>
      </c>
      <c r="F4" s="2"/>
      <c r="G4" s="2"/>
      <c r="H4" s="2">
        <v>28000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11</v>
      </c>
      <c r="C6" s="2">
        <v>950</v>
      </c>
      <c r="D6" s="2">
        <v>0</v>
      </c>
      <c r="E6" s="2">
        <v>37139.25</v>
      </c>
      <c r="F6" s="2"/>
      <c r="G6" s="2"/>
      <c r="H6" s="2">
        <v>37214.25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13</v>
      </c>
      <c r="B8" t="s">
        <v>11</v>
      </c>
      <c r="C8" s="2">
        <v>1350</v>
      </c>
      <c r="D8" s="2">
        <v>0</v>
      </c>
      <c r="E8" s="2">
        <v>50393.63</v>
      </c>
      <c r="F8" s="2"/>
      <c r="G8" s="2"/>
      <c r="H8" s="2">
        <v>50468.63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14</v>
      </c>
      <c r="B10" t="s">
        <v>11</v>
      </c>
      <c r="C10" s="2">
        <v>850</v>
      </c>
      <c r="D10" s="2">
        <v>0</v>
      </c>
      <c r="E10" s="2">
        <v>31232.26</v>
      </c>
      <c r="F10" s="2"/>
      <c r="G10" s="2"/>
      <c r="H10" s="2">
        <v>31307.26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15</v>
      </c>
      <c r="B12" t="s">
        <v>16</v>
      </c>
      <c r="C12" s="2">
        <v>750</v>
      </c>
      <c r="D12" s="2">
        <v>0</v>
      </c>
      <c r="E12" s="2">
        <v>26244.560000000001</v>
      </c>
      <c r="F12" s="2"/>
      <c r="G12" s="2"/>
      <c r="H12" s="2">
        <v>26319.56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17</v>
      </c>
      <c r="B14" t="s">
        <v>16</v>
      </c>
      <c r="C14" s="2">
        <v>950</v>
      </c>
      <c r="D14" s="2">
        <v>0</v>
      </c>
      <c r="E14" s="2">
        <v>39380.99</v>
      </c>
      <c r="F14" s="2"/>
      <c r="G14" s="2"/>
      <c r="H14" s="2">
        <v>39455.99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18</v>
      </c>
      <c r="B16" t="s">
        <v>16</v>
      </c>
      <c r="C16" s="2">
        <v>300</v>
      </c>
      <c r="D16" s="2">
        <v>0</v>
      </c>
      <c r="E16" s="2">
        <v>13065</v>
      </c>
      <c r="F16" s="2"/>
      <c r="G16" s="2" t="s">
        <v>24</v>
      </c>
      <c r="H16" s="2">
        <v>13140</v>
      </c>
    </row>
    <row r="17" spans="1:8" x14ac:dyDescent="0.25">
      <c r="C17" s="2"/>
      <c r="D17" s="2"/>
      <c r="E17" s="2"/>
      <c r="F17" s="2"/>
      <c r="G17" s="2"/>
      <c r="H17" s="2"/>
    </row>
    <row r="18" spans="1:8" x14ac:dyDescent="0.25">
      <c r="A18" t="s">
        <v>19</v>
      </c>
      <c r="B18" t="s">
        <v>16</v>
      </c>
      <c r="C18" s="2">
        <v>850</v>
      </c>
      <c r="D18" s="2">
        <v>0</v>
      </c>
      <c r="E18" s="2">
        <v>33579.129999999997</v>
      </c>
      <c r="F18" s="2"/>
      <c r="G18" s="2"/>
      <c r="H18" s="2">
        <v>33654.129999999997</v>
      </c>
    </row>
    <row r="19" spans="1:8" x14ac:dyDescent="0.25">
      <c r="C19" s="2"/>
      <c r="D19" s="2"/>
      <c r="E19" s="2"/>
      <c r="F19" s="2"/>
      <c r="G19" s="2"/>
      <c r="H19" s="2"/>
    </row>
    <row r="20" spans="1:8" x14ac:dyDescent="0.25">
      <c r="A20" t="s">
        <v>20</v>
      </c>
      <c r="B20" t="s">
        <v>11</v>
      </c>
      <c r="C20" s="2">
        <v>1500</v>
      </c>
      <c r="D20" s="2">
        <v>0</v>
      </c>
      <c r="E20" s="2">
        <v>74107.5</v>
      </c>
      <c r="F20" s="2"/>
      <c r="G20" s="2"/>
      <c r="H20" s="2">
        <v>74182.5</v>
      </c>
    </row>
    <row r="21" spans="1:8" x14ac:dyDescent="0.25">
      <c r="C21" s="2"/>
      <c r="D21" s="2"/>
      <c r="E21" s="2"/>
      <c r="F21" s="2"/>
      <c r="G21" s="2"/>
      <c r="H21" s="2"/>
    </row>
    <row r="22" spans="1:8" x14ac:dyDescent="0.25">
      <c r="A22" t="s">
        <v>21</v>
      </c>
      <c r="B22" t="s">
        <v>16</v>
      </c>
      <c r="C22" s="2">
        <v>650</v>
      </c>
      <c r="D22" s="2">
        <v>0</v>
      </c>
      <c r="E22" s="2">
        <v>22855</v>
      </c>
      <c r="F22" s="2"/>
      <c r="G22" s="2"/>
      <c r="H22" s="2">
        <v>22930</v>
      </c>
    </row>
    <row r="23" spans="1:8" x14ac:dyDescent="0.25">
      <c r="A23" s="1"/>
      <c r="B23" s="1"/>
      <c r="C23" s="3">
        <f>SUM(C4:C22)</f>
        <v>8900</v>
      </c>
      <c r="D23" s="3">
        <f>SUM(D4:D22)</f>
        <v>0</v>
      </c>
      <c r="E23" s="3">
        <f>SUM(E4:E22)</f>
        <v>355922.32</v>
      </c>
      <c r="F23" s="3"/>
      <c r="G23" s="3"/>
      <c r="H23" s="3">
        <f>SUM(H4:H22)</f>
        <v>356672.32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A8BF6-609C-4422-9EC5-DD87C04B4C06}">
  <sheetPr>
    <pageSetUpPr fitToPage="1"/>
  </sheetPr>
  <dimension ref="A1:L17"/>
  <sheetViews>
    <sheetView workbookViewId="0">
      <pane ySplit="3" topLeftCell="A4" activePane="bottomLeft" state="frozen"/>
      <selection pane="bottomLeft" activeCell="G8" sqref="G8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0.5703125" style="8" bestFit="1" customWidth="1"/>
    <col min="5" max="5" width="18.7109375" style="8" bestFit="1" customWidth="1"/>
    <col min="6" max="6" width="35.85546875" style="8" bestFit="1" customWidth="1"/>
    <col min="7" max="7" width="17.7109375" style="8" bestFit="1" customWidth="1"/>
    <col min="8" max="8" width="17.140625" style="8" bestFit="1" customWidth="1"/>
    <col min="9" max="9" width="34.28515625" style="8" bestFit="1" customWidth="1"/>
    <col min="10" max="10" width="29" style="8" bestFit="1" customWidth="1"/>
    <col min="11" max="11" width="16.42578125" style="8" bestFit="1" customWidth="1"/>
    <col min="12" max="12" width="12.85546875" style="8" bestFit="1" customWidth="1"/>
    <col min="13" max="16384" width="9.140625" style="8"/>
  </cols>
  <sheetData>
    <row r="1" spans="1:12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45835</v>
      </c>
      <c r="L1" s="9" t="s">
        <v>2</v>
      </c>
    </row>
    <row r="2" spans="1:12" ht="35.1" customHeight="1" x14ac:dyDescent="0.25">
      <c r="A2" s="11" t="s">
        <v>0</v>
      </c>
      <c r="B2" s="12"/>
      <c r="C2" s="12"/>
      <c r="D2" s="12"/>
      <c r="E2" s="12"/>
      <c r="F2" s="12"/>
      <c r="G2" s="13" t="s">
        <v>84</v>
      </c>
      <c r="H2" s="12"/>
      <c r="I2" s="12"/>
      <c r="J2" s="12"/>
      <c r="K2" s="12"/>
      <c r="L2" s="12"/>
    </row>
    <row r="3" spans="1:12" ht="35.1" customHeight="1" x14ac:dyDescent="0.25">
      <c r="A3" s="9" t="s">
        <v>83</v>
      </c>
      <c r="B3" s="9" t="s">
        <v>82</v>
      </c>
      <c r="C3" s="9" t="s">
        <v>81</v>
      </c>
      <c r="D3" s="9" t="s">
        <v>80</v>
      </c>
      <c r="E3" s="9" t="s">
        <v>79</v>
      </c>
      <c r="F3" s="9" t="s">
        <v>4</v>
      </c>
      <c r="G3" s="9" t="s">
        <v>5</v>
      </c>
      <c r="H3" s="9" t="s">
        <v>78</v>
      </c>
      <c r="I3" s="9" t="s">
        <v>77</v>
      </c>
      <c r="J3" s="9" t="s">
        <v>76</v>
      </c>
      <c r="K3" s="9" t="s">
        <v>75</v>
      </c>
      <c r="L3" s="9" t="s">
        <v>74</v>
      </c>
    </row>
    <row r="4" spans="1:12" ht="35.1" customHeight="1" x14ac:dyDescent="0.25">
      <c r="A4" s="9" t="s">
        <v>73</v>
      </c>
      <c r="B4" s="9" t="s">
        <v>29</v>
      </c>
      <c r="C4" s="9" t="s">
        <v>28</v>
      </c>
      <c r="D4" s="9" t="s">
        <v>72</v>
      </c>
      <c r="E4" s="9" t="s">
        <v>71</v>
      </c>
      <c r="F4" s="9" t="s">
        <v>10</v>
      </c>
      <c r="G4" s="9" t="s">
        <v>11</v>
      </c>
      <c r="H4" s="14">
        <v>28000</v>
      </c>
      <c r="I4" s="9" t="s">
        <v>70</v>
      </c>
      <c r="J4" s="9" t="s">
        <v>69</v>
      </c>
      <c r="K4" s="9" t="s">
        <v>68</v>
      </c>
      <c r="L4" s="9" t="s">
        <v>67</v>
      </c>
    </row>
    <row r="5" spans="1:12" ht="35.1" customHeight="1" x14ac:dyDescent="0.25">
      <c r="A5" s="9" t="s">
        <v>66</v>
      </c>
      <c r="B5" s="9" t="s">
        <v>38</v>
      </c>
      <c r="C5" s="9" t="s">
        <v>28</v>
      </c>
      <c r="D5" s="9" t="s">
        <v>65</v>
      </c>
      <c r="E5" s="9" t="s">
        <v>64</v>
      </c>
      <c r="F5" s="9" t="s">
        <v>20</v>
      </c>
      <c r="G5" s="9" t="s">
        <v>11</v>
      </c>
      <c r="H5" s="14">
        <v>74182.5</v>
      </c>
      <c r="I5" s="9" t="s">
        <v>63</v>
      </c>
      <c r="J5" s="9" t="s">
        <v>62</v>
      </c>
      <c r="K5" s="9" t="s">
        <v>61</v>
      </c>
      <c r="L5" s="9" t="s">
        <v>60</v>
      </c>
    </row>
    <row r="6" spans="1:12" ht="35.1" customHeight="1" x14ac:dyDescent="0.25">
      <c r="A6" s="9" t="s">
        <v>59</v>
      </c>
      <c r="B6" s="9" t="s">
        <v>38</v>
      </c>
      <c r="C6" s="9" t="s">
        <v>28</v>
      </c>
      <c r="D6" s="9" t="s">
        <v>58</v>
      </c>
      <c r="E6" s="9"/>
      <c r="F6" s="9" t="s">
        <v>15</v>
      </c>
      <c r="G6" s="9" t="s">
        <v>16</v>
      </c>
      <c r="H6" s="14">
        <v>26319.56</v>
      </c>
      <c r="I6" s="9" t="s">
        <v>57</v>
      </c>
      <c r="J6" s="9"/>
      <c r="K6" s="9" t="s">
        <v>56</v>
      </c>
      <c r="L6" s="9"/>
    </row>
    <row r="7" spans="1:12" ht="35.1" customHeight="1" x14ac:dyDescent="0.25">
      <c r="A7" s="9" t="s">
        <v>55</v>
      </c>
      <c r="B7" s="9" t="s">
        <v>29</v>
      </c>
      <c r="C7" s="9" t="s">
        <v>28</v>
      </c>
      <c r="D7" s="9" t="s">
        <v>54</v>
      </c>
      <c r="E7" s="9"/>
      <c r="F7" s="9" t="s">
        <v>13</v>
      </c>
      <c r="G7" s="9" t="s">
        <v>11</v>
      </c>
      <c r="H7" s="14">
        <v>50468.63</v>
      </c>
      <c r="I7" s="9" t="s">
        <v>53</v>
      </c>
      <c r="J7" s="9"/>
      <c r="K7" s="9" t="s">
        <v>52</v>
      </c>
      <c r="L7" s="9"/>
    </row>
    <row r="8" spans="1:12" ht="35.1" customHeight="1" x14ac:dyDescent="0.25">
      <c r="A8" s="9" t="s">
        <v>51</v>
      </c>
      <c r="B8" s="9" t="s">
        <v>38</v>
      </c>
      <c r="C8" s="9" t="s">
        <v>28</v>
      </c>
      <c r="D8" s="9" t="s">
        <v>50</v>
      </c>
      <c r="E8" s="9"/>
      <c r="F8" s="9" t="s">
        <v>19</v>
      </c>
      <c r="G8" s="9" t="s">
        <v>16</v>
      </c>
      <c r="H8" s="14">
        <v>33654.129999999997</v>
      </c>
      <c r="I8" s="9" t="s">
        <v>49</v>
      </c>
      <c r="J8" s="9"/>
      <c r="K8" s="9" t="s">
        <v>48</v>
      </c>
      <c r="L8" s="9"/>
    </row>
    <row r="9" spans="1:12" ht="35.1" customHeight="1" x14ac:dyDescent="0.25">
      <c r="A9" s="9" t="s">
        <v>47</v>
      </c>
      <c r="B9" s="9" t="s">
        <v>29</v>
      </c>
      <c r="C9" s="9" t="s">
        <v>28</v>
      </c>
      <c r="D9" s="9" t="s">
        <v>46</v>
      </c>
      <c r="E9" s="9"/>
      <c r="F9" s="9" t="s">
        <v>18</v>
      </c>
      <c r="G9" s="9" t="s">
        <v>16</v>
      </c>
      <c r="H9" s="14">
        <v>13140</v>
      </c>
      <c r="I9" s="9" t="s">
        <v>45</v>
      </c>
      <c r="J9" s="9"/>
      <c r="K9" s="9" t="s">
        <v>44</v>
      </c>
      <c r="L9" s="9"/>
    </row>
    <row r="10" spans="1:12" ht="35.1" customHeight="1" x14ac:dyDescent="0.25">
      <c r="A10" s="9" t="s">
        <v>43</v>
      </c>
      <c r="B10" s="9" t="s">
        <v>29</v>
      </c>
      <c r="C10" s="9" t="s">
        <v>28</v>
      </c>
      <c r="D10" s="9" t="s">
        <v>42</v>
      </c>
      <c r="E10" s="9"/>
      <c r="F10" s="9" t="s">
        <v>21</v>
      </c>
      <c r="G10" s="9" t="s">
        <v>16</v>
      </c>
      <c r="H10" s="14">
        <v>22930</v>
      </c>
      <c r="I10" s="9" t="s">
        <v>41</v>
      </c>
      <c r="J10" s="9"/>
      <c r="K10" s="9" t="s">
        <v>40</v>
      </c>
      <c r="L10" s="9"/>
    </row>
    <row r="11" spans="1:12" ht="35.1" customHeight="1" x14ac:dyDescent="0.25">
      <c r="A11" s="9" t="s">
        <v>39</v>
      </c>
      <c r="B11" s="9" t="s">
        <v>38</v>
      </c>
      <c r="C11" s="9" t="s">
        <v>28</v>
      </c>
      <c r="D11" s="9" t="s">
        <v>37</v>
      </c>
      <c r="E11" s="9"/>
      <c r="F11" s="9" t="s">
        <v>12</v>
      </c>
      <c r="G11" s="9" t="s">
        <v>11</v>
      </c>
      <c r="H11" s="14">
        <v>37214.25</v>
      </c>
      <c r="I11" s="9" t="s">
        <v>36</v>
      </c>
      <c r="J11" s="9"/>
      <c r="K11" s="9" t="s">
        <v>35</v>
      </c>
      <c r="L11" s="9"/>
    </row>
    <row r="12" spans="1:12" ht="35.1" customHeight="1" x14ac:dyDescent="0.25">
      <c r="A12" s="9" t="s">
        <v>34</v>
      </c>
      <c r="B12" s="9" t="s">
        <v>29</v>
      </c>
      <c r="C12" s="9" t="s">
        <v>28</v>
      </c>
      <c r="D12" s="9" t="s">
        <v>33</v>
      </c>
      <c r="E12" s="9"/>
      <c r="F12" s="9" t="s">
        <v>17</v>
      </c>
      <c r="G12" s="9" t="s">
        <v>16</v>
      </c>
      <c r="H12" s="14">
        <v>39455.99</v>
      </c>
      <c r="I12" s="9" t="s">
        <v>32</v>
      </c>
      <c r="J12" s="9"/>
      <c r="K12" s="9" t="s">
        <v>31</v>
      </c>
      <c r="L12" s="9"/>
    </row>
    <row r="13" spans="1:12" ht="35.1" customHeight="1" x14ac:dyDescent="0.25">
      <c r="A13" s="9" t="s">
        <v>30</v>
      </c>
      <c r="B13" s="9" t="s">
        <v>29</v>
      </c>
      <c r="C13" s="9" t="s">
        <v>28</v>
      </c>
      <c r="D13" s="9" t="s">
        <v>27</v>
      </c>
      <c r="E13" s="9"/>
      <c r="F13" s="9" t="s">
        <v>14</v>
      </c>
      <c r="G13" s="9" t="s">
        <v>11</v>
      </c>
      <c r="H13" s="14">
        <v>31307.26</v>
      </c>
      <c r="I13" s="9"/>
      <c r="J13" s="9"/>
      <c r="K13" s="9" t="s">
        <v>26</v>
      </c>
      <c r="L13" s="9"/>
    </row>
    <row r="14" spans="1:12" ht="35.1" customHeight="1" x14ac:dyDescent="0.25">
      <c r="A14" s="15"/>
      <c r="B14" s="15"/>
      <c r="C14" s="15"/>
      <c r="D14" s="15" t="s">
        <v>25</v>
      </c>
      <c r="E14" s="15"/>
      <c r="F14" s="15"/>
      <c r="G14" s="15"/>
      <c r="H14" s="16">
        <f>SUM(H4:H13)</f>
        <v>356672.32</v>
      </c>
      <c r="I14" s="15"/>
      <c r="J14" s="15"/>
      <c r="K14" s="15"/>
      <c r="L14" s="15"/>
    </row>
    <row r="15" spans="1:12" ht="35.1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ht="35.1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5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 Worksheet - ACH Version</vt:lpstr>
      <vt:lpstr>Funding Worksheet - Folder 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2025-06-27T17:56:19Z</cp:lastPrinted>
  <dcterms:created xsi:type="dcterms:W3CDTF">2025-06-27T17:50:35Z</dcterms:created>
  <dcterms:modified xsi:type="dcterms:W3CDTF">2025-06-27T18:09:41Z</dcterms:modified>
</cp:coreProperties>
</file>