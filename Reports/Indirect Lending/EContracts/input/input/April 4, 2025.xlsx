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41A8E83-0C93-4F03-B542-F98DCFCFA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F11" i="1"/>
  <c r="F16" i="1"/>
  <c r="H23" i="1"/>
  <c r="E23" i="1"/>
  <c r="D23" i="1"/>
  <c r="C23" i="1"/>
</calcChain>
</file>

<file path=xl/sharedStrings.xml><?xml version="1.0" encoding="utf-8"?>
<sst xmlns="http://schemas.openxmlformats.org/spreadsheetml/2006/main" count="170" uniqueCount="91">
  <si>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</si>
  <si>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</si>
  <si>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</si>
  <si>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</si>
  <si>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</si>
  <si>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</si>
  <si>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</si>
  <si>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</si>
  <si>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</si>
  <si>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</si>
  <si>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Battles Nissan, LLC</t>
  </si>
  <si>
    <t>Marlene Braganca</t>
  </si>
  <si>
    <t>Grieco Toyota</t>
  </si>
  <si>
    <t>Herb Chambers Lincoln</t>
  </si>
  <si>
    <t>Neli Oliveira</t>
  </si>
  <si>
    <t>Langway Toyota of Newport</t>
  </si>
  <si>
    <t>Mastria Buick Pontiac</t>
  </si>
  <si>
    <t>Mathieu Ford Sales, Inc</t>
  </si>
  <si>
    <t>NARSA AMC LLC d/b/a</t>
  </si>
  <si>
    <t>Sandy Motors, Inc</t>
  </si>
  <si>
    <t>Viti Mercedes</t>
  </si>
  <si>
    <t>Column1</t>
  </si>
  <si>
    <t>Column2</t>
  </si>
  <si>
    <t>4453     2150</t>
  </si>
  <si>
    <t># 11</t>
  </si>
  <si>
    <t>PACHECO</t>
  </si>
  <si>
    <t>STACEY.OUELLETTE@GMAIL.COM</t>
  </si>
  <si>
    <t>OUELLETTE, STACEY</t>
  </si>
  <si>
    <t>E Contract</t>
  </si>
  <si>
    <t>Route One</t>
  </si>
  <si>
    <t>151164523e</t>
  </si>
  <si>
    <t>BEST</t>
  </si>
  <si>
    <t>HALL, MICHELLE</t>
  </si>
  <si>
    <t>ORGANIZE ME CAPE COD, LLC</t>
  </si>
  <si>
    <t>Paper</t>
  </si>
  <si>
    <t>151164490</t>
  </si>
  <si>
    <t>Buckley</t>
  </si>
  <si>
    <t>Forget</t>
  </si>
  <si>
    <t>HGRAVESJR@HOTMAIL.COM</t>
  </si>
  <si>
    <t>GRAVES, JUDITH</t>
  </si>
  <si>
    <t>GRAVES, HAROLD</t>
  </si>
  <si>
    <t>151164482e</t>
  </si>
  <si>
    <t>MLINAR</t>
  </si>
  <si>
    <t>SLUSARSKI, KELLY</t>
  </si>
  <si>
    <t>DealerTrack</t>
  </si>
  <si>
    <t>151164466</t>
  </si>
  <si>
    <t>Stuart</t>
  </si>
  <si>
    <t>KENKLK@HOTMAIL.COM</t>
  </si>
  <si>
    <t>KOSTKA, KENNETH</t>
  </si>
  <si>
    <t>151164383e</t>
  </si>
  <si>
    <t>LORANGER</t>
  </si>
  <si>
    <t>MICHAUD, ALAN</t>
  </si>
  <si>
    <t>151164359e</t>
  </si>
  <si>
    <t>Turpel</t>
  </si>
  <si>
    <t>njkimmell@gmail.com</t>
  </si>
  <si>
    <t>KIMMELL, NORMA</t>
  </si>
  <si>
    <t>151164341e</t>
  </si>
  <si>
    <t>Correira</t>
  </si>
  <si>
    <t>DESADAVID99@YAHOO.COM</t>
  </si>
  <si>
    <t>DE SA, DAVID</t>
  </si>
  <si>
    <t>151164317e</t>
  </si>
  <si>
    <t>DUCH</t>
  </si>
  <si>
    <t>PILL</t>
  </si>
  <si>
    <t>KOMCHAO123@ICLOUD.COM</t>
  </si>
  <si>
    <t>SOR, JULIE</t>
  </si>
  <si>
    <t>CHAO, KOM</t>
  </si>
  <si>
    <t>151164309</t>
  </si>
  <si>
    <t>Bryant</t>
  </si>
  <si>
    <t>thepelkster@yahoo.com</t>
  </si>
  <si>
    <t>PELKEY, DWAYNE</t>
  </si>
  <si>
    <t>151164268e</t>
  </si>
  <si>
    <t>Delong</t>
  </si>
  <si>
    <t>RWLYRICH@HOTMAIL.COM</t>
  </si>
  <si>
    <t>O'CONNOR, RICHARD</t>
  </si>
  <si>
    <t>151164250e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</si>
  <si>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</si>
  <si>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</si>
  <si>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</si>
  <si>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</si>
  <si>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</si>
  <si>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</si>
  <si>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</si>
  <si>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</si>
  <si>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</si>
  <si>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</si>
  <si>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</si>
  <si>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</t>
  </si>
  <si>
    <t>Received By___________________________________________________________________________</t>
  </si>
  <si>
    <t>Delivered By___________________________________________________________________________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</si>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</sst>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86A84F94-9EB5-4590-9690-DB485A403309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5C7DD17C-4AB4-4ADC-9C53-0617840335D9}" name="Column1" dataDxfId="23"/>
    <tableColumn id="8" xr3:uid="{11749F90-D967-437F-B972-C85A8EEFAB99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01740-B071-4751-995A-93A6EC399EBB}" name="Table_13" displayName="Table_13" ref="A3:L15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6DBCE7-6893-4E63-8D2F-F09A3D27AFF7}" name="Table_14" displayName="Table_14" ref="A3:E7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workbookViewId="0">
      <pane ySplit="3" topLeftCell="A4" activePane="bottomLeft" state="frozen"/>
      <selection pane="bottomLeft" activeCell="E28" sqref="E28"/>
    </sheetView>
  </sheetViews>
  <sheetFormatPr defaultRowHeight="15" x14ac:dyDescent="0.25"/>
  <cols>
    <col min="1" max="1" width="26.7109375" bestFit="1" customWidth="1"/>
    <col min="2" max="2" width="17.7109375" bestFit="1" customWidth="1"/>
    <col min="3" max="3" width="11.140625" bestFit="1" customWidth="1"/>
    <col min="4" max="4" width="12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45751</v>
      </c>
      <c r="E1" t="s">
        <v>2</v>
      </c>
      <c r="H1" s="4">
        <v>45751.999988425923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21</v>
      </c>
      <c r="G3" t="s">
        <v>22</v>
      </c>
      <c r="H3" t="s">
        <v>9</v>
      </c>
    </row>
    <row r="4" spans="1:8" x14ac:dyDescent="0.25">
      <c r="A4" t="s">
        <v>10</v>
      </c>
      <c r="B4" t="s">
        <v>11</v>
      </c>
      <c r="C4" s="2">
        <v>1150</v>
      </c>
      <c r="D4" s="2">
        <v>0</v>
      </c>
      <c r="E4" s="2">
        <v>47211.67</v>
      </c>
      <c r="F4" s="2"/>
      <c r="G4" s="2"/>
      <c r="H4" s="2">
        <v>47286.67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950</v>
      </c>
      <c r="D6" s="2">
        <v>0</v>
      </c>
      <c r="E6" s="2">
        <v>36901.06</v>
      </c>
      <c r="F6" s="2"/>
      <c r="G6" s="2"/>
      <c r="H6" s="2">
        <v>36976.06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750</v>
      </c>
      <c r="D8" s="2">
        <v>0</v>
      </c>
      <c r="E8" s="2">
        <v>29506.94</v>
      </c>
      <c r="F8" s="2"/>
      <c r="G8" s="2"/>
      <c r="H8" s="2">
        <v>29581.94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14</v>
      </c>
      <c r="C10" s="2">
        <v>850</v>
      </c>
      <c r="D10" s="2">
        <v>0</v>
      </c>
      <c r="E10" s="2">
        <v>30000</v>
      </c>
      <c r="F10" s="2"/>
      <c r="G10" s="2"/>
      <c r="H10" s="2">
        <v>30075</v>
      </c>
    </row>
    <row r="11" spans="1:8" x14ac:dyDescent="0.25">
      <c r="A11" t="s">
        <v>15</v>
      </c>
      <c r="B11" t="s">
        <v>14</v>
      </c>
      <c r="C11" s="2">
        <v>1050</v>
      </c>
      <c r="D11" s="2">
        <v>0</v>
      </c>
      <c r="E11" s="2">
        <v>41581.33</v>
      </c>
      <c r="F11" s="2">
        <f>SUM(E10:E11)</f>
        <v>71581.33</v>
      </c>
      <c r="G11" s="2"/>
      <c r="H11" s="2">
        <v>41656.33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11</v>
      </c>
      <c r="C13" s="2">
        <v>1350</v>
      </c>
      <c r="D13" s="2">
        <v>0</v>
      </c>
      <c r="E13" s="2">
        <v>51657.24</v>
      </c>
      <c r="F13" s="2"/>
      <c r="G13" s="2" t="s">
        <v>23</v>
      </c>
      <c r="H13" s="2">
        <v>51732.24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950</v>
      </c>
      <c r="D15" s="2">
        <v>0</v>
      </c>
      <c r="E15" s="2">
        <v>35314.31</v>
      </c>
      <c r="F15" s="2"/>
      <c r="G15" s="2"/>
      <c r="H15" s="2">
        <v>35389.31</v>
      </c>
    </row>
    <row r="16" spans="1:8" x14ac:dyDescent="0.25">
      <c r="A16" t="s">
        <v>17</v>
      </c>
      <c r="B16" t="s">
        <v>14</v>
      </c>
      <c r="C16" s="2">
        <v>750</v>
      </c>
      <c r="D16" s="2">
        <v>0</v>
      </c>
      <c r="E16" s="2">
        <v>27962</v>
      </c>
      <c r="F16" s="2">
        <f>SUM(E15:E16)</f>
        <v>63276.31</v>
      </c>
      <c r="G16" s="2"/>
      <c r="H16" s="2">
        <v>28037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14</v>
      </c>
      <c r="C18" s="2">
        <v>850</v>
      </c>
      <c r="D18" s="2">
        <v>0</v>
      </c>
      <c r="E18" s="2">
        <v>30303.439999999999</v>
      </c>
      <c r="F18" s="2"/>
      <c r="G18" s="2"/>
      <c r="H18" s="2">
        <v>30378.44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11</v>
      </c>
      <c r="C20" s="2">
        <v>750</v>
      </c>
      <c r="D20" s="2">
        <v>0</v>
      </c>
      <c r="E20" s="2">
        <v>27752.44</v>
      </c>
      <c r="F20" s="2"/>
      <c r="G20" s="2"/>
      <c r="H20" s="2">
        <v>27827.439999999999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11</v>
      </c>
      <c r="C22" s="2">
        <v>950</v>
      </c>
      <c r="D22" s="2">
        <v>0</v>
      </c>
      <c r="E22" s="2">
        <v>39661</v>
      </c>
      <c r="F22" s="2"/>
      <c r="G22" s="2"/>
      <c r="H22" s="2">
        <v>39736</v>
      </c>
    </row>
    <row r="23" spans="1:8" x14ac:dyDescent="0.25">
      <c r="A23" s="1"/>
      <c r="B23" s="1"/>
      <c r="C23" s="3">
        <f>SUM(C4:C22)</f>
        <v>10350</v>
      </c>
      <c r="D23" s="3">
        <f>SUM(D4:D22)</f>
        <v>0</v>
      </c>
      <c r="E23" s="3">
        <f>SUM(E4:E22)</f>
        <v>397851.43</v>
      </c>
      <c r="F23" s="3"/>
      <c r="G23" s="3"/>
      <c r="H23" s="3">
        <f>SUM(H4:H22)</f>
        <v>398676.43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845B-581D-428D-904E-EF2BD7E16E1F}">
  <sheetPr>
    <pageSetUpPr fitToPage="1"/>
  </sheetPr>
  <dimension ref="A1:M17"/>
  <sheetViews>
    <sheetView workbookViewId="0">
      <pane ySplit="3" topLeftCell="A4" activePane="bottomLeft" state="frozen"/>
      <selection pane="bottomLeft" activeCell="A4" sqref="A4:A14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7109375" style="8" bestFit="1" customWidth="1"/>
    <col min="5" max="5" width="18.7109375" style="8" bestFit="1" customWidth="1"/>
    <col min="6" max="6" width="26.7109375" style="8" bestFit="1" customWidth="1"/>
    <col min="7" max="7" width="17.7109375" style="8" bestFit="1" customWidth="1"/>
    <col min="8" max="8" width="17.140625" style="8" bestFit="1" customWidth="1"/>
    <col min="9" max="9" width="31.85546875" style="8" bestFit="1" customWidth="1"/>
    <col min="10" max="10" width="27.85546875" style="8" bestFit="1" customWidth="1"/>
    <col min="11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45751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85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84</v>
      </c>
      <c r="B3" s="9" t="s">
        <v>83</v>
      </c>
      <c r="C3" s="9" t="s">
        <v>82</v>
      </c>
      <c r="D3" s="9" t="s">
        <v>81</v>
      </c>
      <c r="E3" s="9" t="s">
        <v>80</v>
      </c>
      <c r="F3" s="9" t="s">
        <v>4</v>
      </c>
      <c r="G3" s="9" t="s">
        <v>5</v>
      </c>
      <c r="H3" s="9" t="s">
        <v>79</v>
      </c>
      <c r="I3" s="9" t="s">
        <v>78</v>
      </c>
      <c r="J3" s="9" t="s">
        <v>77</v>
      </c>
      <c r="K3" s="9" t="s">
        <v>76</v>
      </c>
      <c r="L3" s="9" t="s">
        <v>75</v>
      </c>
      <c r="M3" s="9"/>
    </row>
    <row r="4" spans="1:13" ht="35.1" customHeight="1" x14ac:dyDescent="0.25">
      <c r="A4" s="9" t="s">
        <v>74</v>
      </c>
      <c r="B4" s="9" t="s">
        <v>44</v>
      </c>
      <c r="C4" s="9" t="s">
        <v>28</v>
      </c>
      <c r="D4" s="9" t="s">
        <v>73</v>
      </c>
      <c r="E4" s="9"/>
      <c r="F4" s="9" t="s">
        <v>10</v>
      </c>
      <c r="G4" s="9" t="s">
        <v>11</v>
      </c>
      <c r="H4" s="14">
        <v>47286.67</v>
      </c>
      <c r="I4" s="9" t="s">
        <v>72</v>
      </c>
      <c r="J4" s="9"/>
      <c r="K4" s="9" t="s">
        <v>71</v>
      </c>
      <c r="L4" s="9"/>
      <c r="M4" s="9"/>
    </row>
    <row r="5" spans="1:13" ht="35.1" customHeight="1" x14ac:dyDescent="0.25">
      <c r="A5" s="9" t="s">
        <v>70</v>
      </c>
      <c r="B5" s="9" t="s">
        <v>29</v>
      </c>
      <c r="C5" s="9" t="s">
        <v>28</v>
      </c>
      <c r="D5" s="9" t="s">
        <v>69</v>
      </c>
      <c r="E5" s="9"/>
      <c r="F5" s="9" t="s">
        <v>17</v>
      </c>
      <c r="G5" s="9" t="s">
        <v>11</v>
      </c>
      <c r="H5" s="14">
        <v>35389.31</v>
      </c>
      <c r="I5" s="9" t="s">
        <v>68</v>
      </c>
      <c r="J5" s="9"/>
      <c r="K5" s="9" t="s">
        <v>67</v>
      </c>
      <c r="L5" s="9"/>
      <c r="M5" s="9"/>
    </row>
    <row r="6" spans="1:13" ht="35.1" customHeight="1" x14ac:dyDescent="0.25">
      <c r="A6" s="9" t="s">
        <v>66</v>
      </c>
      <c r="B6" s="9" t="s">
        <v>44</v>
      </c>
      <c r="C6" s="9" t="s">
        <v>34</v>
      </c>
      <c r="D6" s="9" t="s">
        <v>65</v>
      </c>
      <c r="E6" s="9" t="s">
        <v>64</v>
      </c>
      <c r="F6" s="9" t="s">
        <v>19</v>
      </c>
      <c r="G6" s="9" t="s">
        <v>11</v>
      </c>
      <c r="H6" s="14">
        <v>27827.439999999999</v>
      </c>
      <c r="I6" s="9" t="s">
        <v>63</v>
      </c>
      <c r="J6" s="9" t="s">
        <v>63</v>
      </c>
      <c r="K6" s="9" t="s">
        <v>62</v>
      </c>
      <c r="L6" s="9" t="s">
        <v>61</v>
      </c>
      <c r="M6" s="9"/>
    </row>
    <row r="7" spans="1:13" ht="35.1" customHeight="1" x14ac:dyDescent="0.25">
      <c r="A7" s="9" t="s">
        <v>60</v>
      </c>
      <c r="B7" s="9" t="s">
        <v>44</v>
      </c>
      <c r="C7" s="9" t="s">
        <v>28</v>
      </c>
      <c r="D7" s="9" t="s">
        <v>59</v>
      </c>
      <c r="E7" s="9"/>
      <c r="F7" s="9" t="s">
        <v>20</v>
      </c>
      <c r="G7" s="9" t="s">
        <v>11</v>
      </c>
      <c r="H7" s="14">
        <v>39736</v>
      </c>
      <c r="I7" s="9" t="s">
        <v>58</v>
      </c>
      <c r="J7" s="9"/>
      <c r="K7" s="9" t="s">
        <v>57</v>
      </c>
      <c r="L7" s="9"/>
      <c r="M7" s="9"/>
    </row>
    <row r="8" spans="1:13" ht="35.1" customHeight="1" x14ac:dyDescent="0.25">
      <c r="A8" s="9" t="s">
        <v>56</v>
      </c>
      <c r="B8" s="9" t="s">
        <v>29</v>
      </c>
      <c r="C8" s="9" t="s">
        <v>28</v>
      </c>
      <c r="D8" s="9" t="s">
        <v>55</v>
      </c>
      <c r="E8" s="9"/>
      <c r="F8" s="9" t="s">
        <v>12</v>
      </c>
      <c r="G8" s="9" t="s">
        <v>11</v>
      </c>
      <c r="H8" s="14">
        <v>36976.06</v>
      </c>
      <c r="I8" s="9" t="s">
        <v>54</v>
      </c>
      <c r="J8" s="9"/>
      <c r="K8" s="9" t="s">
        <v>53</v>
      </c>
      <c r="L8" s="9"/>
      <c r="M8" s="9"/>
    </row>
    <row r="9" spans="1:13" ht="35.1" customHeight="1" x14ac:dyDescent="0.25">
      <c r="A9" s="9" t="s">
        <v>52</v>
      </c>
      <c r="B9" s="9" t="s">
        <v>29</v>
      </c>
      <c r="C9" s="9" t="s">
        <v>28</v>
      </c>
      <c r="D9" s="9" t="s">
        <v>51</v>
      </c>
      <c r="E9" s="9"/>
      <c r="F9" s="9" t="s">
        <v>17</v>
      </c>
      <c r="G9" s="9" t="s">
        <v>14</v>
      </c>
      <c r="H9" s="14">
        <v>28037</v>
      </c>
      <c r="I9" s="9"/>
      <c r="J9" s="9"/>
      <c r="K9" s="9" t="s">
        <v>50</v>
      </c>
      <c r="L9" s="9"/>
      <c r="M9" s="9"/>
    </row>
    <row r="10" spans="1:13" ht="35.1" customHeight="1" x14ac:dyDescent="0.25">
      <c r="A10" s="9" t="s">
        <v>49</v>
      </c>
      <c r="B10" s="9" t="s">
        <v>29</v>
      </c>
      <c r="C10" s="9" t="s">
        <v>28</v>
      </c>
      <c r="D10" s="9" t="s">
        <v>48</v>
      </c>
      <c r="E10" s="9"/>
      <c r="F10" s="9" t="s">
        <v>16</v>
      </c>
      <c r="G10" s="9" t="s">
        <v>11</v>
      </c>
      <c r="H10" s="14">
        <v>51732.24</v>
      </c>
      <c r="I10" s="9" t="s">
        <v>47</v>
      </c>
      <c r="J10" s="9"/>
      <c r="K10" s="9" t="s">
        <v>46</v>
      </c>
      <c r="L10" s="9"/>
      <c r="M10" s="9"/>
    </row>
    <row r="11" spans="1:13" ht="35.1" customHeight="1" x14ac:dyDescent="0.25">
      <c r="A11" s="9" t="s">
        <v>45</v>
      </c>
      <c r="B11" s="9" t="s">
        <v>44</v>
      </c>
      <c r="C11" s="9" t="s">
        <v>34</v>
      </c>
      <c r="D11" s="9" t="s">
        <v>43</v>
      </c>
      <c r="E11" s="9"/>
      <c r="F11" s="9" t="s">
        <v>18</v>
      </c>
      <c r="G11" s="9" t="s">
        <v>14</v>
      </c>
      <c r="H11" s="14">
        <v>30378.44</v>
      </c>
      <c r="I11" s="9"/>
      <c r="J11" s="9"/>
      <c r="K11" s="9" t="s">
        <v>42</v>
      </c>
      <c r="L11" s="9"/>
      <c r="M11" s="9"/>
    </row>
    <row r="12" spans="1:13" ht="35.1" customHeight="1" x14ac:dyDescent="0.25">
      <c r="A12" s="9" t="s">
        <v>41</v>
      </c>
      <c r="B12" s="9" t="s">
        <v>29</v>
      </c>
      <c r="C12" s="9" t="s">
        <v>28</v>
      </c>
      <c r="D12" s="9" t="s">
        <v>40</v>
      </c>
      <c r="E12" s="9" t="s">
        <v>39</v>
      </c>
      <c r="F12" s="9" t="s">
        <v>15</v>
      </c>
      <c r="G12" s="9" t="s">
        <v>14</v>
      </c>
      <c r="H12" s="14">
        <v>30075</v>
      </c>
      <c r="I12" s="9" t="s">
        <v>38</v>
      </c>
      <c r="J12" s="9"/>
      <c r="K12" s="9" t="s">
        <v>37</v>
      </c>
      <c r="L12" s="9" t="s">
        <v>36</v>
      </c>
      <c r="M12" s="9"/>
    </row>
    <row r="13" spans="1:13" ht="35.1" customHeight="1" x14ac:dyDescent="0.25">
      <c r="A13" s="9" t="s">
        <v>35</v>
      </c>
      <c r="B13" s="9" t="s">
        <v>29</v>
      </c>
      <c r="C13" s="9" t="s">
        <v>34</v>
      </c>
      <c r="D13" s="9" t="s">
        <v>33</v>
      </c>
      <c r="E13" s="9" t="s">
        <v>32</v>
      </c>
      <c r="F13" s="9" t="s">
        <v>13</v>
      </c>
      <c r="G13" s="9" t="s">
        <v>14</v>
      </c>
      <c r="H13" s="14">
        <v>29581.94</v>
      </c>
      <c r="I13" s="9"/>
      <c r="J13" s="9"/>
      <c r="K13" s="9" t="s">
        <v>31</v>
      </c>
      <c r="L13" s="9"/>
      <c r="M13" s="9"/>
    </row>
    <row r="14" spans="1:13" ht="35.1" customHeight="1" x14ac:dyDescent="0.25">
      <c r="A14" s="9" t="s">
        <v>30</v>
      </c>
      <c r="B14" s="9" t="s">
        <v>29</v>
      </c>
      <c r="C14" s="9" t="s">
        <v>28</v>
      </c>
      <c r="D14" s="9" t="s">
        <v>27</v>
      </c>
      <c r="E14" s="9"/>
      <c r="F14" s="9" t="s">
        <v>15</v>
      </c>
      <c r="G14" s="9" t="s">
        <v>14</v>
      </c>
      <c r="H14" s="14">
        <v>41656.33</v>
      </c>
      <c r="I14" s="9" t="s">
        <v>26</v>
      </c>
      <c r="J14" s="9"/>
      <c r="K14" s="9" t="s">
        <v>25</v>
      </c>
      <c r="L14" s="9"/>
      <c r="M14" s="9"/>
    </row>
    <row r="15" spans="1:13" ht="35.1" customHeight="1" x14ac:dyDescent="0.25">
      <c r="A15" s="15"/>
      <c r="B15" s="15"/>
      <c r="C15" s="15"/>
      <c r="D15" s="15" t="s">
        <v>24</v>
      </c>
      <c r="E15" s="15"/>
      <c r="F15" s="15"/>
      <c r="G15" s="15"/>
      <c r="H15" s="16">
        <f>SUM(H4:H14)</f>
        <v>398676.43</v>
      </c>
      <c r="I15" s="15"/>
      <c r="J15" s="15"/>
      <c r="K15" s="15"/>
      <c r="L15" s="15"/>
      <c r="M15" s="9"/>
    </row>
    <row r="16" spans="1:13" ht="35.1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3374-9907-493E-8FE4-1A0B73363F82}">
  <sheetPr>
    <pageSetUpPr fitToPage="1"/>
  </sheetPr>
  <dimension ref="A1:E33"/>
  <sheetViews>
    <sheetView workbookViewId="0">
      <pane ySplit="3" topLeftCell="A4" activePane="bottomLeft" state="frozen"/>
      <selection pane="bottomLeft" activeCell="D24" sqref="D24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7109375" style="8" bestFit="1" customWidth="1"/>
    <col min="4" max="4" width="18.7109375" style="8" bestFit="1" customWidth="1"/>
    <col min="5" max="5" width="26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45751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90</v>
      </c>
      <c r="E2" s="12"/>
    </row>
    <row r="3" spans="1:5" x14ac:dyDescent="0.25">
      <c r="A3" s="9" t="s">
        <v>84</v>
      </c>
      <c r="B3" s="9" t="s">
        <v>82</v>
      </c>
      <c r="C3" s="9" t="s">
        <v>81</v>
      </c>
      <c r="D3" s="9" t="s">
        <v>80</v>
      </c>
      <c r="E3" s="9" t="s">
        <v>4</v>
      </c>
    </row>
    <row r="4" spans="1:5" x14ac:dyDescent="0.25">
      <c r="A4" s="9" t="s">
        <v>66</v>
      </c>
      <c r="B4" s="9" t="s">
        <v>34</v>
      </c>
      <c r="C4" s="9" t="s">
        <v>65</v>
      </c>
      <c r="D4" s="9" t="s">
        <v>64</v>
      </c>
      <c r="E4" s="9" t="s">
        <v>19</v>
      </c>
    </row>
    <row r="5" spans="1:5" x14ac:dyDescent="0.25">
      <c r="A5" s="9" t="s">
        <v>45</v>
      </c>
      <c r="B5" s="9" t="s">
        <v>34</v>
      </c>
      <c r="C5" s="9" t="s">
        <v>43</v>
      </c>
      <c r="D5" s="9"/>
      <c r="E5" s="9" t="s">
        <v>18</v>
      </c>
    </row>
    <row r="6" spans="1:5" x14ac:dyDescent="0.25">
      <c r="A6" s="9" t="s">
        <v>35</v>
      </c>
      <c r="B6" s="9" t="s">
        <v>34</v>
      </c>
      <c r="C6" s="9" t="s">
        <v>33</v>
      </c>
      <c r="D6" s="9" t="s">
        <v>32</v>
      </c>
      <c r="E6" s="9" t="s">
        <v>13</v>
      </c>
    </row>
    <row r="7" spans="1:5" x14ac:dyDescent="0.25">
      <c r="A7" s="15"/>
      <c r="B7" s="15"/>
      <c r="C7" s="15" t="s">
        <v>89</v>
      </c>
      <c r="D7" s="15"/>
      <c r="E7" s="15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88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87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86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  <row r="31" spans="1:5" x14ac:dyDescent="0.25">
      <c r="A31" s="9"/>
      <c r="B31" s="9"/>
      <c r="C31" s="9"/>
      <c r="D31" s="9"/>
      <c r="E31" s="9"/>
    </row>
    <row r="32" spans="1:5" x14ac:dyDescent="0.25">
      <c r="A32" s="9"/>
      <c r="B32" s="9"/>
      <c r="C32" s="9"/>
      <c r="D32" s="9"/>
      <c r="E32" s="9"/>
    </row>
    <row r="33" spans="1:5" x14ac:dyDescent="0.25">
      <c r="A33" s="9"/>
      <c r="B33" s="9"/>
      <c r="C33" s="9"/>
      <c r="D33" s="9"/>
      <c r="E33" s="9"/>
    </row>
  </sheetData>
  <mergeCells count="2">
    <mergeCell ref="A2:C2"/>
    <mergeCell ref="D2:E2"/>
  </mergeCells>
  <pageMargins left="0.7" right="0.7" top="0.75" bottom="0.75" header="0.3" footer="0.3"/>
  <pageSetup scale="8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2025-04-04T17:32:01Z</cp:lastPrinted>
  <dcterms:created xsi:type="dcterms:W3CDTF">2025-04-04T17:13:43Z</dcterms:created>
  <dcterms:modified xsi:type="dcterms:W3CDTF">2025-04-04T17:36:00Z</dcterms:modified>
</cp:coreProperties>
</file>