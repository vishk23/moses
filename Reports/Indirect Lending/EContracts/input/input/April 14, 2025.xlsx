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24DE2E73-F497-4ADD-99AF-B5EBC4588B5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F9" i="1"/>
  <c r="H36" i="1"/>
  <c r="E36" i="1"/>
  <c r="D36" i="1"/>
  <c r="C36" i="1"/>
</calcChain>
</file>

<file path=xl/sharedStrings.xml><?xml version="1.0" encoding="utf-8"?>
<sst xmlns="http://schemas.openxmlformats.org/spreadsheetml/2006/main" count="232" uniqueCount="124">
  <si>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</si>
  <si>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</si>
  <si>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</si>
  <si>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</si>
  <si>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</si>
  <si>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</si>
  <si>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</si>
  <si>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</si>
  <si>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</si>
  <si>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</si>
  <si>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</si>
  <si>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</si>
  <si>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Anchor Nissan</t>
  </si>
  <si>
    <t>Rachel Gorham</t>
  </si>
  <si>
    <t>Grieco Enterprises, LLC d/b/a</t>
  </si>
  <si>
    <t>Marlene Braganca</t>
  </si>
  <si>
    <t>Hiller Co Inc</t>
  </si>
  <si>
    <t>Hylan Auto Sales</t>
  </si>
  <si>
    <t>Lucchettis Service Center Inc</t>
  </si>
  <si>
    <t>Mastria Buick Pontiac</t>
  </si>
  <si>
    <t>Metro Honda</t>
  </si>
  <si>
    <t>Planet Automotive Sales LLC</t>
  </si>
  <si>
    <t>Richard Lundgren, Inc. d/b/a</t>
  </si>
  <si>
    <t>Salvadore Chevrolet</t>
  </si>
  <si>
    <t>Salvadore Chrysler</t>
  </si>
  <si>
    <t>T F Murphy Enterprises Inc</t>
  </si>
  <si>
    <t>Viti Mercedes</t>
  </si>
  <si>
    <t>Volvo of Tiverton</t>
  </si>
  <si>
    <t>Wareham Ford</t>
  </si>
  <si>
    <t>Column1</t>
  </si>
  <si>
    <t>Column2</t>
  </si>
  <si>
    <t>4453    2150</t>
  </si>
  <si>
    <t># 17</t>
  </si>
  <si>
    <t>HADDAD</t>
  </si>
  <si>
    <t>PAILTHORPE</t>
  </si>
  <si>
    <t>LANOIE, BERNARD</t>
  </si>
  <si>
    <t>LANOIE, JESSICA</t>
  </si>
  <si>
    <t>E Contract</t>
  </si>
  <si>
    <t>DealerTrack</t>
  </si>
  <si>
    <t>151168228e</t>
  </si>
  <si>
    <t>BOTTOMLEY</t>
  </si>
  <si>
    <t>OSTACYANN1990@GMAIL.COM</t>
  </si>
  <si>
    <t>OSHAUGHNESSY, STACY</t>
  </si>
  <si>
    <t>Paper</t>
  </si>
  <si>
    <t>151168161</t>
  </si>
  <si>
    <t>ROOTED FAMILY FARM LLC</t>
  </si>
  <si>
    <t>CONNOR</t>
  </si>
  <si>
    <t>TODD.GUERDAT@GMAIL.COM</t>
  </si>
  <si>
    <t>GUERDAT, TODD</t>
  </si>
  <si>
    <t>151168111e</t>
  </si>
  <si>
    <t>Silva</t>
  </si>
  <si>
    <t>RAYDAMASO@GMAIL.COM</t>
  </si>
  <si>
    <t>DAMASO, RAYMOND</t>
  </si>
  <si>
    <t>151168012e</t>
  </si>
  <si>
    <t>LANE</t>
  </si>
  <si>
    <t>aschneidbuilt@comcast.net</t>
  </si>
  <si>
    <t>Schneider, Anthony</t>
  </si>
  <si>
    <t>Route One</t>
  </si>
  <si>
    <t>151168004</t>
  </si>
  <si>
    <t>Dutra</t>
  </si>
  <si>
    <t>jd2974@gmail.com</t>
  </si>
  <si>
    <t>cdiagle1313@gmail.com</t>
  </si>
  <si>
    <t>Daigle, John</t>
  </si>
  <si>
    <t>Daigle, Christine</t>
  </si>
  <si>
    <t>151167973e</t>
  </si>
  <si>
    <t>SARNOWSKI</t>
  </si>
  <si>
    <t>BIOTY@VERIZON.NET</t>
  </si>
  <si>
    <t>BIOTY, CHRISTOPHER</t>
  </si>
  <si>
    <t>151167965e</t>
  </si>
  <si>
    <t>MOLLOY</t>
  </si>
  <si>
    <t>SFHHAMILTON@YAHOO.COM</t>
  </si>
  <si>
    <t>HAMILTON, SETH</t>
  </si>
  <si>
    <t>151167957</t>
  </si>
  <si>
    <t>GOUVIEA</t>
  </si>
  <si>
    <t>MANA822@GMAIL.COM</t>
  </si>
  <si>
    <t>REALL, FILOMENA</t>
  </si>
  <si>
    <t>151167931e</t>
  </si>
  <si>
    <t>WINCHENBAUGH</t>
  </si>
  <si>
    <t>SWAYLIK, SCOTT</t>
  </si>
  <si>
    <t>151167923</t>
  </si>
  <si>
    <t>FONSECA</t>
  </si>
  <si>
    <t>mmdeoliveira126@gmail.com</t>
  </si>
  <si>
    <t>DEOLIVEIRA, MONIQUE</t>
  </si>
  <si>
    <t>151167907e</t>
  </si>
  <si>
    <t>Penney</t>
  </si>
  <si>
    <t>blpoohbear@gmail.com</t>
  </si>
  <si>
    <t>Lillie, Brenda</t>
  </si>
  <si>
    <t>151167882e</t>
  </si>
  <si>
    <t>RIZZO</t>
  </si>
  <si>
    <t>BTRAVERSE18@GMAIL.COM</t>
  </si>
  <si>
    <t>TRAVERSE, BETHANY</t>
  </si>
  <si>
    <t>151167858e</t>
  </si>
  <si>
    <t>BANSCHER</t>
  </si>
  <si>
    <t>JOHNMR88@AOL.COM</t>
  </si>
  <si>
    <t>RICHARDSON, JOHN</t>
  </si>
  <si>
    <t>151167840e</t>
  </si>
  <si>
    <t>Midgley</t>
  </si>
  <si>
    <t>GRMDAM@VERIZON.NET</t>
  </si>
  <si>
    <t>MEDEIROS, GEORGE</t>
  </si>
  <si>
    <t>151167791e</t>
  </si>
  <si>
    <t>Oyola</t>
  </si>
  <si>
    <t>Z91LEIKA@GMAIL.COM</t>
  </si>
  <si>
    <t>PAEZ OYOLA, ZULEIKA</t>
  </si>
  <si>
    <t>151167783e</t>
  </si>
  <si>
    <t>Bernt</t>
  </si>
  <si>
    <t>EVANROSE2@GMAIL.COM</t>
  </si>
  <si>
    <t>ROSE, EVAN</t>
  </si>
  <si>
    <t>151167717e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</si>
  <si>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</si>
  <si>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</si>
  <si>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</si>
  <si>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</si>
  <si>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</si>
  <si>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</si>
  <si>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</si>
  <si>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</si>
  <si>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</si>
  <si>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</si>
  <si>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</si>
  <si>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</t>
  </si>
  <si>
    <t>Received By___________________________________________________________________________</t>
  </si>
  <si>
    <t>Delivered By___________________________________________________________________________</t>
  </si>
  <si>
    <t># 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</si>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</sst>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D7070216-4AC5-469E-9AAE-5BB5DD0A9C7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7DF0C7C2-5BB4-4E5F-B286-1F94569E0533}" name="Column1" dataDxfId="23"/>
    <tableColumn id="8" xr3:uid="{0BEDEBA6-AC69-482B-AAA3-054C48455BB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C1345D-0D5E-43E6-8EF3-1B3D8AB394E1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42524D-425C-4213-B8FD-6DC3E8649305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workbookViewId="0">
      <pane ySplit="3" topLeftCell="A4" activePane="bottomLeft" state="frozen"/>
      <selection pane="bottomLeft" activeCell="E35" sqref="E35"/>
    </sheetView>
  </sheetViews>
  <sheetFormatPr defaultRowHeight="15" x14ac:dyDescent="0.25"/>
  <cols>
    <col min="1" max="1" width="27.85546875" bestFit="1" customWidth="1"/>
    <col min="2" max="2" width="17.7109375" bestFit="1" customWidth="1"/>
    <col min="3" max="3" width="11.140625" bestFit="1" customWidth="1"/>
    <col min="4" max="4" width="14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45761</v>
      </c>
      <c r="E1" t="s">
        <v>2</v>
      </c>
      <c r="H1" s="4">
        <v>45761.999988425923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29</v>
      </c>
      <c r="G3" t="s">
        <v>30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16288.63</v>
      </c>
      <c r="F4" s="2"/>
      <c r="G4" s="2"/>
      <c r="H4" s="2">
        <v>16363.63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1500</v>
      </c>
      <c r="D6" s="2">
        <v>0</v>
      </c>
      <c r="E6" s="2">
        <v>87183.2</v>
      </c>
      <c r="F6" s="2"/>
      <c r="G6" s="2"/>
      <c r="H6" s="2">
        <v>87258.2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750</v>
      </c>
      <c r="D8" s="2">
        <v>0</v>
      </c>
      <c r="E8" s="2">
        <v>27435.279999999999</v>
      </c>
      <c r="F8" s="2"/>
      <c r="G8" s="2"/>
      <c r="H8" s="2">
        <v>27510.28</v>
      </c>
    </row>
    <row r="9" spans="1:8" x14ac:dyDescent="0.25">
      <c r="A9" t="s">
        <v>14</v>
      </c>
      <c r="B9" t="s">
        <v>15</v>
      </c>
      <c r="C9" s="2">
        <v>650</v>
      </c>
      <c r="D9" s="2">
        <v>0</v>
      </c>
      <c r="E9" s="2">
        <v>22702.14</v>
      </c>
      <c r="F9" s="2">
        <f>SUM(E8:E9)</f>
        <v>50137.42</v>
      </c>
      <c r="G9" s="2"/>
      <c r="H9" s="2">
        <v>22777.14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16</v>
      </c>
      <c r="B11" t="s">
        <v>11</v>
      </c>
      <c r="C11" s="2">
        <v>850</v>
      </c>
      <c r="D11" s="2">
        <v>0</v>
      </c>
      <c r="E11" s="2">
        <v>34775.65</v>
      </c>
      <c r="F11" s="2"/>
      <c r="G11" s="2"/>
      <c r="H11" s="2">
        <v>34850.65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17</v>
      </c>
      <c r="B13" t="s">
        <v>11</v>
      </c>
      <c r="C13" s="2">
        <v>950</v>
      </c>
      <c r="D13" s="2">
        <v>0</v>
      </c>
      <c r="E13" s="2">
        <v>39361.919999999998</v>
      </c>
      <c r="F13" s="2"/>
      <c r="G13" s="2"/>
      <c r="H13" s="2">
        <v>39436.92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18</v>
      </c>
      <c r="B15" t="s">
        <v>11</v>
      </c>
      <c r="C15" s="2">
        <v>950</v>
      </c>
      <c r="D15" s="2">
        <v>0</v>
      </c>
      <c r="E15" s="2">
        <v>37222</v>
      </c>
      <c r="F15" s="2"/>
      <c r="G15" s="2"/>
      <c r="H15" s="2">
        <v>37297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19</v>
      </c>
      <c r="B17" t="s">
        <v>15</v>
      </c>
      <c r="C17" s="2">
        <v>850</v>
      </c>
      <c r="D17" s="2">
        <v>0</v>
      </c>
      <c r="E17" s="2">
        <v>32763.05</v>
      </c>
      <c r="F17" s="2"/>
      <c r="G17" s="2" t="s">
        <v>31</v>
      </c>
      <c r="H17" s="2">
        <v>32838.050000000003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20</v>
      </c>
      <c r="B19" t="s">
        <v>13</v>
      </c>
      <c r="C19" s="2">
        <v>1350</v>
      </c>
      <c r="D19" s="2">
        <v>0</v>
      </c>
      <c r="E19" s="2">
        <v>50061.56</v>
      </c>
      <c r="F19" s="2"/>
      <c r="G19" s="2"/>
      <c r="H19" s="2">
        <v>50136.56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21</v>
      </c>
      <c r="B21" t="s">
        <v>11</v>
      </c>
      <c r="C21" s="2">
        <v>950</v>
      </c>
      <c r="D21" s="2">
        <v>0</v>
      </c>
      <c r="E21" s="2">
        <v>36928.31</v>
      </c>
      <c r="F21" s="2"/>
      <c r="G21" s="2"/>
      <c r="H21" s="2">
        <v>37003.31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22</v>
      </c>
      <c r="B23" t="s">
        <v>13</v>
      </c>
      <c r="C23" s="2">
        <v>950</v>
      </c>
      <c r="D23" s="2">
        <v>0</v>
      </c>
      <c r="E23" s="2">
        <v>39591.06</v>
      </c>
      <c r="F23" s="2"/>
      <c r="G23" s="2"/>
      <c r="H23" s="2">
        <v>39666.06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23</v>
      </c>
      <c r="B25" t="s">
        <v>11</v>
      </c>
      <c r="C25" s="2">
        <v>650</v>
      </c>
      <c r="D25" s="2">
        <v>0</v>
      </c>
      <c r="E25" s="2">
        <v>23560.5</v>
      </c>
      <c r="F25" s="2"/>
      <c r="G25" s="2"/>
      <c r="H25" s="2">
        <v>23635.5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24</v>
      </c>
      <c r="B27" t="s">
        <v>11</v>
      </c>
      <c r="C27" s="2">
        <v>750</v>
      </c>
      <c r="D27" s="2">
        <v>0</v>
      </c>
      <c r="E27" s="2">
        <v>27292.69</v>
      </c>
      <c r="F27" s="2"/>
      <c r="G27" s="2"/>
      <c r="H27" s="2">
        <v>27367.69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25</v>
      </c>
      <c r="B29" t="s">
        <v>11</v>
      </c>
      <c r="C29" s="2">
        <v>950</v>
      </c>
      <c r="D29" s="2">
        <v>0</v>
      </c>
      <c r="E29" s="2">
        <v>34984.31</v>
      </c>
      <c r="F29" s="2"/>
      <c r="G29" s="2"/>
      <c r="H29" s="2">
        <v>35059.31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26</v>
      </c>
      <c r="B31" t="s">
        <v>15</v>
      </c>
      <c r="C31" s="2">
        <v>500</v>
      </c>
      <c r="D31" s="2">
        <v>0</v>
      </c>
      <c r="E31" s="2">
        <v>18495.560000000001</v>
      </c>
      <c r="F31" s="2"/>
      <c r="G31" s="2"/>
      <c r="H31" s="2">
        <v>18570.560000000001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27</v>
      </c>
      <c r="B33" t="s">
        <v>13</v>
      </c>
      <c r="C33" s="2">
        <v>950</v>
      </c>
      <c r="D33" s="2">
        <v>0</v>
      </c>
      <c r="E33" s="2">
        <v>38524.26</v>
      </c>
      <c r="F33" s="2"/>
      <c r="G33" s="2"/>
      <c r="H33" s="2">
        <v>38599.26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28</v>
      </c>
      <c r="B35" t="s">
        <v>11</v>
      </c>
      <c r="C35" s="2">
        <v>750</v>
      </c>
      <c r="D35" s="2">
        <v>0</v>
      </c>
      <c r="E35" s="2">
        <v>28278</v>
      </c>
      <c r="F35" s="2"/>
      <c r="G35" s="2"/>
      <c r="H35" s="2">
        <v>28353</v>
      </c>
    </row>
    <row r="36" spans="1:8" x14ac:dyDescent="0.25">
      <c r="A36" s="1"/>
      <c r="B36" s="1"/>
      <c r="C36" s="3">
        <f>SUM(C4:C35)</f>
        <v>14800</v>
      </c>
      <c r="D36" s="3">
        <f>SUM(D4:D35)</f>
        <v>0</v>
      </c>
      <c r="E36" s="3">
        <f>SUM(E4:E35)</f>
        <v>595448.12</v>
      </c>
      <c r="F36" s="3"/>
      <c r="G36" s="3"/>
      <c r="H36" s="3">
        <f>SUM(H4:H35)</f>
        <v>596723.12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4913-A570-4AE5-AD64-C635A039CF62}">
  <sheetPr>
    <pageSetUpPr fitToPage="1"/>
  </sheetPr>
  <dimension ref="A1:L26"/>
  <sheetViews>
    <sheetView tabSelected="1" workbookViewId="0">
      <pane ySplit="3" topLeftCell="A11" activePane="bottomLeft" state="frozen"/>
      <selection pane="bottomLeft" activeCell="H18" sqref="H1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5703125" style="8" bestFit="1" customWidth="1"/>
    <col min="5" max="5" width="18.7109375" style="8" bestFit="1" customWidth="1"/>
    <col min="6" max="6" width="27.85546875" style="8" bestFit="1" customWidth="1"/>
    <col min="7" max="7" width="17.7109375" style="8" bestFit="1" customWidth="1"/>
    <col min="8" max="8" width="17.140625" style="8" bestFit="1" customWidth="1"/>
    <col min="9" max="9" width="29.5703125" style="8" bestFit="1" customWidth="1"/>
    <col min="10" max="10" width="18.85546875" style="8" bestFit="1" customWidth="1"/>
    <col min="11" max="11" width="16.57031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45761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118</v>
      </c>
      <c r="H2" s="12"/>
      <c r="I2" s="12"/>
      <c r="J2" s="12"/>
      <c r="K2" s="12"/>
      <c r="L2" s="12"/>
    </row>
    <row r="3" spans="1:12" ht="35.1" customHeight="1" x14ac:dyDescent="0.25">
      <c r="A3" s="9" t="s">
        <v>117</v>
      </c>
      <c r="B3" s="9" t="s">
        <v>116</v>
      </c>
      <c r="C3" s="9" t="s">
        <v>115</v>
      </c>
      <c r="D3" s="9" t="s">
        <v>114</v>
      </c>
      <c r="E3" s="9" t="s">
        <v>113</v>
      </c>
      <c r="F3" s="9" t="s">
        <v>4</v>
      </c>
      <c r="G3" s="9" t="s">
        <v>5</v>
      </c>
      <c r="H3" s="9" t="s">
        <v>112</v>
      </c>
      <c r="I3" s="9" t="s">
        <v>111</v>
      </c>
      <c r="J3" s="9" t="s">
        <v>110</v>
      </c>
      <c r="K3" s="9" t="s">
        <v>109</v>
      </c>
      <c r="L3" s="9" t="s">
        <v>108</v>
      </c>
    </row>
    <row r="4" spans="1:12" ht="35.1" customHeight="1" x14ac:dyDescent="0.25">
      <c r="A4" s="9" t="s">
        <v>107</v>
      </c>
      <c r="B4" s="9" t="s">
        <v>38</v>
      </c>
      <c r="C4" s="9" t="s">
        <v>37</v>
      </c>
      <c r="D4" s="9" t="s">
        <v>106</v>
      </c>
      <c r="E4" s="9"/>
      <c r="F4" s="9" t="s">
        <v>26</v>
      </c>
      <c r="G4" s="9" t="s">
        <v>15</v>
      </c>
      <c r="H4" s="14">
        <v>18570.560000000001</v>
      </c>
      <c r="I4" s="9" t="s">
        <v>105</v>
      </c>
      <c r="J4" s="9"/>
      <c r="K4" s="9" t="s">
        <v>104</v>
      </c>
      <c r="L4" s="9"/>
    </row>
    <row r="5" spans="1:12" ht="35.1" customHeight="1" x14ac:dyDescent="0.25">
      <c r="A5" s="9" t="s">
        <v>103</v>
      </c>
      <c r="B5" s="9" t="s">
        <v>38</v>
      </c>
      <c r="C5" s="9" t="s">
        <v>37</v>
      </c>
      <c r="D5" s="9" t="s">
        <v>102</v>
      </c>
      <c r="E5" s="9"/>
      <c r="F5" s="9" t="s">
        <v>14</v>
      </c>
      <c r="G5" s="9" t="s">
        <v>15</v>
      </c>
      <c r="H5" s="14">
        <v>22777.14</v>
      </c>
      <c r="I5" s="9" t="s">
        <v>101</v>
      </c>
      <c r="J5" s="9"/>
      <c r="K5" s="9" t="s">
        <v>100</v>
      </c>
      <c r="L5" s="9"/>
    </row>
    <row r="6" spans="1:12" ht="35.1" customHeight="1" x14ac:dyDescent="0.25">
      <c r="A6" s="9" t="s">
        <v>99</v>
      </c>
      <c r="B6" s="9" t="s">
        <v>57</v>
      </c>
      <c r="C6" s="9" t="s">
        <v>37</v>
      </c>
      <c r="D6" s="9" t="s">
        <v>98</v>
      </c>
      <c r="E6" s="9"/>
      <c r="F6" s="9" t="s">
        <v>19</v>
      </c>
      <c r="G6" s="9" t="s">
        <v>15</v>
      </c>
      <c r="H6" s="14">
        <v>32838.050000000003</v>
      </c>
      <c r="I6" s="9" t="s">
        <v>97</v>
      </c>
      <c r="J6" s="9"/>
      <c r="K6" s="9" t="s">
        <v>96</v>
      </c>
      <c r="L6" s="9"/>
    </row>
    <row r="7" spans="1:12" ht="35.1" customHeight="1" x14ac:dyDescent="0.25">
      <c r="A7" s="9" t="s">
        <v>95</v>
      </c>
      <c r="B7" s="9" t="s">
        <v>38</v>
      </c>
      <c r="C7" s="9" t="s">
        <v>37</v>
      </c>
      <c r="D7" s="9" t="s">
        <v>94</v>
      </c>
      <c r="E7" s="9"/>
      <c r="F7" s="9" t="s">
        <v>22</v>
      </c>
      <c r="G7" s="9" t="s">
        <v>13</v>
      </c>
      <c r="H7" s="14">
        <v>39666.06</v>
      </c>
      <c r="I7" s="9" t="s">
        <v>93</v>
      </c>
      <c r="J7" s="9"/>
      <c r="K7" s="9" t="s">
        <v>92</v>
      </c>
      <c r="L7" s="9"/>
    </row>
    <row r="8" spans="1:12" ht="35.1" customHeight="1" x14ac:dyDescent="0.25">
      <c r="A8" s="9" t="s">
        <v>91</v>
      </c>
      <c r="B8" s="9" t="s">
        <v>57</v>
      </c>
      <c r="C8" s="9" t="s">
        <v>37</v>
      </c>
      <c r="D8" s="9" t="s">
        <v>90</v>
      </c>
      <c r="E8" s="9"/>
      <c r="F8" s="9" t="s">
        <v>25</v>
      </c>
      <c r="G8" s="9" t="s">
        <v>11</v>
      </c>
      <c r="H8" s="14">
        <v>35059.31</v>
      </c>
      <c r="I8" s="9" t="s">
        <v>89</v>
      </c>
      <c r="J8" s="9"/>
      <c r="K8" s="9" t="s">
        <v>88</v>
      </c>
      <c r="L8" s="9"/>
    </row>
    <row r="9" spans="1:12" ht="35.1" customHeight="1" x14ac:dyDescent="0.25">
      <c r="A9" s="9" t="s">
        <v>87</v>
      </c>
      <c r="B9" s="9" t="s">
        <v>57</v>
      </c>
      <c r="C9" s="9" t="s">
        <v>37</v>
      </c>
      <c r="D9" s="9" t="s">
        <v>86</v>
      </c>
      <c r="E9" s="9"/>
      <c r="F9" s="9" t="s">
        <v>24</v>
      </c>
      <c r="G9" s="9" t="s">
        <v>11</v>
      </c>
      <c r="H9" s="14">
        <v>27367.69</v>
      </c>
      <c r="I9" s="9" t="s">
        <v>85</v>
      </c>
      <c r="J9" s="9"/>
      <c r="K9" s="9" t="s">
        <v>84</v>
      </c>
      <c r="L9" s="9"/>
    </row>
    <row r="10" spans="1:12" ht="35.1" customHeight="1" x14ac:dyDescent="0.25">
      <c r="A10" s="9" t="s">
        <v>83</v>
      </c>
      <c r="B10" s="9" t="s">
        <v>57</v>
      </c>
      <c r="C10" s="9" t="s">
        <v>37</v>
      </c>
      <c r="D10" s="9" t="s">
        <v>82</v>
      </c>
      <c r="E10" s="9"/>
      <c r="F10" s="9" t="s">
        <v>28</v>
      </c>
      <c r="G10" s="9" t="s">
        <v>11</v>
      </c>
      <c r="H10" s="14">
        <v>28353</v>
      </c>
      <c r="I10" s="9" t="s">
        <v>81</v>
      </c>
      <c r="J10" s="9"/>
      <c r="K10" s="9" t="s">
        <v>80</v>
      </c>
      <c r="L10" s="9"/>
    </row>
    <row r="11" spans="1:12" ht="35.1" customHeight="1" x14ac:dyDescent="0.25">
      <c r="A11" s="9" t="s">
        <v>79</v>
      </c>
      <c r="B11" s="9" t="s">
        <v>38</v>
      </c>
      <c r="C11" s="9" t="s">
        <v>43</v>
      </c>
      <c r="D11" s="9" t="s">
        <v>78</v>
      </c>
      <c r="E11" s="9"/>
      <c r="F11" s="9" t="s">
        <v>17</v>
      </c>
      <c r="G11" s="9" t="s">
        <v>11</v>
      </c>
      <c r="H11" s="14">
        <v>39436.92</v>
      </c>
      <c r="I11" s="9"/>
      <c r="J11" s="9"/>
      <c r="K11" s="9" t="s">
        <v>77</v>
      </c>
      <c r="L11" s="9"/>
    </row>
    <row r="12" spans="1:12" ht="35.1" customHeight="1" x14ac:dyDescent="0.25">
      <c r="A12" s="9" t="s">
        <v>76</v>
      </c>
      <c r="B12" s="9" t="s">
        <v>57</v>
      </c>
      <c r="C12" s="9" t="s">
        <v>37</v>
      </c>
      <c r="D12" s="9" t="s">
        <v>75</v>
      </c>
      <c r="E12" s="9"/>
      <c r="F12" s="9" t="s">
        <v>16</v>
      </c>
      <c r="G12" s="9" t="s">
        <v>11</v>
      </c>
      <c r="H12" s="14">
        <v>34850.65</v>
      </c>
      <c r="I12" s="9" t="s">
        <v>74</v>
      </c>
      <c r="J12" s="9"/>
      <c r="K12" s="9" t="s">
        <v>73</v>
      </c>
      <c r="L12" s="9"/>
    </row>
    <row r="13" spans="1:12" ht="35.1" customHeight="1" x14ac:dyDescent="0.25">
      <c r="A13" s="9" t="s">
        <v>72</v>
      </c>
      <c r="B13" s="9" t="s">
        <v>38</v>
      </c>
      <c r="C13" s="9" t="s">
        <v>43</v>
      </c>
      <c r="D13" s="9" t="s">
        <v>71</v>
      </c>
      <c r="E13" s="9"/>
      <c r="F13" s="9" t="s">
        <v>21</v>
      </c>
      <c r="G13" s="9" t="s">
        <v>11</v>
      </c>
      <c r="H13" s="14">
        <v>37003.31</v>
      </c>
      <c r="I13" s="9" t="s">
        <v>70</v>
      </c>
      <c r="J13" s="9"/>
      <c r="K13" s="9" t="s">
        <v>69</v>
      </c>
      <c r="L13" s="9"/>
    </row>
    <row r="14" spans="1:12" ht="35.1" customHeight="1" x14ac:dyDescent="0.25">
      <c r="A14" s="9" t="s">
        <v>68</v>
      </c>
      <c r="B14" s="9" t="s">
        <v>57</v>
      </c>
      <c r="C14" s="9" t="s">
        <v>37</v>
      </c>
      <c r="D14" s="9" t="s">
        <v>67</v>
      </c>
      <c r="E14" s="9"/>
      <c r="F14" s="9" t="s">
        <v>18</v>
      </c>
      <c r="G14" s="9" t="s">
        <v>11</v>
      </c>
      <c r="H14" s="14">
        <v>37297</v>
      </c>
      <c r="I14" s="9" t="s">
        <v>66</v>
      </c>
      <c r="J14" s="9"/>
      <c r="K14" s="9" t="s">
        <v>65</v>
      </c>
      <c r="L14" s="9"/>
    </row>
    <row r="15" spans="1:12" ht="35.1" customHeight="1" x14ac:dyDescent="0.25">
      <c r="A15" s="9" t="s">
        <v>64</v>
      </c>
      <c r="B15" s="9" t="s">
        <v>57</v>
      </c>
      <c r="C15" s="9" t="s">
        <v>37</v>
      </c>
      <c r="D15" s="9" t="s">
        <v>63</v>
      </c>
      <c r="E15" s="9" t="s">
        <v>62</v>
      </c>
      <c r="F15" s="9" t="s">
        <v>23</v>
      </c>
      <c r="G15" s="9" t="s">
        <v>11</v>
      </c>
      <c r="H15" s="14">
        <v>23635.5</v>
      </c>
      <c r="I15" s="9" t="s">
        <v>61</v>
      </c>
      <c r="J15" s="9" t="s">
        <v>60</v>
      </c>
      <c r="K15" s="9" t="s">
        <v>59</v>
      </c>
      <c r="L15" s="9"/>
    </row>
    <row r="16" spans="1:12" ht="35.1" customHeight="1" x14ac:dyDescent="0.25">
      <c r="A16" s="9" t="s">
        <v>58</v>
      </c>
      <c r="B16" s="9" t="s">
        <v>57</v>
      </c>
      <c r="C16" s="9" t="s">
        <v>43</v>
      </c>
      <c r="D16" s="9" t="s">
        <v>56</v>
      </c>
      <c r="E16" s="9"/>
      <c r="F16" s="9" t="s">
        <v>10</v>
      </c>
      <c r="G16" s="9" t="s">
        <v>11</v>
      </c>
      <c r="H16" s="14">
        <v>16363.63</v>
      </c>
      <c r="I16" s="9" t="s">
        <v>55</v>
      </c>
      <c r="J16" s="9"/>
      <c r="K16" s="9" t="s">
        <v>54</v>
      </c>
      <c r="L16" s="9"/>
    </row>
    <row r="17" spans="1:12" ht="35.1" customHeight="1" x14ac:dyDescent="0.25">
      <c r="A17" s="9" t="s">
        <v>53</v>
      </c>
      <c r="B17" s="9" t="s">
        <v>38</v>
      </c>
      <c r="C17" s="9" t="s">
        <v>37</v>
      </c>
      <c r="D17" s="9" t="s">
        <v>52</v>
      </c>
      <c r="E17" s="9"/>
      <c r="F17" s="9" t="s">
        <v>14</v>
      </c>
      <c r="G17" s="9" t="s">
        <v>15</v>
      </c>
      <c r="H17" s="14">
        <v>27510.28</v>
      </c>
      <c r="I17" s="9" t="s">
        <v>51</v>
      </c>
      <c r="J17" s="9"/>
      <c r="K17" s="9" t="s">
        <v>50</v>
      </c>
      <c r="L17" s="9"/>
    </row>
    <row r="18" spans="1:12" ht="35.1" customHeight="1" x14ac:dyDescent="0.25">
      <c r="A18" s="9" t="s">
        <v>49</v>
      </c>
      <c r="B18" s="9" t="s">
        <v>38</v>
      </c>
      <c r="C18" s="9" t="s">
        <v>37</v>
      </c>
      <c r="D18" s="9" t="s">
        <v>45</v>
      </c>
      <c r="E18" s="9" t="s">
        <v>48</v>
      </c>
      <c r="F18" s="9" t="s">
        <v>12</v>
      </c>
      <c r="G18" s="9" t="s">
        <v>13</v>
      </c>
      <c r="H18" s="14">
        <v>87258.2</v>
      </c>
      <c r="I18" s="9" t="s">
        <v>47</v>
      </c>
      <c r="J18" s="9"/>
      <c r="K18" s="9" t="s">
        <v>46</v>
      </c>
      <c r="L18" s="9"/>
    </row>
    <row r="19" spans="1:12" ht="35.1" customHeight="1" x14ac:dyDescent="0.25">
      <c r="A19" s="9" t="s">
        <v>44</v>
      </c>
      <c r="B19" s="9" t="s">
        <v>38</v>
      </c>
      <c r="C19" s="9" t="s">
        <v>43</v>
      </c>
      <c r="D19" s="9" t="s">
        <v>42</v>
      </c>
      <c r="E19" s="9"/>
      <c r="F19" s="9" t="s">
        <v>27</v>
      </c>
      <c r="G19" s="9" t="s">
        <v>13</v>
      </c>
      <c r="H19" s="14">
        <v>38599.26</v>
      </c>
      <c r="I19" s="9" t="s">
        <v>41</v>
      </c>
      <c r="J19" s="9"/>
      <c r="K19" s="9" t="s">
        <v>40</v>
      </c>
      <c r="L19" s="9"/>
    </row>
    <row r="20" spans="1:12" ht="35.1" customHeight="1" x14ac:dyDescent="0.25">
      <c r="A20" s="9" t="s">
        <v>39</v>
      </c>
      <c r="B20" s="9" t="s">
        <v>38</v>
      </c>
      <c r="C20" s="9" t="s">
        <v>37</v>
      </c>
      <c r="D20" s="9" t="s">
        <v>36</v>
      </c>
      <c r="E20" s="9" t="s">
        <v>35</v>
      </c>
      <c r="F20" s="9" t="s">
        <v>20</v>
      </c>
      <c r="G20" s="9" t="s">
        <v>13</v>
      </c>
      <c r="H20" s="14">
        <v>50136.56</v>
      </c>
      <c r="I20" s="9"/>
      <c r="J20" s="9"/>
      <c r="K20" s="9" t="s">
        <v>34</v>
      </c>
      <c r="L20" s="9" t="s">
        <v>33</v>
      </c>
    </row>
    <row r="21" spans="1:12" ht="35.1" customHeight="1" x14ac:dyDescent="0.25">
      <c r="A21" s="15"/>
      <c r="B21" s="15"/>
      <c r="C21" s="15"/>
      <c r="D21" s="15" t="s">
        <v>32</v>
      </c>
      <c r="E21" s="15"/>
      <c r="F21" s="15"/>
      <c r="G21" s="15"/>
      <c r="H21" s="16">
        <f>SUM(H4:H20)</f>
        <v>596723.11999999988</v>
      </c>
      <c r="I21" s="15"/>
      <c r="J21" s="15"/>
      <c r="K21" s="15"/>
      <c r="L21" s="15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/>
    <row r="24" spans="1:12" ht="35.1" customHeight="1" x14ac:dyDescent="0.25"/>
    <row r="25" spans="1:12" ht="35.1" customHeight="1" x14ac:dyDescent="0.25"/>
    <row r="26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71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CC9D-1640-45A6-AA87-FF816F4BE12E}">
  <sheetPr>
    <pageSetUpPr fitToPage="1"/>
  </sheetPr>
  <dimension ref="A1:H33"/>
  <sheetViews>
    <sheetView workbookViewId="0">
      <pane ySplit="3" topLeftCell="A4" activePane="bottomLeft" state="frozen"/>
      <selection pane="bottomLeft" activeCell="E29" sqref="E27:E29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3.5703125" style="8" bestFit="1" customWidth="1"/>
    <col min="4" max="4" width="18.7109375" style="8" bestFit="1" customWidth="1"/>
    <col min="5" max="5" width="27.85546875" style="8" bestFit="1" customWidth="1"/>
    <col min="6" max="16384" width="9.140625" style="8"/>
  </cols>
  <sheetData>
    <row r="1" spans="1:8" x14ac:dyDescent="0.25">
      <c r="A1" s="9"/>
      <c r="B1" s="9"/>
      <c r="C1" s="9" t="s">
        <v>3</v>
      </c>
      <c r="D1" s="10">
        <v>45761</v>
      </c>
      <c r="E1" s="9" t="s">
        <v>2</v>
      </c>
      <c r="F1" s="9"/>
      <c r="G1" s="9"/>
      <c r="H1" s="9"/>
    </row>
    <row r="2" spans="1:8" x14ac:dyDescent="0.25">
      <c r="A2" s="11" t="s">
        <v>0</v>
      </c>
      <c r="B2" s="12"/>
      <c r="C2" s="12"/>
      <c r="D2" s="13" t="s">
        <v>123</v>
      </c>
      <c r="E2" s="12"/>
      <c r="F2" s="9"/>
      <c r="G2" s="9"/>
      <c r="H2" s="9"/>
    </row>
    <row r="3" spans="1:8" x14ac:dyDescent="0.25">
      <c r="A3" s="9" t="s">
        <v>117</v>
      </c>
      <c r="B3" s="9" t="s">
        <v>115</v>
      </c>
      <c r="C3" s="9" t="s">
        <v>114</v>
      </c>
      <c r="D3" s="9" t="s">
        <v>113</v>
      </c>
      <c r="E3" s="9" t="s">
        <v>4</v>
      </c>
      <c r="F3" s="9"/>
      <c r="G3" s="9"/>
      <c r="H3" s="9"/>
    </row>
    <row r="4" spans="1:8" x14ac:dyDescent="0.25">
      <c r="A4" s="9" t="s">
        <v>79</v>
      </c>
      <c r="B4" s="9" t="s">
        <v>43</v>
      </c>
      <c r="C4" s="9" t="s">
        <v>78</v>
      </c>
      <c r="D4" s="9"/>
      <c r="E4" s="9" t="s">
        <v>17</v>
      </c>
      <c r="F4" s="9"/>
      <c r="G4" s="9"/>
      <c r="H4" s="9"/>
    </row>
    <row r="5" spans="1:8" x14ac:dyDescent="0.25">
      <c r="A5" s="9" t="s">
        <v>72</v>
      </c>
      <c r="B5" s="9" t="s">
        <v>43</v>
      </c>
      <c r="C5" s="9" t="s">
        <v>71</v>
      </c>
      <c r="D5" s="9"/>
      <c r="E5" s="9" t="s">
        <v>21</v>
      </c>
      <c r="F5" s="9"/>
      <c r="G5" s="9"/>
      <c r="H5" s="9"/>
    </row>
    <row r="6" spans="1:8" x14ac:dyDescent="0.25">
      <c r="A6" s="9" t="s">
        <v>58</v>
      </c>
      <c r="B6" s="9" t="s">
        <v>43</v>
      </c>
      <c r="C6" s="9" t="s">
        <v>56</v>
      </c>
      <c r="D6" s="9"/>
      <c r="E6" s="9" t="s">
        <v>10</v>
      </c>
      <c r="F6" s="9"/>
      <c r="G6" s="9"/>
      <c r="H6" s="9"/>
    </row>
    <row r="7" spans="1:8" x14ac:dyDescent="0.25">
      <c r="A7" s="9" t="s">
        <v>44</v>
      </c>
      <c r="B7" s="9" t="s">
        <v>43</v>
      </c>
      <c r="C7" s="9" t="s">
        <v>42</v>
      </c>
      <c r="D7" s="9"/>
      <c r="E7" s="9" t="s">
        <v>27</v>
      </c>
      <c r="F7" s="9"/>
      <c r="G7" s="9"/>
      <c r="H7" s="9"/>
    </row>
    <row r="8" spans="1:8" x14ac:dyDescent="0.25">
      <c r="A8" s="15"/>
      <c r="B8" s="15"/>
      <c r="C8" s="15" t="s">
        <v>122</v>
      </c>
      <c r="D8" s="15"/>
      <c r="E8" s="15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/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 t="s">
        <v>121</v>
      </c>
      <c r="B13" s="9"/>
      <c r="C13" s="9"/>
      <c r="D13" s="9"/>
      <c r="E13" s="9"/>
      <c r="F13" s="9"/>
      <c r="G13" s="9"/>
      <c r="H13" s="9"/>
    </row>
    <row r="14" spans="1:8" x14ac:dyDescent="0.25">
      <c r="A14" s="9"/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 t="s">
        <v>120</v>
      </c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 t="s">
        <v>119</v>
      </c>
      <c r="B19" s="9"/>
      <c r="C19" s="9"/>
      <c r="D19" s="9"/>
      <c r="E19" s="9"/>
      <c r="F19" s="9"/>
      <c r="G19" s="9"/>
      <c r="H19" s="9"/>
    </row>
    <row r="20" spans="1:8" x14ac:dyDescent="0.25">
      <c r="A20" s="9"/>
      <c r="B20" s="9"/>
      <c r="C20" s="9"/>
      <c r="D20" s="9"/>
      <c r="E20" s="9"/>
      <c r="F20" s="9"/>
      <c r="G20" s="9"/>
      <c r="H20" s="9"/>
    </row>
    <row r="21" spans="1:8" x14ac:dyDescent="0.25">
      <c r="A21" s="9"/>
      <c r="B21" s="9"/>
      <c r="C21" s="9"/>
      <c r="D21" s="9"/>
      <c r="E21" s="9"/>
      <c r="F21" s="9"/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/>
      <c r="B23" s="9"/>
      <c r="C23" s="9"/>
      <c r="D23" s="9"/>
      <c r="E23" s="9"/>
      <c r="F23" s="9"/>
      <c r="G23" s="9"/>
      <c r="H23" s="9"/>
    </row>
    <row r="24" spans="1:8" x14ac:dyDescent="0.25">
      <c r="A24" s="9"/>
      <c r="B24" s="9"/>
      <c r="C24" s="9"/>
      <c r="D24" s="9"/>
      <c r="E24" s="9"/>
      <c r="F24" s="9"/>
      <c r="G24" s="9"/>
      <c r="H24" s="9"/>
    </row>
    <row r="25" spans="1:8" x14ac:dyDescent="0.25">
      <c r="A25" s="9"/>
      <c r="B25" s="9"/>
      <c r="C25" s="9"/>
      <c r="D25" s="9"/>
      <c r="E25" s="9"/>
      <c r="F25" s="9"/>
      <c r="G25" s="9"/>
      <c r="H25" s="9"/>
    </row>
    <row r="26" spans="1:8" x14ac:dyDescent="0.25">
      <c r="A26" s="9"/>
      <c r="B26" s="9"/>
      <c r="C26" s="9"/>
      <c r="D26" s="9"/>
      <c r="E26" s="9"/>
      <c r="F26" s="9"/>
      <c r="G26" s="9"/>
      <c r="H26" s="9"/>
    </row>
    <row r="27" spans="1:8" x14ac:dyDescent="0.25">
      <c r="A27" s="9"/>
      <c r="B27" s="9"/>
      <c r="C27" s="9"/>
      <c r="D27" s="9"/>
      <c r="E27" s="9"/>
      <c r="F27" s="9"/>
      <c r="G27" s="9"/>
      <c r="H27" s="9"/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/>
      <c r="B29" s="9"/>
      <c r="C29" s="9"/>
      <c r="D29" s="9"/>
      <c r="E29" s="9"/>
      <c r="F29" s="9"/>
      <c r="G29" s="9"/>
      <c r="H29" s="9"/>
    </row>
    <row r="30" spans="1:8" x14ac:dyDescent="0.25">
      <c r="A30" s="9"/>
      <c r="B30" s="9"/>
      <c r="C30" s="9"/>
      <c r="D30" s="9"/>
      <c r="E30" s="9"/>
      <c r="F30" s="9"/>
      <c r="G30" s="9"/>
      <c r="H30" s="9"/>
    </row>
    <row r="31" spans="1:8" x14ac:dyDescent="0.25">
      <c r="A31" s="9"/>
      <c r="B31" s="9"/>
      <c r="C31" s="9"/>
      <c r="D31" s="9"/>
      <c r="E31" s="9"/>
      <c r="F31" s="9"/>
      <c r="G31" s="9"/>
      <c r="H31" s="9"/>
    </row>
    <row r="32" spans="1:8" x14ac:dyDescent="0.25">
      <c r="A32" s="9"/>
      <c r="B32" s="9"/>
      <c r="C32" s="9"/>
      <c r="D32" s="9"/>
      <c r="E32" s="9"/>
      <c r="F32" s="9"/>
      <c r="G32" s="9"/>
      <c r="H32" s="9"/>
    </row>
    <row r="33" spans="1:8" x14ac:dyDescent="0.25">
      <c r="A33" s="9"/>
      <c r="B33" s="9"/>
      <c r="C33" s="9"/>
      <c r="D33" s="9"/>
      <c r="E33" s="9"/>
      <c r="F33" s="9"/>
      <c r="G33" s="9"/>
      <c r="H33" s="9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2025-04-14T18:31:47Z</cp:lastPrinted>
  <dcterms:created xsi:type="dcterms:W3CDTF">2025-04-14T18:22:38Z</dcterms:created>
  <dcterms:modified xsi:type="dcterms:W3CDTF">2025-04-14T18:50:51Z</dcterms:modified>
</cp:coreProperties>
</file>