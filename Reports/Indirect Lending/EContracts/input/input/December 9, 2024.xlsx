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5EBF70A8-C379-4066-B74D-92C283B326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H11" i="1"/>
  <c r="E11" i="1"/>
  <c r="D11" i="1"/>
  <c r="C11" i="1"/>
</calcChain>
</file>

<file path=xl/sharedStrings.xml><?xml version="1.0" encoding="utf-8"?>
<sst xmlns="http://schemas.openxmlformats.org/spreadsheetml/2006/main" count="76" uniqueCount="54">
  <si>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</si>
  <si>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</si>
  <si>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</si>
  <si>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</si>
  <si>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</si>
  <si>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</si>
  <si>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</si>
  <si>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</si>
  <si>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</si>
  <si>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</si>
  <si>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Battles Nissan, LLC</t>
  </si>
  <si>
    <t>Neli Oliveira</t>
  </si>
  <si>
    <t>Colonial South Chevrolet</t>
  </si>
  <si>
    <t>Patriot Auto Group Inc d/b/a</t>
  </si>
  <si>
    <t>RAH FALL RIVER VW, LLC</t>
  </si>
  <si>
    <t>Column1</t>
  </si>
  <si>
    <t>Column2</t>
  </si>
  <si>
    <t># 4</t>
  </si>
  <si>
    <t>SHERWIN</t>
  </si>
  <si>
    <t>MUNN</t>
  </si>
  <si>
    <t>JUBRY@COMCAST.NET</t>
  </si>
  <si>
    <t>BTYJU@COMCAST.NET</t>
  </si>
  <si>
    <t>BODDIE, JUNE</t>
  </si>
  <si>
    <t>BODDIE, BRYANT</t>
  </si>
  <si>
    <t>E Contract</t>
  </si>
  <si>
    <t>Route One</t>
  </si>
  <si>
    <t>Corrigan</t>
  </si>
  <si>
    <t>ISLEOFWOOD@YAHOO.COM</t>
  </si>
  <si>
    <t>DENTON, MICHAEL</t>
  </si>
  <si>
    <t>DealerTrack</t>
  </si>
  <si>
    <t>SWALES</t>
  </si>
  <si>
    <t>MACIVLEWICZ</t>
  </si>
  <si>
    <t>george.arruda@outlook.com</t>
  </si>
  <si>
    <t>ARRUDA, GEORGE</t>
  </si>
  <si>
    <t>ARRUDA, LAUREN</t>
  </si>
  <si>
    <t>MACIEL</t>
  </si>
  <si>
    <t>MONICA.DASILVA@ALERAGROUP.COM</t>
  </si>
  <si>
    <t>DASILVA, MONICA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</si>
  <si>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</si>
  <si>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</si>
  <si>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</si>
  <si>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</si>
  <si>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</si>
  <si>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</si>
  <si>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</si>
  <si>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</si>
  <si>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</si>
  <si>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</si>
  <si>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</si>
  <si>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</si>
  <si>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151126383e</t>
  </si>
  <si>
    <t>151126408e</t>
  </si>
  <si>
    <t>151126440e</t>
  </si>
  <si>
    <t>151126515e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</si>
</sst>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73D5C792-6136-41E2-ABB9-1BC9C8893989}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19D14A86-9DC1-4530-AE96-0E32134A884C}" name="Column1" dataDxfId="17"/>
    <tableColumn id="8" xr3:uid="{53718810-0912-40FF-8859-8A8E1165A4C6}" name="Column2" dataDxfId="16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70B5B-D344-47C9-9F88-4529AF30FA91}" name="Table_13" displayName="Table_13" ref="A3:M8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workbookViewId="0">
      <pane ySplit="3" topLeftCell="A4" activePane="bottomLeft" state="frozen"/>
      <selection pane="bottomLeft" activeCell="E10" sqref="E10"/>
    </sheetView>
  </sheetViews>
  <sheetFormatPr defaultRowHeight="15" x14ac:dyDescent="0.25"/>
  <cols>
    <col min="1" max="1" width="26.7109375" bestFit="1" customWidth="1"/>
    <col min="2" max="2" width="12.140625" bestFit="1" customWidth="1"/>
    <col min="3" max="3" width="11.140625" bestFit="1" customWidth="1"/>
    <col min="4" max="4" width="18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45635</v>
      </c>
      <c r="E1" t="s">
        <v>2</v>
      </c>
      <c r="H1" s="4">
        <v>45635.999988425923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15</v>
      </c>
      <c r="G3" t="s">
        <v>16</v>
      </c>
      <c r="H3" t="s">
        <v>9</v>
      </c>
    </row>
    <row r="4" spans="1:8" x14ac:dyDescent="0.25">
      <c r="A4" t="s">
        <v>10</v>
      </c>
      <c r="B4" t="s">
        <v>11</v>
      </c>
      <c r="C4" s="2">
        <v>350</v>
      </c>
      <c r="D4" s="2">
        <v>0</v>
      </c>
      <c r="E4" s="2">
        <v>16308.38</v>
      </c>
      <c r="F4" s="2"/>
      <c r="G4" s="2"/>
      <c r="H4" s="2">
        <v>16383.38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200</v>
      </c>
      <c r="D6" s="2">
        <v>0</v>
      </c>
      <c r="E6" s="2">
        <v>14714.93</v>
      </c>
      <c r="F6" s="2"/>
      <c r="G6" s="2"/>
      <c r="H6" s="2">
        <v>14789.93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11</v>
      </c>
      <c r="C8" s="2">
        <v>500</v>
      </c>
      <c r="D8" s="2">
        <v>0</v>
      </c>
      <c r="E8" s="2">
        <v>26559.13</v>
      </c>
      <c r="F8" s="2"/>
      <c r="G8" s="2"/>
      <c r="H8" s="2">
        <v>26634.13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11</v>
      </c>
      <c r="C10" s="2">
        <v>1000</v>
      </c>
      <c r="D10" s="2">
        <v>0</v>
      </c>
      <c r="E10" s="2">
        <v>51887.06</v>
      </c>
      <c r="F10" s="2"/>
      <c r="G10" s="2"/>
      <c r="H10" s="2">
        <v>51962.06</v>
      </c>
    </row>
    <row r="11" spans="1:8" x14ac:dyDescent="0.25">
      <c r="A11" s="1"/>
      <c r="B11" s="1"/>
      <c r="C11" s="3">
        <f>SUM(C4:C10)</f>
        <v>2050</v>
      </c>
      <c r="D11" s="3">
        <f>SUM(D4:D10)</f>
        <v>0</v>
      </c>
      <c r="E11" s="3">
        <f>SUM(E4:E10)</f>
        <v>109469.5</v>
      </c>
      <c r="F11" s="3"/>
      <c r="G11" s="3"/>
      <c r="H11" s="3">
        <f>SUM(H4:H10)</f>
        <v>109769.5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DBAB-20FE-4DB8-8D7F-7144DA7AF531}">
  <sheetPr>
    <pageSetUpPr fitToPage="1"/>
  </sheetPr>
  <dimension ref="A1:M14"/>
  <sheetViews>
    <sheetView workbookViewId="0">
      <pane ySplit="3" topLeftCell="A4" activePane="bottomLeft" state="frozen"/>
      <selection pane="bottomLeft" activeCell="F17" sqref="F17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18.28515625" style="8" bestFit="1" customWidth="1"/>
    <col min="5" max="5" width="18.7109375" style="8" bestFit="1" customWidth="1"/>
    <col min="6" max="6" width="26.7109375" style="8" bestFit="1" customWidth="1"/>
    <col min="7" max="7" width="12.140625" style="8" bestFit="1" customWidth="1"/>
    <col min="8" max="8" width="17.140625" style="8" bestFit="1" customWidth="1"/>
    <col min="9" max="9" width="36.28515625" style="8" bestFit="1" customWidth="1"/>
    <col min="10" max="10" width="27.28515625" style="8" bestFit="1" customWidth="1"/>
    <col min="11" max="11" width="18.140625" style="8" bestFit="1" customWidth="1"/>
    <col min="12" max="12" width="12.85546875" style="8" bestFit="1" customWidth="1"/>
    <col min="13" max="13" width="18.140625" style="8" bestFit="1" customWidth="1"/>
    <col min="14" max="16384" width="9.140625" style="8"/>
  </cols>
  <sheetData>
    <row r="1" spans="1:13" ht="30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45635</v>
      </c>
      <c r="L1" s="9" t="s">
        <v>2</v>
      </c>
      <c r="M1" s="10">
        <v>45635.999988425923</v>
      </c>
    </row>
    <row r="2" spans="1:13" ht="30" customHeight="1" x14ac:dyDescent="0.25">
      <c r="A2" s="11" t="s">
        <v>0</v>
      </c>
      <c r="B2" s="12"/>
      <c r="C2" s="12"/>
      <c r="D2" s="12"/>
      <c r="E2" s="12"/>
      <c r="F2" s="12"/>
      <c r="G2" s="13" t="s">
        <v>49</v>
      </c>
      <c r="H2" s="12"/>
      <c r="I2" s="12"/>
      <c r="J2" s="12"/>
      <c r="K2" s="12"/>
      <c r="L2" s="12"/>
      <c r="M2" s="12"/>
    </row>
    <row r="3" spans="1:13" ht="30" customHeight="1" x14ac:dyDescent="0.25">
      <c r="A3" s="9" t="s">
        <v>48</v>
      </c>
      <c r="B3" s="9" t="s">
        <v>47</v>
      </c>
      <c r="C3" s="9" t="s">
        <v>46</v>
      </c>
      <c r="D3" s="9" t="s">
        <v>45</v>
      </c>
      <c r="E3" s="9" t="s">
        <v>44</v>
      </c>
      <c r="F3" s="9" t="s">
        <v>4</v>
      </c>
      <c r="G3" s="9" t="s">
        <v>5</v>
      </c>
      <c r="H3" s="9" t="s">
        <v>43</v>
      </c>
      <c r="I3" s="9" t="s">
        <v>42</v>
      </c>
      <c r="J3" s="9" t="s">
        <v>41</v>
      </c>
      <c r="K3" s="9" t="s">
        <v>40</v>
      </c>
      <c r="L3" s="9" t="s">
        <v>39</v>
      </c>
      <c r="M3" s="9" t="s">
        <v>38</v>
      </c>
    </row>
    <row r="4" spans="1:13" ht="30" customHeight="1" x14ac:dyDescent="0.25">
      <c r="A4" s="9" t="s">
        <v>50</v>
      </c>
      <c r="B4" s="9" t="s">
        <v>29</v>
      </c>
      <c r="C4" s="9" t="s">
        <v>24</v>
      </c>
      <c r="D4" s="9" t="s">
        <v>37</v>
      </c>
      <c r="E4" s="9"/>
      <c r="F4" s="9" t="s">
        <v>14</v>
      </c>
      <c r="G4" s="9" t="s">
        <v>11</v>
      </c>
      <c r="H4" s="14">
        <v>51962.06</v>
      </c>
      <c r="I4" s="9" t="s">
        <v>36</v>
      </c>
      <c r="J4" s="9"/>
      <c r="K4" s="9" t="s">
        <v>35</v>
      </c>
      <c r="L4" s="9"/>
      <c r="M4" s="9"/>
    </row>
    <row r="5" spans="1:13" ht="30" customHeight="1" x14ac:dyDescent="0.25">
      <c r="A5" s="9" t="s">
        <v>51</v>
      </c>
      <c r="B5" s="9" t="s">
        <v>25</v>
      </c>
      <c r="C5" s="9" t="s">
        <v>24</v>
      </c>
      <c r="D5" s="9" t="s">
        <v>34</v>
      </c>
      <c r="E5" s="9" t="s">
        <v>33</v>
      </c>
      <c r="F5" s="9" t="s">
        <v>12</v>
      </c>
      <c r="G5" s="9" t="s">
        <v>11</v>
      </c>
      <c r="H5" s="14">
        <v>14789.93</v>
      </c>
      <c r="I5" s="9" t="s">
        <v>32</v>
      </c>
      <c r="J5" s="9" t="s">
        <v>32</v>
      </c>
      <c r="K5" s="9" t="s">
        <v>31</v>
      </c>
      <c r="L5" s="9" t="s">
        <v>30</v>
      </c>
      <c r="M5" s="9"/>
    </row>
    <row r="6" spans="1:13" ht="30" customHeight="1" x14ac:dyDescent="0.25">
      <c r="A6" s="9" t="s">
        <v>52</v>
      </c>
      <c r="B6" s="9" t="s">
        <v>29</v>
      </c>
      <c r="C6" s="9" t="s">
        <v>24</v>
      </c>
      <c r="D6" s="9" t="s">
        <v>28</v>
      </c>
      <c r="E6" s="9"/>
      <c r="F6" s="9" t="s">
        <v>10</v>
      </c>
      <c r="G6" s="9" t="s">
        <v>11</v>
      </c>
      <c r="H6" s="14">
        <v>16383.38</v>
      </c>
      <c r="I6" s="9" t="s">
        <v>27</v>
      </c>
      <c r="J6" s="9"/>
      <c r="K6" s="9" t="s">
        <v>26</v>
      </c>
      <c r="L6" s="9"/>
      <c r="M6" s="9"/>
    </row>
    <row r="7" spans="1:13" ht="30" customHeight="1" x14ac:dyDescent="0.25">
      <c r="A7" s="9" t="s">
        <v>53</v>
      </c>
      <c r="B7" s="9" t="s">
        <v>25</v>
      </c>
      <c r="C7" s="9" t="s">
        <v>24</v>
      </c>
      <c r="D7" s="9" t="s">
        <v>23</v>
      </c>
      <c r="E7" s="9" t="s">
        <v>22</v>
      </c>
      <c r="F7" s="9" t="s">
        <v>13</v>
      </c>
      <c r="G7" s="9" t="s">
        <v>11</v>
      </c>
      <c r="H7" s="14">
        <v>26634.13</v>
      </c>
      <c r="I7" s="9" t="s">
        <v>21</v>
      </c>
      <c r="J7" s="9" t="s">
        <v>20</v>
      </c>
      <c r="K7" s="9" t="s">
        <v>19</v>
      </c>
      <c r="L7" s="9" t="s">
        <v>18</v>
      </c>
      <c r="M7" s="9"/>
    </row>
    <row r="8" spans="1:13" ht="30" customHeight="1" x14ac:dyDescent="0.25">
      <c r="A8" s="15"/>
      <c r="B8" s="15"/>
      <c r="C8" s="15"/>
      <c r="D8" s="15" t="s">
        <v>17</v>
      </c>
      <c r="E8" s="15"/>
      <c r="F8" s="15"/>
      <c r="G8" s="15"/>
      <c r="H8" s="16">
        <f>SUM(H4:H7)</f>
        <v>109769.5</v>
      </c>
      <c r="I8" s="15"/>
      <c r="J8" s="15"/>
      <c r="K8" s="15"/>
      <c r="L8" s="15"/>
      <c r="M8" s="15"/>
    </row>
    <row r="9" spans="1:13" ht="30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0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</sheetData>
  <mergeCells count="2">
    <mergeCell ref="A2:F2"/>
    <mergeCell ref="G2:M2"/>
  </mergeCells>
  <pageMargins left="0.7" right="0.7" top="0.75" bottom="0.75" header="0.3" footer="0.3"/>
  <pageSetup paperSize="5" scale="64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ACH Version</vt:lpstr>
      <vt:lpstr>Funding Worksheet - Folder 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2024-12-09T19:19:55Z</cp:lastPrinted>
  <dcterms:created xsi:type="dcterms:W3CDTF">2024-12-09T19:12:06Z</dcterms:created>
  <dcterms:modified xsi:type="dcterms:W3CDTF">2024-12-09T19:33:12Z</dcterms:modified>
</cp:coreProperties>
</file>