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2CE2AA9F-0F70-4A69-A072-1D5630AC7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13" i="2"/>
  <c r="F10" i="1"/>
  <c r="H20" i="1"/>
  <c r="H19" i="1"/>
  <c r="E19" i="1"/>
  <c r="D19" i="1"/>
  <c r="C19" i="1"/>
</calcChain>
</file>

<file path=xl/sharedStrings.xml><?xml version="1.0" encoding="utf-8"?>
<sst xmlns="http://schemas.openxmlformats.org/spreadsheetml/2006/main" count="140" uniqueCount="82">
  <si>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</si>
  <si>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</si>
  <si>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</si>
  <si>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</si>
  <si>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</si>
  <si>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</si>
  <si>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</si>
  <si>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</si>
  <si>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</si>
  <si>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</si>
  <si>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BID Cars Boston</t>
  </si>
  <si>
    <t>Rachel Gorham</t>
  </si>
  <si>
    <t>Coastal Volkswagon</t>
  </si>
  <si>
    <t>Neli Oliveira</t>
  </si>
  <si>
    <t>Grieco Toyota</t>
  </si>
  <si>
    <t>Hylan Auto Sales</t>
  </si>
  <si>
    <t>Infiniti of Norwood</t>
  </si>
  <si>
    <t>Mathieu Ford Sales, Inc</t>
  </si>
  <si>
    <t>Marlene Braganca</t>
  </si>
  <si>
    <t>Wareham Ford</t>
  </si>
  <si>
    <t>Column1</t>
  </si>
  <si>
    <t>Column2</t>
  </si>
  <si>
    <t># 9</t>
  </si>
  <si>
    <t>LYONS</t>
  </si>
  <si>
    <t>REARDON, DANIEL</t>
  </si>
  <si>
    <t>E Contract</t>
  </si>
  <si>
    <t>DealerTrack</t>
  </si>
  <si>
    <t>151141125e</t>
  </si>
  <si>
    <t>PALISOC</t>
  </si>
  <si>
    <t>BACALLA</t>
  </si>
  <si>
    <t>RGAMMAD080908@ICLOUD.COM</t>
  </si>
  <si>
    <t>GAMMAD, JORDAN</t>
  </si>
  <si>
    <t>MCGAW-GAMMAD, ROSELLE</t>
  </si>
  <si>
    <t>151141109e</t>
  </si>
  <si>
    <t>THERRIEN</t>
  </si>
  <si>
    <t>LATE8M@GMAIL.COM</t>
  </si>
  <si>
    <t>PLANTE, MICHELE</t>
  </si>
  <si>
    <t>Route One</t>
  </si>
  <si>
    <t>151141050e</t>
  </si>
  <si>
    <t>MALACARIA</t>
  </si>
  <si>
    <t>SANDYGREENWOOD31@GMAIL.COM</t>
  </si>
  <si>
    <t>GREENWOOD, SANDRA</t>
  </si>
  <si>
    <t>151141042e</t>
  </si>
  <si>
    <t>Moore</t>
  </si>
  <si>
    <t>stevetiernan303@yahoo.com</t>
  </si>
  <si>
    <t>TIERNAN, STEVEN</t>
  </si>
  <si>
    <t>151141034e</t>
  </si>
  <si>
    <t>FERLAND</t>
  </si>
  <si>
    <t>ANDRADE</t>
  </si>
  <si>
    <t>JDALOMBA@VERIZON.NET</t>
  </si>
  <si>
    <t>DALOMBA, HAILEY</t>
  </si>
  <si>
    <t>DALOMBA, JACK</t>
  </si>
  <si>
    <t>151141026e</t>
  </si>
  <si>
    <t>WALSH</t>
  </si>
  <si>
    <t>HECORP.RICK@GMAIL.COM</t>
  </si>
  <si>
    <t>HART, FREDERICK</t>
  </si>
  <si>
    <t>HART ELECTRIC CORP</t>
  </si>
  <si>
    <t>151141018e</t>
  </si>
  <si>
    <t>SINES</t>
  </si>
  <si>
    <t>ADRIENNE.E.CORMIER@GMAIL.COM</t>
  </si>
  <si>
    <t>CORMIER, ADRIENNE</t>
  </si>
  <si>
    <t>Paper</t>
  </si>
  <si>
    <t>151140961</t>
  </si>
  <si>
    <t>JIPSON</t>
  </si>
  <si>
    <t>HELSOR, TYLER</t>
  </si>
  <si>
    <t>151140903e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</si>
  <si>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</si>
  <si>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</si>
  <si>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</si>
  <si>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</si>
  <si>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</si>
  <si>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</si>
  <si>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</si>
  <si>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</si>
  <si>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</si>
  <si>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</si>
  <si>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</si>
  <si>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</t>
  </si>
  <si>
    <t>Received By___________________________________________________________________________</t>
  </si>
  <si>
    <t>Delivered By __________________________________________________________________________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</si>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</sst>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C4D9931-31C2-4B43-A1FC-E23982F75EA3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0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78F54EF4-2CBD-4C0A-B6D8-043E92777C2A}" name="Column1" dataDxfId="23"/>
    <tableColumn id="8" xr3:uid="{44402D1F-8527-40C5-88E3-62222E9B80D7}" name="Column2" dataDxfId="24"/>
    <tableColumn id="6" xr3:uid="{00000000-0010-0000-0000-000006000000}" name="Contracted Amount Financed" totalsRowFunction="custom">
      <totalsRowFormula>COUNT(H4:H18)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CDB5E9-6773-45E9-959D-DB0993638CE8}" name="Table_13" displayName="Table_13" ref="A3:L13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14D46-2DAF-4AE0-B4D6-00E22494D9F7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22.42578125" bestFit="1" customWidth="1"/>
    <col min="2" max="2" width="17.710937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45679</v>
      </c>
      <c r="E1" t="s">
        <v>2</v>
      </c>
      <c r="H1" s="4">
        <v>45679.999988425923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700</v>
      </c>
      <c r="D4" s="2">
        <v>0</v>
      </c>
      <c r="E4" s="2">
        <v>40472.19</v>
      </c>
      <c r="F4" s="2"/>
      <c r="G4" s="2"/>
      <c r="H4" s="2">
        <v>40547.19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450</v>
      </c>
      <c r="D6" s="2">
        <v>0</v>
      </c>
      <c r="E6" s="2">
        <v>24801.75</v>
      </c>
      <c r="F6" s="2"/>
      <c r="G6" s="2"/>
      <c r="H6" s="2">
        <v>24876.75</v>
      </c>
    </row>
    <row r="7" spans="1:8" x14ac:dyDescent="0.25">
      <c r="A7" t="s">
        <v>12</v>
      </c>
      <c r="B7" t="s">
        <v>13</v>
      </c>
      <c r="C7" s="2">
        <v>450</v>
      </c>
      <c r="D7" s="2">
        <v>0</v>
      </c>
      <c r="E7" s="2">
        <v>24317.99</v>
      </c>
      <c r="F7" s="2">
        <f>SUM(E6:E7)</f>
        <v>49119.740000000005</v>
      </c>
      <c r="G7" s="2"/>
      <c r="H7" s="2">
        <v>24392.99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600</v>
      </c>
      <c r="D9" s="2">
        <v>0</v>
      </c>
      <c r="E9" s="2">
        <v>33138</v>
      </c>
      <c r="F9" s="2"/>
      <c r="G9" s="2"/>
      <c r="H9" s="2">
        <v>33213</v>
      </c>
    </row>
    <row r="10" spans="1:8" x14ac:dyDescent="0.25">
      <c r="A10" t="s">
        <v>14</v>
      </c>
      <c r="B10" t="s">
        <v>11</v>
      </c>
      <c r="C10" s="2">
        <v>500</v>
      </c>
      <c r="D10" s="2">
        <v>0</v>
      </c>
      <c r="E10" s="2">
        <v>27374.75</v>
      </c>
      <c r="F10" s="2">
        <f>SUM(E9:E10)</f>
        <v>60512.75</v>
      </c>
      <c r="G10" s="2"/>
      <c r="H10" s="2">
        <v>27449.75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13</v>
      </c>
      <c r="C12" s="2">
        <v>700</v>
      </c>
      <c r="D12" s="2">
        <v>0</v>
      </c>
      <c r="E12" s="2">
        <v>41501.56</v>
      </c>
      <c r="F12" s="2"/>
      <c r="G12" s="2"/>
      <c r="H12" s="2">
        <v>41576.559999999998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13</v>
      </c>
      <c r="C14" s="2">
        <v>650</v>
      </c>
      <c r="D14" s="2">
        <v>0</v>
      </c>
      <c r="E14" s="2">
        <v>39331.94</v>
      </c>
      <c r="F14" s="2"/>
      <c r="G14" s="2"/>
      <c r="H14" s="2">
        <v>39406.94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18</v>
      </c>
      <c r="C16" s="2">
        <v>1200</v>
      </c>
      <c r="D16" s="2">
        <v>0</v>
      </c>
      <c r="E16" s="2">
        <v>81971.62</v>
      </c>
      <c r="F16" s="2"/>
      <c r="G16" s="2"/>
      <c r="H16" s="2">
        <v>82046.62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18</v>
      </c>
      <c r="C18" s="2">
        <v>350</v>
      </c>
      <c r="D18" s="2">
        <v>0</v>
      </c>
      <c r="E18" s="2">
        <v>19628.93</v>
      </c>
      <c r="F18" s="2"/>
      <c r="G18" s="2"/>
      <c r="H18" s="2">
        <v>19703.93</v>
      </c>
    </row>
    <row r="19" spans="1:8" x14ac:dyDescent="0.25">
      <c r="A19" s="1"/>
      <c r="B19" s="1"/>
      <c r="C19" s="3">
        <f>SUM(C4:C18)</f>
        <v>5600</v>
      </c>
      <c r="D19" s="3">
        <f>SUM(D4:D18)</f>
        <v>0</v>
      </c>
      <c r="E19" s="3">
        <f>SUM(E4:E18)</f>
        <v>332538.73</v>
      </c>
      <c r="F19" s="3"/>
      <c r="G19" s="3"/>
      <c r="H19" s="3">
        <f>SUM(H4:H18)</f>
        <v>333213.73</v>
      </c>
    </row>
    <row r="20" spans="1:8" x14ac:dyDescent="0.25">
      <c r="H20">
        <f>COUNT(H4:H18)</f>
        <v>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AAB7-F229-445C-BB0F-984876ED8EAA}">
  <sheetPr>
    <pageSetUpPr fitToPage="1"/>
  </sheetPr>
  <dimension ref="A1:N17"/>
  <sheetViews>
    <sheetView workbookViewId="0">
      <pane ySplit="3" topLeftCell="A4" activePane="bottomLeft" state="frozen"/>
      <selection pane="bottomLeft" activeCell="I10" sqref="I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7" style="8" bestFit="1" customWidth="1"/>
    <col min="5" max="5" width="18.7109375" style="8" bestFit="1" customWidth="1"/>
    <col min="6" max="6" width="22.42578125" style="8" bestFit="1" customWidth="1"/>
    <col min="7" max="7" width="17.7109375" style="8" bestFit="1" customWidth="1"/>
    <col min="8" max="8" width="17.140625" style="8" bestFit="1" customWidth="1"/>
    <col min="9" max="9" width="34.7109375" style="8" bestFit="1" customWidth="1"/>
    <col min="10" max="10" width="31.5703125" style="8" bestFit="1" customWidth="1"/>
    <col min="11" max="11" width="16.7109375" style="8" bestFit="1" customWidth="1"/>
    <col min="12" max="12" width="12.85546875" style="8" bestFit="1" customWidth="1"/>
    <col min="13" max="16384" width="9.140625" style="8"/>
  </cols>
  <sheetData>
    <row r="1" spans="1:14" ht="4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45679</v>
      </c>
      <c r="L1" s="9" t="s">
        <v>2</v>
      </c>
      <c r="M1" s="9"/>
      <c r="N1" s="9"/>
    </row>
    <row r="2" spans="1:14" ht="45" customHeight="1" x14ac:dyDescent="0.25">
      <c r="A2" s="11" t="s">
        <v>0</v>
      </c>
      <c r="B2" s="12"/>
      <c r="C2" s="12"/>
      <c r="D2" s="12"/>
      <c r="E2" s="12"/>
      <c r="F2" s="12"/>
      <c r="G2" s="13" t="s">
        <v>76</v>
      </c>
      <c r="H2" s="12"/>
      <c r="I2" s="12"/>
      <c r="J2" s="12"/>
      <c r="K2" s="12"/>
      <c r="L2" s="12"/>
      <c r="M2" s="9"/>
      <c r="N2" s="9"/>
    </row>
    <row r="3" spans="1:14" ht="45" customHeight="1" x14ac:dyDescent="0.25">
      <c r="A3" s="9" t="s">
        <v>75</v>
      </c>
      <c r="B3" s="9" t="s">
        <v>74</v>
      </c>
      <c r="C3" s="9" t="s">
        <v>73</v>
      </c>
      <c r="D3" s="9" t="s">
        <v>72</v>
      </c>
      <c r="E3" s="9" t="s">
        <v>71</v>
      </c>
      <c r="F3" s="9" t="s">
        <v>4</v>
      </c>
      <c r="G3" s="9" t="s">
        <v>5</v>
      </c>
      <c r="H3" s="9" t="s">
        <v>70</v>
      </c>
      <c r="I3" s="9" t="s">
        <v>69</v>
      </c>
      <c r="J3" s="9" t="s">
        <v>68</v>
      </c>
      <c r="K3" s="9" t="s">
        <v>67</v>
      </c>
      <c r="L3" s="9" t="s">
        <v>66</v>
      </c>
      <c r="M3" s="9"/>
      <c r="N3" s="9"/>
    </row>
    <row r="4" spans="1:14" ht="45" customHeight="1" x14ac:dyDescent="0.25">
      <c r="A4" s="9" t="s">
        <v>65</v>
      </c>
      <c r="B4" s="9" t="s">
        <v>37</v>
      </c>
      <c r="C4" s="9" t="s">
        <v>25</v>
      </c>
      <c r="D4" s="9" t="s">
        <v>64</v>
      </c>
      <c r="E4" s="9"/>
      <c r="F4" s="9" t="s">
        <v>17</v>
      </c>
      <c r="G4" s="9" t="s">
        <v>18</v>
      </c>
      <c r="H4" s="14">
        <v>82046.62</v>
      </c>
      <c r="I4" s="9"/>
      <c r="J4" s="9"/>
      <c r="K4" s="9" t="s">
        <v>63</v>
      </c>
      <c r="L4" s="9"/>
      <c r="M4" s="9"/>
      <c r="N4" s="9"/>
    </row>
    <row r="5" spans="1:14" ht="45" customHeight="1" x14ac:dyDescent="0.25">
      <c r="A5" s="9" t="s">
        <v>62</v>
      </c>
      <c r="B5" s="9" t="s">
        <v>26</v>
      </c>
      <c r="C5" s="9" t="s">
        <v>61</v>
      </c>
      <c r="D5" s="9" t="s">
        <v>60</v>
      </c>
      <c r="E5" s="9"/>
      <c r="F5" s="9" t="s">
        <v>15</v>
      </c>
      <c r="G5" s="9" t="s">
        <v>13</v>
      </c>
      <c r="H5" s="14">
        <v>41576.559999999998</v>
      </c>
      <c r="I5" s="9" t="s">
        <v>59</v>
      </c>
      <c r="J5" s="9"/>
      <c r="K5" s="9" t="s">
        <v>58</v>
      </c>
      <c r="L5" s="9"/>
      <c r="M5" s="9"/>
      <c r="N5" s="9"/>
    </row>
    <row r="6" spans="1:14" ht="45" customHeight="1" x14ac:dyDescent="0.25">
      <c r="A6" s="9" t="s">
        <v>57</v>
      </c>
      <c r="B6" s="9" t="s">
        <v>26</v>
      </c>
      <c r="C6" s="9" t="s">
        <v>25</v>
      </c>
      <c r="D6" s="9" t="s">
        <v>56</v>
      </c>
      <c r="E6" s="9" t="s">
        <v>55</v>
      </c>
      <c r="F6" s="9" t="s">
        <v>10</v>
      </c>
      <c r="G6" s="9" t="s">
        <v>11</v>
      </c>
      <c r="H6" s="14">
        <v>40547.19</v>
      </c>
      <c r="I6" s="9" t="s">
        <v>54</v>
      </c>
      <c r="J6" s="9"/>
      <c r="K6" s="9" t="s">
        <v>53</v>
      </c>
      <c r="L6" s="9"/>
      <c r="M6" s="9"/>
      <c r="N6" s="9"/>
    </row>
    <row r="7" spans="1:14" ht="45" customHeight="1" x14ac:dyDescent="0.25">
      <c r="A7" s="9" t="s">
        <v>52</v>
      </c>
      <c r="B7" s="9" t="s">
        <v>37</v>
      </c>
      <c r="C7" s="9" t="s">
        <v>25</v>
      </c>
      <c r="D7" s="9" t="s">
        <v>51</v>
      </c>
      <c r="E7" s="9" t="s">
        <v>50</v>
      </c>
      <c r="F7" s="9" t="s">
        <v>14</v>
      </c>
      <c r="G7" s="9" t="s">
        <v>11</v>
      </c>
      <c r="H7" s="14">
        <v>33213</v>
      </c>
      <c r="I7" s="9" t="s">
        <v>49</v>
      </c>
      <c r="J7" s="9"/>
      <c r="K7" s="9" t="s">
        <v>48</v>
      </c>
      <c r="L7" s="9" t="s">
        <v>47</v>
      </c>
      <c r="M7" s="9"/>
      <c r="N7" s="9"/>
    </row>
    <row r="8" spans="1:14" ht="45" customHeight="1" x14ac:dyDescent="0.25">
      <c r="A8" s="9" t="s">
        <v>46</v>
      </c>
      <c r="B8" s="9" t="s">
        <v>37</v>
      </c>
      <c r="C8" s="9" t="s">
        <v>25</v>
      </c>
      <c r="D8" s="9" t="s">
        <v>45</v>
      </c>
      <c r="E8" s="9"/>
      <c r="F8" s="9" t="s">
        <v>19</v>
      </c>
      <c r="G8" s="9" t="s">
        <v>18</v>
      </c>
      <c r="H8" s="14">
        <v>19703.93</v>
      </c>
      <c r="I8" s="9" t="s">
        <v>44</v>
      </c>
      <c r="J8" s="9"/>
      <c r="K8" s="9" t="s">
        <v>43</v>
      </c>
      <c r="L8" s="9"/>
      <c r="M8" s="9"/>
      <c r="N8" s="9"/>
    </row>
    <row r="9" spans="1:14" ht="45" customHeight="1" x14ac:dyDescent="0.25">
      <c r="A9" s="9" t="s">
        <v>42</v>
      </c>
      <c r="B9" s="9" t="s">
        <v>26</v>
      </c>
      <c r="C9" s="9" t="s">
        <v>25</v>
      </c>
      <c r="D9" s="9" t="s">
        <v>41</v>
      </c>
      <c r="E9" s="9"/>
      <c r="F9" s="9" t="s">
        <v>12</v>
      </c>
      <c r="G9" s="9" t="s">
        <v>11</v>
      </c>
      <c r="H9" s="14">
        <v>24876.75</v>
      </c>
      <c r="I9" s="9" t="s">
        <v>40</v>
      </c>
      <c r="J9" s="9"/>
      <c r="K9" s="9" t="s">
        <v>39</v>
      </c>
      <c r="L9" s="9"/>
      <c r="M9" s="9"/>
      <c r="N9" s="9"/>
    </row>
    <row r="10" spans="1:14" ht="45" customHeight="1" x14ac:dyDescent="0.25">
      <c r="A10" s="9" t="s">
        <v>38</v>
      </c>
      <c r="B10" s="9" t="s">
        <v>37</v>
      </c>
      <c r="C10" s="9" t="s">
        <v>25</v>
      </c>
      <c r="D10" s="9" t="s">
        <v>36</v>
      </c>
      <c r="E10" s="9"/>
      <c r="F10" s="9" t="s">
        <v>14</v>
      </c>
      <c r="G10" s="9" t="s">
        <v>11</v>
      </c>
      <c r="H10" s="14">
        <v>27449.75</v>
      </c>
      <c r="I10" s="9" t="s">
        <v>35</v>
      </c>
      <c r="J10" s="9"/>
      <c r="K10" s="9" t="s">
        <v>34</v>
      </c>
      <c r="L10" s="9"/>
      <c r="M10" s="9"/>
      <c r="N10" s="9"/>
    </row>
    <row r="11" spans="1:14" ht="45" customHeight="1" x14ac:dyDescent="0.25">
      <c r="A11" s="9" t="s">
        <v>33</v>
      </c>
      <c r="B11" s="9" t="s">
        <v>26</v>
      </c>
      <c r="C11" s="9" t="s">
        <v>25</v>
      </c>
      <c r="D11" s="9" t="s">
        <v>32</v>
      </c>
      <c r="E11" s="9" t="s">
        <v>31</v>
      </c>
      <c r="F11" s="9" t="s">
        <v>16</v>
      </c>
      <c r="G11" s="9" t="s">
        <v>13</v>
      </c>
      <c r="H11" s="14">
        <v>39406.94</v>
      </c>
      <c r="I11" s="9" t="s">
        <v>30</v>
      </c>
      <c r="J11" s="9" t="s">
        <v>30</v>
      </c>
      <c r="K11" s="9" t="s">
        <v>29</v>
      </c>
      <c r="L11" s="9" t="s">
        <v>28</v>
      </c>
      <c r="M11" s="9"/>
      <c r="N11" s="9"/>
    </row>
    <row r="12" spans="1:14" ht="45" customHeight="1" x14ac:dyDescent="0.25">
      <c r="A12" s="9" t="s">
        <v>27</v>
      </c>
      <c r="B12" s="9" t="s">
        <v>26</v>
      </c>
      <c r="C12" s="9" t="s">
        <v>25</v>
      </c>
      <c r="D12" s="9" t="s">
        <v>24</v>
      </c>
      <c r="E12" s="9"/>
      <c r="F12" s="9" t="s">
        <v>12</v>
      </c>
      <c r="G12" s="9" t="s">
        <v>13</v>
      </c>
      <c r="H12" s="14">
        <v>24392.99</v>
      </c>
      <c r="I12" s="9"/>
      <c r="J12" s="9"/>
      <c r="K12" s="9" t="s">
        <v>23</v>
      </c>
      <c r="L12" s="9"/>
      <c r="M12" s="9"/>
      <c r="N12" s="9"/>
    </row>
    <row r="13" spans="1:14" ht="45" customHeight="1" x14ac:dyDescent="0.25">
      <c r="A13" s="15"/>
      <c r="B13" s="15"/>
      <c r="C13" s="15"/>
      <c r="D13" s="15" t="s">
        <v>22</v>
      </c>
      <c r="E13" s="15"/>
      <c r="F13" s="15"/>
      <c r="G13" s="15"/>
      <c r="H13" s="16">
        <f>SUM(H4:H12)</f>
        <v>333213.73</v>
      </c>
      <c r="I13" s="15"/>
      <c r="J13" s="15"/>
      <c r="K13" s="15"/>
      <c r="L13" s="15"/>
      <c r="M13" s="9"/>
      <c r="N13" s="9"/>
    </row>
    <row r="14" spans="1:14" ht="4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45" customHeight="1" x14ac:dyDescent="0.25"/>
    <row r="16" spans="1:14" ht="45" customHeight="1" x14ac:dyDescent="0.25"/>
    <row r="17" s="8" customFormat="1" ht="45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AD5B-97B4-405A-B15A-EE65C531BBC4}">
  <sheetPr>
    <pageSetUpPr fitToPage="1"/>
  </sheetPr>
  <dimension ref="A1:J31"/>
  <sheetViews>
    <sheetView workbookViewId="0">
      <pane ySplit="3" topLeftCell="A4" activePane="bottomLeft" state="frozen"/>
      <selection pane="bottomLeft" activeCell="E18" sqref="E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7" style="8" bestFit="1" customWidth="1"/>
    <col min="4" max="4" width="18.7109375" style="8" bestFit="1" customWidth="1"/>
    <col min="5" max="5" width="22.42578125" style="8" bestFit="1" customWidth="1"/>
    <col min="6" max="16384" width="9.140625" style="8"/>
  </cols>
  <sheetData>
    <row r="1" spans="1:10" x14ac:dyDescent="0.25">
      <c r="A1" s="9"/>
      <c r="B1" s="9"/>
      <c r="C1" s="9" t="s">
        <v>3</v>
      </c>
      <c r="D1" s="10">
        <v>45679</v>
      </c>
      <c r="E1" s="9" t="s">
        <v>2</v>
      </c>
      <c r="F1" s="9"/>
      <c r="G1" s="9"/>
      <c r="H1" s="9"/>
      <c r="I1" s="9"/>
      <c r="J1" s="9"/>
    </row>
    <row r="2" spans="1:10" x14ac:dyDescent="0.25">
      <c r="A2" s="11" t="s">
        <v>0</v>
      </c>
      <c r="B2" s="12"/>
      <c r="C2" s="12"/>
      <c r="D2" s="13" t="s">
        <v>81</v>
      </c>
      <c r="E2" s="12"/>
      <c r="F2" s="9"/>
      <c r="G2" s="9"/>
      <c r="H2" s="9"/>
      <c r="I2" s="9"/>
      <c r="J2" s="9"/>
    </row>
    <row r="3" spans="1:10" x14ac:dyDescent="0.25">
      <c r="A3" s="9" t="s">
        <v>75</v>
      </c>
      <c r="B3" s="9" t="s">
        <v>73</v>
      </c>
      <c r="C3" s="9" t="s">
        <v>72</v>
      </c>
      <c r="D3" s="9" t="s">
        <v>71</v>
      </c>
      <c r="E3" s="9" t="s">
        <v>4</v>
      </c>
      <c r="F3" s="9"/>
      <c r="G3" s="9"/>
      <c r="H3" s="9"/>
      <c r="I3" s="9"/>
      <c r="J3" s="9"/>
    </row>
    <row r="4" spans="1:10" x14ac:dyDescent="0.25">
      <c r="A4" s="9" t="s">
        <v>62</v>
      </c>
      <c r="B4" s="9" t="s">
        <v>61</v>
      </c>
      <c r="C4" s="9" t="s">
        <v>60</v>
      </c>
      <c r="D4" s="9"/>
      <c r="E4" s="9" t="s">
        <v>15</v>
      </c>
      <c r="F4" s="9"/>
      <c r="G4" s="9"/>
      <c r="H4" s="9"/>
      <c r="I4" s="9"/>
      <c r="J4" s="9"/>
    </row>
    <row r="5" spans="1:10" x14ac:dyDescent="0.25">
      <c r="A5" s="15"/>
      <c r="B5" s="15"/>
      <c r="C5" s="15" t="s">
        <v>80</v>
      </c>
      <c r="D5" s="15"/>
      <c r="E5" s="15"/>
      <c r="F5" s="9"/>
      <c r="G5" s="9"/>
      <c r="H5" s="9"/>
      <c r="I5" s="9"/>
      <c r="J5" s="9"/>
    </row>
    <row r="6" spans="1:10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x14ac:dyDescent="0.2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9" t="s">
        <v>79</v>
      </c>
      <c r="B9" s="9"/>
      <c r="C9" s="9"/>
      <c r="D9" s="9"/>
      <c r="E9" s="9"/>
      <c r="F9" s="9"/>
      <c r="G9" s="9"/>
      <c r="H9" s="9"/>
      <c r="I9" s="9"/>
      <c r="J9" s="9"/>
    </row>
    <row r="10" spans="1:1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9" t="s">
        <v>78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9" t="s">
        <v>77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2025-01-22T19:05:35Z</cp:lastPrinted>
  <dcterms:created xsi:type="dcterms:W3CDTF">2025-01-22T18:49:41Z</dcterms:created>
  <dcterms:modified xsi:type="dcterms:W3CDTF">2025-01-22T19:30:37Z</dcterms:modified>
</cp:coreProperties>
</file>