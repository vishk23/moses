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6A6A32C-0E89-4540-846B-7F965095F991}" xr6:coauthVersionLast="47" xr6:coauthVersionMax="47" xr10:uidLastSave="{00000000-0000-0000-0000-000000000000}"/>
  <bookViews>
    <workbookView xWindow="33150" yWindow="0" windowWidth="20580" windowHeight="1516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15" i="2"/>
  <c r="H28" i="2"/>
  <c r="F28" i="2"/>
  <c r="E28" i="2"/>
  <c r="D28" i="2"/>
  <c r="H17" i="1"/>
</calcChain>
</file>

<file path=xl/sharedStrings.xml><?xml version="1.0" encoding="utf-8"?>
<sst xmlns="http://schemas.openxmlformats.org/spreadsheetml/2006/main" count="180" uniqueCount="98">
  <si>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</si>
  <si>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</si>
  <si>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</si>
  <si>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</si>
  <si>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</si>
  <si>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</si>
  <si>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</si>
  <si>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</si>
  <si>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</si>
  <si>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</si>
  <si>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</si>
  <si>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</si>
  <si>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</si>
  <si>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</si>
  <si>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</si>
  <si>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</si>
  <si>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</si>
  <si>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</si>
  <si>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COLELLA, KIMBERLY</t>
  </si>
  <si>
    <t>T F Murphy Enterprises Inc</t>
  </si>
  <si>
    <t>Neli Oliveira</t>
  </si>
  <si>
    <t>kaw1998@aol.com</t>
  </si>
  <si>
    <t>PHILBRICK</t>
  </si>
  <si>
    <t>DealerTrack</t>
  </si>
  <si>
    <t>ZEPEDA GARCIA, JUAN</t>
  </si>
  <si>
    <t>BID Cars Boston</t>
  </si>
  <si>
    <t>LOPEZC1511@GMAIL.COM</t>
  </si>
  <si>
    <t>GARCIA</t>
  </si>
  <si>
    <t>151166420</t>
  </si>
  <si>
    <t>Paper</t>
  </si>
  <si>
    <t>FRIEDMAN, THEODORE</t>
  </si>
  <si>
    <t>Gesner Auto Inc</t>
  </si>
  <si>
    <t>TEDFRIEDMANHOMES@GMAIL.COM</t>
  </si>
  <si>
    <t>Greene</t>
  </si>
  <si>
    <t>151166454</t>
  </si>
  <si>
    <t>ANDERSON, SCOTT</t>
  </si>
  <si>
    <t>Volvo of Tiverton</t>
  </si>
  <si>
    <t>SANDERSON@SOLECT.COM</t>
  </si>
  <si>
    <t>JEAN</t>
  </si>
  <si>
    <t>151166488</t>
  </si>
  <si>
    <t>CONNELL, DEBORAH</t>
  </si>
  <si>
    <t>DEBORAHCONNELL25@GMAIL.COM</t>
  </si>
  <si>
    <t>WEISER</t>
  </si>
  <si>
    <t>DIBIASIO, MARK</t>
  </si>
  <si>
    <t>Bald Hill Dodge Chrysler</t>
  </si>
  <si>
    <t>MOORE</t>
  </si>
  <si>
    <t>HADDAD, JAMES</t>
  </si>
  <si>
    <t>Herb Chambers Lexus of Hingham</t>
  </si>
  <si>
    <t>Rachel Gorham</t>
  </si>
  <si>
    <t>HADDADCAROL02@GMAIL.COM</t>
  </si>
  <si>
    <t>THOMAS</t>
  </si>
  <si>
    <t>ARRUDA, VERONICA</t>
  </si>
  <si>
    <t>Hiller Co Inc</t>
  </si>
  <si>
    <t>scarudya@gmail.com</t>
  </si>
  <si>
    <t>RESTO</t>
  </si>
  <si>
    <t>KARNES, JOSHUA</t>
  </si>
  <si>
    <t>BULLETTA86@AOL.COM</t>
  </si>
  <si>
    <t>JOHNSON</t>
  </si>
  <si>
    <t>AGUIAR, JOYCE</t>
  </si>
  <si>
    <t>Colonial South Chevrolet</t>
  </si>
  <si>
    <t>J_GARCIA_AGUIAR58@ICLOUD.COM</t>
  </si>
  <si>
    <t>FREITAS</t>
  </si>
  <si>
    <t>WILLIAMS, DAVID</t>
  </si>
  <si>
    <t>Planet Subaru</t>
  </si>
  <si>
    <t>DAVE.WILLIAMS7171@GMAIL.COM</t>
  </si>
  <si>
    <t>WHEELER</t>
  </si>
  <si>
    <t>ROBBINS, STUART</t>
  </si>
  <si>
    <t>Wareham Ford</t>
  </si>
  <si>
    <t>sck91@comcast.net</t>
  </si>
  <si>
    <t>TETLOW</t>
  </si>
  <si>
    <t>TEMKIN, DEAN</t>
  </si>
  <si>
    <t>Grieco Enterprises, LLC d/b/a</t>
  </si>
  <si>
    <t>DTEMKIN@TEMKINLAW.COM</t>
  </si>
  <si>
    <t>BACKMAN</t>
  </si>
  <si>
    <t># 13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</si>
  <si>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</si>
  <si>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</si>
  <si>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</si>
  <si>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</si>
  <si>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</si>
  <si>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</si>
  <si>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</si>
  <si>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</si>
  <si>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3</t>
  </si>
  <si>
    <t>Original Notes Delivered</t>
  </si>
  <si>
    <t xml:space="preserve">Delivered by: </t>
  </si>
  <si>
    <t>Received by:</t>
  </si>
  <si>
    <t>Date Signed:</t>
  </si>
  <si>
    <t>151166298 E</t>
  </si>
  <si>
    <t>151166397 E</t>
  </si>
  <si>
    <t>151166610 E</t>
  </si>
  <si>
    <t>151166628 E</t>
  </si>
  <si>
    <t>151166636 E</t>
  </si>
  <si>
    <t>151166644 E</t>
  </si>
  <si>
    <t>151166652 E</t>
  </si>
  <si>
    <t>151166660 E</t>
  </si>
  <si>
    <t>151166678 E</t>
  </si>
  <si>
    <t>151166686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</si>
</sst>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7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772AB9-9681-40A5-AEC5-1B1FC521BD6C}" name="Table_14" displayName="Table_14" ref="A3:H28" headerRowDxfId="18" dataDxfId="16" totalsRowDxfId="17">
  <tableColumns count="8">
    <tableColumn id="1" xr3:uid="{92D72B7A-848A-4CC5-9DF5-D7E59D94E001}" name="Dealer Name" dataDxfId="26"/>
    <tableColumn id="8" xr3:uid="{82752CEB-AC20-41F0-80D8-FD435563FBB9}" name="Column2" dataDxfId="25"/>
    <tableColumn id="2" xr3:uid="{E5E1AF9E-3943-4089-A434-DE2FB4B82A0A}" name="Funded by" dataDxfId="24"/>
    <tableColumn id="3" xr3:uid="{8AE3913D-4FF0-430B-BE4E-758D1BCB1F5A}" name="Dealer Flat" dataDxfId="23"/>
    <tableColumn id="4" xr3:uid="{AA443364-682C-4E90-A3CE-07A4400709B7}" name="Dealer Split" dataDxfId="22"/>
    <tableColumn id="5" xr3:uid="{02C1AC75-953B-4EA1-B353-977928F9201D}" name="Net to Dealer" dataDxfId="21"/>
    <tableColumn id="7" xr3:uid="{8848D817-3FFF-45A7-84C7-8A1E06734165}" name="Column1" dataDxfId="20"/>
    <tableColumn id="6" xr3:uid="{5DD12C4A-E1C0-457F-80EA-60B1D0FAD507}" name="Contracted Amount Financed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89C411-A5AD-486F-A7C6-967DCA62C78F}" name="Table_16" displayName="Table_16" ref="A3:E7">
  <tableColumns count="5">
    <tableColumn id="1" xr3:uid="{040A83F8-BA51-4393-A799-F3CB7EDECF18}" name="Account Number"/>
    <tableColumn id="2" xr3:uid="{072845A6-7B6B-4C04-A111-47C65506A6BF}" name="Contract Type"/>
    <tableColumn id="3" xr3:uid="{FA231C83-A4FD-40E9-A76F-8287362B9902}" name="Applicant Name"/>
    <tableColumn id="4" xr3:uid="{787515D6-4F40-421B-B1BE-E769F13FC2E8}" name="Co-Applicant Name"/>
    <tableColumn id="5" xr3:uid="{E142BCA3-4CBF-4CCB-A47D-0DDEE8FA7562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tabSelected="1" workbookViewId="0">
      <pane ySplit="3" topLeftCell="A9" activePane="bottomLeft" state="frozen"/>
      <selection pane="bottomLeft" activeCell="D22" sqref="D22"/>
    </sheetView>
  </sheetViews>
  <sheetFormatPr defaultRowHeight="15.75" x14ac:dyDescent="0.25"/>
  <cols>
    <col min="1" max="1" width="16.42578125" style="7" bestFit="1" customWidth="1"/>
    <col min="2" max="2" width="12.140625" style="7" bestFit="1" customWidth="1"/>
    <col min="3" max="3" width="14" style="7" bestFit="1" customWidth="1"/>
    <col min="4" max="4" width="22.28515625" style="7" bestFit="1" customWidth="1"/>
    <col min="5" max="5" width="4" style="7" customWidth="1"/>
    <col min="6" max="6" width="32.5703125" style="7" bestFit="1" customWidth="1"/>
    <col min="7" max="7" width="15.140625" style="7" bestFit="1" customWidth="1"/>
    <col min="8" max="8" width="17.140625" style="7" bestFit="1" customWidth="1"/>
    <col min="9" max="9" width="33.7109375" style="7" bestFit="1" customWidth="1"/>
    <col min="10" max="10" width="2.7109375" style="7" customWidth="1"/>
    <col min="11" max="11" width="14" style="7" bestFit="1" customWidth="1"/>
    <col min="12" max="12" width="12.85546875" style="7" hidden="1" customWidth="1"/>
    <col min="13" max="13" width="15.140625" style="7" hidden="1" customWidth="1"/>
    <col min="14" max="16384" width="9.140625" style="7"/>
  </cols>
  <sheetData>
    <row r="1" spans="1:13" x14ac:dyDescent="0.25">
      <c r="A1" s="16">
        <v>45757</v>
      </c>
      <c r="K1" s="8">
        <v>45757</v>
      </c>
      <c r="L1" s="7" t="s">
        <v>2</v>
      </c>
      <c r="M1" s="8">
        <v>45757.999988425923</v>
      </c>
    </row>
    <row r="2" spans="1:13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  <c r="M2" s="10"/>
    </row>
    <row r="3" spans="1:13" x14ac:dyDescent="0.25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</row>
    <row r="4" spans="1:13" ht="33" customHeight="1" x14ac:dyDescent="0.25">
      <c r="A4" s="7" t="s">
        <v>88</v>
      </c>
      <c r="B4" s="7" t="s">
        <v>16</v>
      </c>
      <c r="C4" s="7" t="s">
        <v>17</v>
      </c>
      <c r="D4" s="7" t="s">
        <v>18</v>
      </c>
      <c r="F4" s="7" t="s">
        <v>19</v>
      </c>
      <c r="G4" s="7" t="s">
        <v>20</v>
      </c>
      <c r="H4" s="12">
        <v>36299.440000000002</v>
      </c>
      <c r="I4" s="7" t="s">
        <v>21</v>
      </c>
      <c r="K4" s="7" t="s">
        <v>22</v>
      </c>
    </row>
    <row r="5" spans="1:13" ht="33" customHeight="1" x14ac:dyDescent="0.25">
      <c r="A5" s="7" t="s">
        <v>89</v>
      </c>
      <c r="B5" s="7" t="s">
        <v>23</v>
      </c>
      <c r="C5" s="7" t="s">
        <v>17</v>
      </c>
      <c r="D5" s="7" t="s">
        <v>24</v>
      </c>
      <c r="F5" s="7" t="s">
        <v>25</v>
      </c>
      <c r="G5" s="7" t="s">
        <v>20</v>
      </c>
      <c r="H5" s="12">
        <v>29730.68</v>
      </c>
      <c r="I5" s="7" t="s">
        <v>26</v>
      </c>
      <c r="K5" s="7" t="s">
        <v>27</v>
      </c>
    </row>
    <row r="6" spans="1:13" ht="33" customHeight="1" x14ac:dyDescent="0.25">
      <c r="A6" s="7" t="s">
        <v>28</v>
      </c>
      <c r="B6" s="7" t="s">
        <v>23</v>
      </c>
      <c r="C6" s="7" t="s">
        <v>29</v>
      </c>
      <c r="D6" s="7" t="s">
        <v>30</v>
      </c>
      <c r="F6" s="7" t="s">
        <v>31</v>
      </c>
      <c r="G6" s="7" t="s">
        <v>20</v>
      </c>
      <c r="H6" s="12">
        <v>15828.6</v>
      </c>
      <c r="I6" s="7" t="s">
        <v>32</v>
      </c>
      <c r="K6" s="7" t="s">
        <v>33</v>
      </c>
    </row>
    <row r="7" spans="1:13" ht="33" customHeight="1" x14ac:dyDescent="0.25">
      <c r="A7" s="7" t="s">
        <v>34</v>
      </c>
      <c r="B7" s="7" t="s">
        <v>23</v>
      </c>
      <c r="C7" s="7" t="s">
        <v>29</v>
      </c>
      <c r="D7" s="7" t="s">
        <v>35</v>
      </c>
      <c r="F7" s="7" t="s">
        <v>36</v>
      </c>
      <c r="G7" s="7" t="s">
        <v>20</v>
      </c>
      <c r="H7" s="12">
        <v>26742</v>
      </c>
      <c r="I7" s="7" t="s">
        <v>37</v>
      </c>
      <c r="K7" s="7" t="s">
        <v>38</v>
      </c>
    </row>
    <row r="8" spans="1:13" ht="33" customHeight="1" x14ac:dyDescent="0.25">
      <c r="A8" s="7" t="s">
        <v>39</v>
      </c>
      <c r="B8" s="7" t="s">
        <v>23</v>
      </c>
      <c r="C8" s="7" t="s">
        <v>29</v>
      </c>
      <c r="D8" s="7" t="s">
        <v>40</v>
      </c>
      <c r="F8" s="7" t="s">
        <v>36</v>
      </c>
      <c r="G8" s="7" t="s">
        <v>20</v>
      </c>
      <c r="H8" s="12">
        <v>39416.43</v>
      </c>
      <c r="I8" s="7" t="s">
        <v>41</v>
      </c>
      <c r="K8" s="7" t="s">
        <v>42</v>
      </c>
    </row>
    <row r="9" spans="1:13" ht="33" customHeight="1" x14ac:dyDescent="0.25">
      <c r="A9" s="7" t="s">
        <v>90</v>
      </c>
      <c r="B9" s="7" t="s">
        <v>16</v>
      </c>
      <c r="C9" s="7" t="s">
        <v>17</v>
      </c>
      <c r="D9" s="7" t="s">
        <v>43</v>
      </c>
      <c r="F9" s="7" t="s">
        <v>44</v>
      </c>
      <c r="G9" s="7" t="s">
        <v>20</v>
      </c>
      <c r="H9" s="12">
        <v>28343.51</v>
      </c>
      <c r="K9" s="7" t="s">
        <v>45</v>
      </c>
    </row>
    <row r="10" spans="1:13" ht="33" customHeight="1" x14ac:dyDescent="0.25">
      <c r="A10" s="7" t="s">
        <v>91</v>
      </c>
      <c r="B10" s="7" t="s">
        <v>16</v>
      </c>
      <c r="C10" s="7" t="s">
        <v>17</v>
      </c>
      <c r="D10" s="7" t="s">
        <v>46</v>
      </c>
      <c r="F10" s="7" t="s">
        <v>47</v>
      </c>
      <c r="G10" s="7" t="s">
        <v>48</v>
      </c>
      <c r="H10" s="12">
        <v>49177</v>
      </c>
      <c r="I10" s="7" t="s">
        <v>49</v>
      </c>
      <c r="K10" s="7" t="s">
        <v>50</v>
      </c>
    </row>
    <row r="11" spans="1:13" ht="33" customHeight="1" x14ac:dyDescent="0.25">
      <c r="A11" s="7" t="s">
        <v>92</v>
      </c>
      <c r="B11" s="7" t="s">
        <v>16</v>
      </c>
      <c r="C11" s="7" t="s">
        <v>17</v>
      </c>
      <c r="D11" s="7" t="s">
        <v>51</v>
      </c>
      <c r="F11" s="7" t="s">
        <v>52</v>
      </c>
      <c r="G11" s="7" t="s">
        <v>48</v>
      </c>
      <c r="H11" s="12">
        <v>21573.87</v>
      </c>
      <c r="I11" s="7" t="s">
        <v>53</v>
      </c>
      <c r="K11" s="7" t="s">
        <v>54</v>
      </c>
    </row>
    <row r="12" spans="1:13" ht="33" customHeight="1" x14ac:dyDescent="0.25">
      <c r="A12" s="7" t="s">
        <v>93</v>
      </c>
      <c r="B12" s="7" t="s">
        <v>16</v>
      </c>
      <c r="C12" s="7" t="s">
        <v>17</v>
      </c>
      <c r="D12" s="7" t="s">
        <v>55</v>
      </c>
      <c r="F12" s="7" t="s">
        <v>47</v>
      </c>
      <c r="G12" s="7" t="s">
        <v>20</v>
      </c>
      <c r="H12" s="12">
        <v>34014.639999999999</v>
      </c>
      <c r="I12" s="7" t="s">
        <v>56</v>
      </c>
      <c r="K12" s="7" t="s">
        <v>57</v>
      </c>
    </row>
    <row r="13" spans="1:13" ht="33" customHeight="1" x14ac:dyDescent="0.25">
      <c r="A13" s="7" t="s">
        <v>94</v>
      </c>
      <c r="B13" s="7" t="s">
        <v>16</v>
      </c>
      <c r="C13" s="7" t="s">
        <v>17</v>
      </c>
      <c r="D13" s="7" t="s">
        <v>58</v>
      </c>
      <c r="F13" s="7" t="s">
        <v>59</v>
      </c>
      <c r="G13" s="7" t="s">
        <v>48</v>
      </c>
      <c r="H13" s="12">
        <v>21991.439999999999</v>
      </c>
      <c r="I13" s="7" t="s">
        <v>60</v>
      </c>
      <c r="K13" s="7" t="s">
        <v>61</v>
      </c>
    </row>
    <row r="14" spans="1:13" ht="33" customHeight="1" x14ac:dyDescent="0.25">
      <c r="A14" s="7" t="s">
        <v>95</v>
      </c>
      <c r="B14" s="7" t="s">
        <v>23</v>
      </c>
      <c r="C14" s="7" t="s">
        <v>17</v>
      </c>
      <c r="D14" s="7" t="s">
        <v>62</v>
      </c>
      <c r="F14" s="7" t="s">
        <v>63</v>
      </c>
      <c r="G14" s="7" t="s">
        <v>48</v>
      </c>
      <c r="H14" s="12">
        <v>27648.28</v>
      </c>
      <c r="I14" s="7" t="s">
        <v>64</v>
      </c>
      <c r="K14" s="7" t="s">
        <v>65</v>
      </c>
    </row>
    <row r="15" spans="1:13" ht="33" customHeight="1" x14ac:dyDescent="0.25">
      <c r="A15" s="7" t="s">
        <v>96</v>
      </c>
      <c r="B15" s="7" t="s">
        <v>16</v>
      </c>
      <c r="C15" s="7" t="s">
        <v>17</v>
      </c>
      <c r="D15" s="7" t="s">
        <v>66</v>
      </c>
      <c r="F15" s="7" t="s">
        <v>67</v>
      </c>
      <c r="G15" s="7" t="s">
        <v>48</v>
      </c>
      <c r="H15" s="12">
        <v>22525.5</v>
      </c>
      <c r="I15" s="7" t="s">
        <v>68</v>
      </c>
      <c r="K15" s="7" t="s">
        <v>69</v>
      </c>
    </row>
    <row r="16" spans="1:13" ht="33" customHeight="1" x14ac:dyDescent="0.25">
      <c r="A16" s="7" t="s">
        <v>97</v>
      </c>
      <c r="B16" s="7" t="s">
        <v>23</v>
      </c>
      <c r="C16" s="7" t="s">
        <v>17</v>
      </c>
      <c r="D16" s="7" t="s">
        <v>70</v>
      </c>
      <c r="F16" s="7" t="s">
        <v>71</v>
      </c>
      <c r="G16" s="7" t="s">
        <v>20</v>
      </c>
      <c r="H16" s="12">
        <v>33175.93</v>
      </c>
      <c r="I16" s="7" t="s">
        <v>72</v>
      </c>
      <c r="K16" s="7" t="s">
        <v>73</v>
      </c>
    </row>
    <row r="17" spans="1:13" x14ac:dyDescent="0.25">
      <c r="A17" s="13"/>
      <c r="B17" s="13"/>
      <c r="C17" s="13"/>
      <c r="D17" s="13" t="s">
        <v>74</v>
      </c>
      <c r="E17" s="13"/>
      <c r="F17" s="13"/>
      <c r="G17" s="13"/>
      <c r="H17" s="14">
        <f>SUM(H4:H16)</f>
        <v>386467.32</v>
      </c>
      <c r="I17" s="13"/>
      <c r="J17" s="13"/>
      <c r="K17" s="13"/>
      <c r="L17" s="13"/>
      <c r="M17" s="13"/>
    </row>
  </sheetData>
  <mergeCells count="2">
    <mergeCell ref="A2:F2"/>
    <mergeCell ref="G2:M2"/>
  </mergeCells>
  <pageMargins left="0.7" right="0.2" top="0.75" bottom="0.75" header="0.3" footer="0.3"/>
  <pageSetup paperSize="5" scale="9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63F6-E0BC-4A2B-AA13-40BD463B5350}">
  <sheetPr>
    <pageSetUpPr fitToPage="1"/>
  </sheetPr>
  <dimension ref="A1:H28"/>
  <sheetViews>
    <sheetView topLeftCell="A14" workbookViewId="0">
      <selection activeCell="L15" sqref="L15"/>
    </sheetView>
  </sheetViews>
  <sheetFormatPr defaultRowHeight="15.75" x14ac:dyDescent="0.25"/>
  <cols>
    <col min="1" max="1" width="24.42578125" style="7" customWidth="1"/>
    <col min="2" max="2" width="11.5703125" style="7" customWidth="1"/>
    <col min="3" max="3" width="16.85546875" style="7" customWidth="1"/>
    <col min="4" max="4" width="14.5703125" style="7" customWidth="1"/>
    <col min="5" max="5" width="14.140625" style="7" customWidth="1"/>
    <col min="6" max="7" width="16.85546875" style="7" customWidth="1"/>
    <col min="8" max="8" width="17.7109375" style="7" customWidth="1"/>
    <col min="9" max="16384" width="9.140625" style="7"/>
  </cols>
  <sheetData>
    <row r="1" spans="1:8" x14ac:dyDescent="0.25">
      <c r="E1" s="8"/>
      <c r="H1" s="8">
        <v>45757.999988425923</v>
      </c>
    </row>
    <row r="2" spans="1:8" x14ac:dyDescent="0.25">
      <c r="A2" s="9" t="s">
        <v>0</v>
      </c>
      <c r="B2" s="9"/>
      <c r="C2" s="10"/>
      <c r="D2" s="10"/>
      <c r="E2" s="11" t="s">
        <v>75</v>
      </c>
      <c r="F2" s="10"/>
      <c r="G2" s="10"/>
      <c r="H2" s="10"/>
    </row>
    <row r="3" spans="1:8" x14ac:dyDescent="0.25">
      <c r="A3" s="7" t="s">
        <v>8</v>
      </c>
      <c r="B3" s="7" t="s">
        <v>81</v>
      </c>
      <c r="C3" s="7" t="s">
        <v>9</v>
      </c>
      <c r="D3" s="7" t="s">
        <v>76</v>
      </c>
      <c r="E3" s="7" t="s">
        <v>77</v>
      </c>
      <c r="F3" s="7" t="s">
        <v>78</v>
      </c>
      <c r="G3" s="7" t="s">
        <v>80</v>
      </c>
      <c r="H3" s="7" t="s">
        <v>79</v>
      </c>
    </row>
    <row r="4" spans="1:8" ht="27" customHeight="1" x14ac:dyDescent="0.25">
      <c r="A4" s="7" t="s">
        <v>44</v>
      </c>
      <c r="C4" s="7" t="s">
        <v>20</v>
      </c>
      <c r="D4" s="12">
        <v>750</v>
      </c>
      <c r="E4" s="12">
        <v>0</v>
      </c>
      <c r="F4" s="15">
        <v>28268.51</v>
      </c>
      <c r="G4" s="12"/>
      <c r="H4" s="12">
        <v>28343.51</v>
      </c>
    </row>
    <row r="5" spans="1:8" ht="27" customHeight="1" x14ac:dyDescent="0.25">
      <c r="D5" s="12"/>
      <c r="E5" s="12"/>
      <c r="F5" s="15"/>
      <c r="G5" s="12"/>
      <c r="H5" s="12"/>
    </row>
    <row r="6" spans="1:8" ht="27" customHeight="1" x14ac:dyDescent="0.25">
      <c r="A6" s="7" t="s">
        <v>25</v>
      </c>
      <c r="C6" s="7" t="s">
        <v>20</v>
      </c>
      <c r="D6" s="12">
        <v>750</v>
      </c>
      <c r="E6" s="12">
        <v>0</v>
      </c>
      <c r="F6" s="15">
        <v>29655.68</v>
      </c>
      <c r="G6" s="12"/>
      <c r="H6" s="12">
        <v>29730.68</v>
      </c>
    </row>
    <row r="7" spans="1:8" ht="27" customHeight="1" x14ac:dyDescent="0.25">
      <c r="D7" s="12"/>
      <c r="E7" s="12"/>
      <c r="F7" s="15"/>
      <c r="G7" s="12"/>
      <c r="H7" s="12"/>
    </row>
    <row r="8" spans="1:8" ht="27" customHeight="1" x14ac:dyDescent="0.25">
      <c r="A8" s="7" t="s">
        <v>59</v>
      </c>
      <c r="C8" s="7" t="s">
        <v>48</v>
      </c>
      <c r="D8" s="12">
        <v>650</v>
      </c>
      <c r="E8" s="12">
        <v>0</v>
      </c>
      <c r="F8" s="15">
        <v>21916.44</v>
      </c>
      <c r="G8" s="12"/>
      <c r="H8" s="12">
        <v>21991.439999999999</v>
      </c>
    </row>
    <row r="9" spans="1:8" ht="27" customHeight="1" x14ac:dyDescent="0.25">
      <c r="D9" s="12"/>
      <c r="E9" s="12"/>
      <c r="F9" s="15"/>
      <c r="G9" s="12"/>
      <c r="H9" s="12"/>
    </row>
    <row r="10" spans="1:8" ht="27" customHeight="1" x14ac:dyDescent="0.25">
      <c r="A10" s="7" t="s">
        <v>31</v>
      </c>
      <c r="C10" s="7" t="s">
        <v>20</v>
      </c>
      <c r="D10" s="12">
        <v>500</v>
      </c>
      <c r="E10" s="12">
        <v>0</v>
      </c>
      <c r="F10" s="15">
        <v>15753.6</v>
      </c>
      <c r="G10" s="12"/>
      <c r="H10" s="12">
        <v>15828.6</v>
      </c>
    </row>
    <row r="11" spans="1:8" ht="27" customHeight="1" x14ac:dyDescent="0.25">
      <c r="D11" s="12"/>
      <c r="E11" s="12"/>
      <c r="F11" s="15"/>
      <c r="G11" s="12"/>
      <c r="H11" s="12"/>
    </row>
    <row r="12" spans="1:8" ht="27" customHeight="1" x14ac:dyDescent="0.25">
      <c r="A12" s="7" t="s">
        <v>71</v>
      </c>
      <c r="C12" s="7" t="s">
        <v>20</v>
      </c>
      <c r="D12" s="12">
        <v>850</v>
      </c>
      <c r="E12" s="12">
        <v>0</v>
      </c>
      <c r="F12" s="15">
        <v>33100.93</v>
      </c>
      <c r="G12" s="12"/>
      <c r="H12" s="12">
        <v>33175.93</v>
      </c>
    </row>
    <row r="13" spans="1:8" ht="27" customHeight="1" x14ac:dyDescent="0.25">
      <c r="D13" s="12"/>
      <c r="E13" s="12"/>
      <c r="F13" s="12"/>
      <c r="G13" s="12"/>
      <c r="H13" s="12"/>
    </row>
    <row r="14" spans="1:8" ht="27" customHeight="1" x14ac:dyDescent="0.25">
      <c r="A14" s="7" t="s">
        <v>47</v>
      </c>
      <c r="C14" s="7" t="s">
        <v>48</v>
      </c>
      <c r="D14" s="12">
        <v>1150</v>
      </c>
      <c r="E14" s="12">
        <v>0</v>
      </c>
      <c r="F14" s="12">
        <v>49102</v>
      </c>
      <c r="G14" s="12"/>
      <c r="H14" s="12">
        <v>49177</v>
      </c>
    </row>
    <row r="15" spans="1:8" ht="27" customHeight="1" x14ac:dyDescent="0.25">
      <c r="A15" s="7" t="s">
        <v>47</v>
      </c>
      <c r="C15" s="7" t="s">
        <v>20</v>
      </c>
      <c r="D15" s="12">
        <v>850</v>
      </c>
      <c r="E15" s="12">
        <v>0</v>
      </c>
      <c r="F15" s="12">
        <v>33939.64</v>
      </c>
      <c r="G15" s="15">
        <f>SUM(F14:F15)</f>
        <v>83041.64</v>
      </c>
      <c r="H15" s="12">
        <v>34014.639999999999</v>
      </c>
    </row>
    <row r="16" spans="1:8" ht="27" customHeight="1" x14ac:dyDescent="0.25">
      <c r="D16" s="12"/>
      <c r="E16" s="12"/>
      <c r="F16" s="12"/>
      <c r="G16" s="12"/>
      <c r="H16" s="12"/>
    </row>
    <row r="17" spans="1:8" ht="27" customHeight="1" x14ac:dyDescent="0.25">
      <c r="A17" s="7" t="s">
        <v>52</v>
      </c>
      <c r="C17" s="7" t="s">
        <v>48</v>
      </c>
      <c r="D17" s="12">
        <v>650</v>
      </c>
      <c r="E17" s="12">
        <v>0</v>
      </c>
      <c r="F17" s="15">
        <v>21498.87</v>
      </c>
      <c r="G17" s="12"/>
      <c r="H17" s="12">
        <v>21573.87</v>
      </c>
    </row>
    <row r="18" spans="1:8" ht="27" customHeight="1" x14ac:dyDescent="0.25">
      <c r="D18" s="12"/>
      <c r="E18" s="12"/>
      <c r="F18" s="15"/>
      <c r="G18" s="12"/>
      <c r="H18" s="12"/>
    </row>
    <row r="19" spans="1:8" ht="27" customHeight="1" x14ac:dyDescent="0.25">
      <c r="A19" s="7" t="s">
        <v>63</v>
      </c>
      <c r="C19" s="7" t="s">
        <v>48</v>
      </c>
      <c r="D19" s="12">
        <v>750</v>
      </c>
      <c r="E19" s="12">
        <v>0</v>
      </c>
      <c r="F19" s="15">
        <v>27573.279999999999</v>
      </c>
      <c r="G19" s="12"/>
      <c r="H19" s="12">
        <v>27648.28</v>
      </c>
    </row>
    <row r="20" spans="1:8" ht="27" customHeight="1" x14ac:dyDescent="0.25">
      <c r="D20" s="12"/>
      <c r="E20" s="12"/>
      <c r="F20" s="15"/>
      <c r="G20" s="12"/>
      <c r="H20" s="12"/>
    </row>
    <row r="21" spans="1:8" ht="27" customHeight="1" x14ac:dyDescent="0.25">
      <c r="A21" s="7" t="s">
        <v>19</v>
      </c>
      <c r="C21" s="7" t="s">
        <v>20</v>
      </c>
      <c r="D21" s="12">
        <v>950</v>
      </c>
      <c r="E21" s="12">
        <v>0</v>
      </c>
      <c r="F21" s="15">
        <v>36224.44</v>
      </c>
      <c r="G21" s="12"/>
      <c r="H21" s="12">
        <v>36299.440000000002</v>
      </c>
    </row>
    <row r="22" spans="1:8" ht="27" customHeight="1" x14ac:dyDescent="0.25">
      <c r="D22" s="12"/>
      <c r="E22" s="12"/>
      <c r="F22" s="12"/>
      <c r="G22" s="12"/>
      <c r="H22" s="12"/>
    </row>
    <row r="23" spans="1:8" ht="27" customHeight="1" x14ac:dyDescent="0.25">
      <c r="A23" s="7" t="s">
        <v>36</v>
      </c>
      <c r="C23" s="7" t="s">
        <v>20</v>
      </c>
      <c r="D23" s="12">
        <v>750</v>
      </c>
      <c r="E23" s="12">
        <v>0</v>
      </c>
      <c r="F23" s="12">
        <v>26667</v>
      </c>
      <c r="G23" s="12"/>
      <c r="H23" s="12">
        <v>26742</v>
      </c>
    </row>
    <row r="24" spans="1:8" ht="27" customHeight="1" x14ac:dyDescent="0.25">
      <c r="A24" s="7" t="s">
        <v>36</v>
      </c>
      <c r="C24" s="7" t="s">
        <v>20</v>
      </c>
      <c r="D24" s="12">
        <v>950</v>
      </c>
      <c r="E24" s="12">
        <v>0</v>
      </c>
      <c r="F24" s="12">
        <v>39341.43</v>
      </c>
      <c r="G24" s="15">
        <f>SUM(F23:F24)</f>
        <v>66008.429999999993</v>
      </c>
      <c r="H24" s="12">
        <v>39416.43</v>
      </c>
    </row>
    <row r="25" spans="1:8" ht="27" customHeight="1" x14ac:dyDescent="0.25">
      <c r="D25" s="12"/>
      <c r="E25" s="12"/>
      <c r="F25" s="12"/>
      <c r="G25" s="12"/>
      <c r="H25" s="12"/>
    </row>
    <row r="26" spans="1:8" ht="27" customHeight="1" x14ac:dyDescent="0.25">
      <c r="A26" s="7" t="s">
        <v>67</v>
      </c>
      <c r="C26" s="7" t="s">
        <v>48</v>
      </c>
      <c r="D26" s="12">
        <v>650</v>
      </c>
      <c r="E26" s="12">
        <v>0</v>
      </c>
      <c r="F26" s="15">
        <v>22450.5</v>
      </c>
      <c r="G26" s="12"/>
      <c r="H26" s="12">
        <v>22525.5</v>
      </c>
    </row>
    <row r="27" spans="1:8" ht="20.25" customHeight="1" x14ac:dyDescent="0.25">
      <c r="D27" s="12"/>
      <c r="E27" s="12"/>
      <c r="F27" s="12"/>
      <c r="G27" s="12"/>
      <c r="H27" s="12"/>
    </row>
    <row r="28" spans="1:8" x14ac:dyDescent="0.25">
      <c r="A28" s="13"/>
      <c r="B28" s="13"/>
      <c r="C28" s="13"/>
      <c r="D28" s="14">
        <f>SUM(D4:D26)</f>
        <v>10200</v>
      </c>
      <c r="E28" s="14">
        <f>SUM(E4:E26)</f>
        <v>0</v>
      </c>
      <c r="F28" s="14">
        <f>SUM(F4:F26)</f>
        <v>385492.32</v>
      </c>
      <c r="G28" s="14"/>
      <c r="H28" s="14">
        <f>SUM(H4:H26)</f>
        <v>386467.32</v>
      </c>
    </row>
  </sheetData>
  <mergeCells count="2">
    <mergeCell ref="A2:D2"/>
    <mergeCell ref="E2:H2"/>
  </mergeCells>
  <pageMargins left="0.7" right="0.2" top="0.75" bottom="0.75" header="0.3" footer="0.3"/>
  <pageSetup scale="90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68C2-92A8-4396-B802-BEF8C98CB094}">
  <sheetPr>
    <pageSetUpPr fitToPage="1"/>
  </sheetPr>
  <dimension ref="A1:E22"/>
  <sheetViews>
    <sheetView workbookViewId="0">
      <selection activeCell="H21" sqref="H21"/>
    </sheetView>
  </sheetViews>
  <sheetFormatPr defaultRowHeight="15" x14ac:dyDescent="0.25"/>
  <cols>
    <col min="1" max="1" width="17.85546875" customWidth="1"/>
    <col min="3" max="3" width="17.42578125" customWidth="1"/>
    <col min="4" max="4" width="18.140625" customWidth="1"/>
    <col min="5" max="5" width="18" customWidth="1"/>
  </cols>
  <sheetData>
    <row r="1" spans="1:5" ht="24.95" customHeight="1" x14ac:dyDescent="0.25">
      <c r="A1" t="s">
        <v>84</v>
      </c>
      <c r="D1" s="2"/>
      <c r="E1" s="2">
        <v>45757.999988425923</v>
      </c>
    </row>
    <row r="2" spans="1:5" ht="24.95" customHeight="1" x14ac:dyDescent="0.25">
      <c r="A2" s="3" t="s">
        <v>0</v>
      </c>
      <c r="B2" s="4"/>
      <c r="C2" s="4"/>
      <c r="D2" s="5" t="s">
        <v>82</v>
      </c>
      <c r="E2" s="4"/>
    </row>
    <row r="3" spans="1:5" ht="24.95" customHeight="1" x14ac:dyDescent="0.25">
      <c r="A3" t="s">
        <v>3</v>
      </c>
      <c r="B3" t="s">
        <v>5</v>
      </c>
      <c r="C3" t="s">
        <v>6</v>
      </c>
      <c r="D3" t="s">
        <v>7</v>
      </c>
      <c r="E3" t="s">
        <v>8</v>
      </c>
    </row>
    <row r="4" spans="1:5" ht="24.95" customHeight="1" x14ac:dyDescent="0.25">
      <c r="A4" t="s">
        <v>28</v>
      </c>
      <c r="B4" t="s">
        <v>29</v>
      </c>
      <c r="C4" t="s">
        <v>30</v>
      </c>
      <c r="E4" t="s">
        <v>31</v>
      </c>
    </row>
    <row r="5" spans="1:5" ht="24.95" customHeight="1" x14ac:dyDescent="0.25">
      <c r="A5" t="s">
        <v>34</v>
      </c>
      <c r="B5" t="s">
        <v>29</v>
      </c>
      <c r="C5" t="s">
        <v>35</v>
      </c>
      <c r="E5" t="s">
        <v>36</v>
      </c>
    </row>
    <row r="6" spans="1:5" ht="24.95" customHeight="1" x14ac:dyDescent="0.25">
      <c r="A6" t="s">
        <v>39</v>
      </c>
      <c r="B6" t="s">
        <v>29</v>
      </c>
      <c r="C6" t="s">
        <v>40</v>
      </c>
      <c r="E6" t="s">
        <v>36</v>
      </c>
    </row>
    <row r="7" spans="1:5" ht="24.95" customHeight="1" x14ac:dyDescent="0.25">
      <c r="A7" s="1"/>
      <c r="B7" s="1"/>
      <c r="C7" s="1" t="s">
        <v>83</v>
      </c>
      <c r="D7" s="1"/>
      <c r="E7" s="1"/>
    </row>
    <row r="12" spans="1:5" x14ac:dyDescent="0.25">
      <c r="A12" t="s">
        <v>85</v>
      </c>
      <c r="B12" s="6"/>
      <c r="C12" s="6"/>
      <c r="D12" s="6"/>
    </row>
    <row r="17" spans="1:4" x14ac:dyDescent="0.25">
      <c r="A17" t="s">
        <v>86</v>
      </c>
      <c r="B17" s="6"/>
      <c r="C17" s="6"/>
      <c r="D17" s="6"/>
    </row>
    <row r="22" spans="1:4" x14ac:dyDescent="0.25">
      <c r="A22" t="s">
        <v>87</v>
      </c>
      <c r="B22" s="6"/>
      <c r="C22" s="6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2025-04-10T18:21:07Z</cp:lastPrinted>
  <dcterms:created xsi:type="dcterms:W3CDTF">2025-04-10T18:05:00Z</dcterms:created>
  <dcterms:modified xsi:type="dcterms:W3CDTF">2025-04-10T18:38:05Z</dcterms:modified>
</cp:coreProperties>
</file>