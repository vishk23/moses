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F2629936-56A1-4850-AA08-AC9990F57E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2" l="1"/>
  <c r="F16" i="1"/>
  <c r="F30" i="1"/>
  <c r="F26" i="1"/>
  <c r="H31" i="1"/>
  <c r="E31" i="1"/>
  <c r="D31" i="1"/>
  <c r="C31" i="1"/>
</calcChain>
</file>

<file path=xl/sharedStrings.xml><?xml version="1.0" encoding="utf-8"?>
<sst xmlns="http://schemas.openxmlformats.org/spreadsheetml/2006/main" count="205" uniqueCount="115">
  <si>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</si>
  <si>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</si>
  <si>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</si>
  <si>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</si>
  <si>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</si>
  <si>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</si>
  <si>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</si>
  <si>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</si>
  <si>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</si>
  <si>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</si>
  <si>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Adao Automotive Group Inc d/b/a</t>
  </si>
  <si>
    <t>Marlene Braganca</t>
  </si>
  <si>
    <t>Alden Buick Pontiac GMC</t>
  </si>
  <si>
    <t>Neli Oliveira</t>
  </si>
  <si>
    <t>Alden Mazda</t>
  </si>
  <si>
    <t>Coastal Volkswagon</t>
  </si>
  <si>
    <t>Hiller Co Inc</t>
  </si>
  <si>
    <t>Mastria Mazda</t>
  </si>
  <si>
    <t>Rachel Gorham</t>
  </si>
  <si>
    <t>Mathieu Ford Sales, Inc</t>
  </si>
  <si>
    <t>Metro Honda</t>
  </si>
  <si>
    <t>New England Automax Inc (marlborough)</t>
  </si>
  <si>
    <t>T F Murphy Enterprises Inc</t>
  </si>
  <si>
    <t>Tasca Ford</t>
  </si>
  <si>
    <t>Column1</t>
  </si>
  <si>
    <t>Column2</t>
  </si>
  <si>
    <t>5900    6390</t>
  </si>
  <si>
    <t># 17</t>
  </si>
  <si>
    <t>MULLER</t>
  </si>
  <si>
    <t>WHITE, KRISTIN</t>
  </si>
  <si>
    <t>E Contract</t>
  </si>
  <si>
    <t>Route One</t>
  </si>
  <si>
    <t>151232544E</t>
  </si>
  <si>
    <t>HART</t>
  </si>
  <si>
    <t>WOLLSCHLAGER</t>
  </si>
  <si>
    <t>SJPHOTOS3820@GMAIL.COM</t>
  </si>
  <si>
    <t>rockstarkross@gmail.com</t>
  </si>
  <si>
    <t>JONES, SAVANNA</t>
  </si>
  <si>
    <t>Pratt, Kadin</t>
  </si>
  <si>
    <t>151232502E</t>
  </si>
  <si>
    <t>FERRY</t>
  </si>
  <si>
    <t>TIMOTHYHANNAGAN@YAHOO.COM</t>
  </si>
  <si>
    <t>HANNAGAN, TIMOTHY</t>
  </si>
  <si>
    <t>151232495E</t>
  </si>
  <si>
    <t>DINA</t>
  </si>
  <si>
    <t>theresaseyi@gmail.com</t>
  </si>
  <si>
    <t>DINA, ADEBAYO</t>
  </si>
  <si>
    <t>151232487E</t>
  </si>
  <si>
    <t>GAMELIN</t>
  </si>
  <si>
    <t>CHARITY248@COMCAST.NET</t>
  </si>
  <si>
    <t>KERR, LINDA</t>
  </si>
  <si>
    <t>151232479E</t>
  </si>
  <si>
    <t>Kenney</t>
  </si>
  <si>
    <t>JAKESTEARNS1@YAHOO.COM</t>
  </si>
  <si>
    <t>STEARNS, DANIEL</t>
  </si>
  <si>
    <t>DealerTrack</t>
  </si>
  <si>
    <t>151232461E</t>
  </si>
  <si>
    <t>Mootrey</t>
  </si>
  <si>
    <t>JDMNELSON1991@YAHOO.COM</t>
  </si>
  <si>
    <t>NELSON, JAMES</t>
  </si>
  <si>
    <t>151232453E</t>
  </si>
  <si>
    <t>TRAVERS</t>
  </si>
  <si>
    <t>ANDREWRIOTTE@GMAIL.COM</t>
  </si>
  <si>
    <t>RIOTTE, ANDREW</t>
  </si>
  <si>
    <t>151232445E</t>
  </si>
  <si>
    <t>Armstrong</t>
  </si>
  <si>
    <t>daglis.elise@gmail.com</t>
  </si>
  <si>
    <t>GARBER, ELISE</t>
  </si>
  <si>
    <t>151232429E</t>
  </si>
  <si>
    <t>Brooks</t>
  </si>
  <si>
    <t>Leanne.augusta@yahoo.com</t>
  </si>
  <si>
    <t>Augusta, Leanne</t>
  </si>
  <si>
    <t>151232388E</t>
  </si>
  <si>
    <t>MATTHEW</t>
  </si>
  <si>
    <t>74kmatthew@gmail.com</t>
  </si>
  <si>
    <t>MATTHEW, KEVIN</t>
  </si>
  <si>
    <t>151232370E</t>
  </si>
  <si>
    <t>Rodriguez</t>
  </si>
  <si>
    <t>MFAMANIA@GMAIL.COM</t>
  </si>
  <si>
    <t>FAMANIA, MARTA</t>
  </si>
  <si>
    <t>151232362E</t>
  </si>
  <si>
    <t>PROVENCHR</t>
  </si>
  <si>
    <t>Surick</t>
  </si>
  <si>
    <t>FGFHHJJ@GMAIL.COM</t>
  </si>
  <si>
    <t>KOJAEGER@ICLOUD.COM</t>
  </si>
  <si>
    <t>JAEGER, KIAYA</t>
  </si>
  <si>
    <t>JAEGER, CLIFF</t>
  </si>
  <si>
    <t>151232354E</t>
  </si>
  <si>
    <t>ROBERTSON</t>
  </si>
  <si>
    <t>KINGEDTHENINTH@YAHOO.COM</t>
  </si>
  <si>
    <t>KING, EDWARD</t>
  </si>
  <si>
    <t>151232346E</t>
  </si>
  <si>
    <t>McGlone</t>
  </si>
  <si>
    <t>CASTMAIL2@COMCAST.NET</t>
  </si>
  <si>
    <t>CASTANO, PAUL</t>
  </si>
  <si>
    <t>151232304E</t>
  </si>
  <si>
    <t>Morin</t>
  </si>
  <si>
    <t>emmarosenagle@gmail.com</t>
  </si>
  <si>
    <t>FINN, EMMA</t>
  </si>
  <si>
    <t>151232297E</t>
  </si>
  <si>
    <t>BULDUC</t>
  </si>
  <si>
    <t>MEAGHANQUINN89@GMAIL.COM</t>
  </si>
  <si>
    <t>QUINN, MEAGHAN</t>
  </si>
  <si>
    <t>151232289E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</si>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</sst>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7647210D-E18B-4960-9DF8-CA1AACC81CC9}"/>
  </cellStyles>
  <dxfs count="1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1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332548FE-87F6-4CC5-B655-DAE5F7ADEDAE}" name="Column1" dataDxfId="15"/>
    <tableColumn id="8" xr3:uid="{0F5A4D50-81BE-4E98-B290-695FD0AD2E23}" name="Column2" dataDxfId="16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51A60A-670C-4CB0-8FE2-58862C57723B}" name="Table_13" displayName="Table_13" ref="A3:L21" headerRowDxfId="2" dataDxfId="0" totalsRowDxfId="1"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1"/>
  <sheetViews>
    <sheetView tabSelected="1" workbookViewId="0">
      <pane ySplit="3" topLeftCell="A4" activePane="bottomLeft" state="frozen"/>
      <selection pane="bottomLeft" activeCell="F30" sqref="F30"/>
    </sheetView>
  </sheetViews>
  <sheetFormatPr defaultRowHeight="15" x14ac:dyDescent="0.25"/>
  <cols>
    <col min="1" max="1" width="39" bestFit="1" customWidth="1"/>
    <col min="2" max="2" width="17.7109375" bestFit="1" customWidth="1"/>
    <col min="3" max="3" width="11.140625" bestFit="1" customWidth="1"/>
    <col min="4" max="4" width="16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45936</v>
      </c>
      <c r="E1" t="s">
        <v>2</v>
      </c>
      <c r="H1" s="4">
        <v>45936.999988425923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24</v>
      </c>
      <c r="G3" t="s">
        <v>25</v>
      </c>
      <c r="H3" t="s">
        <v>9</v>
      </c>
    </row>
    <row r="4" spans="1:8" x14ac:dyDescent="0.25">
      <c r="A4" t="s">
        <v>10</v>
      </c>
      <c r="B4" t="s">
        <v>11</v>
      </c>
      <c r="C4" s="2">
        <v>650</v>
      </c>
      <c r="D4" s="2">
        <v>0</v>
      </c>
      <c r="E4" s="2">
        <v>22949.06</v>
      </c>
      <c r="F4" s="2"/>
      <c r="G4" s="2"/>
      <c r="H4" s="2">
        <v>23024.06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850</v>
      </c>
      <c r="D6" s="2">
        <v>0</v>
      </c>
      <c r="E6" s="2">
        <v>30163.94</v>
      </c>
      <c r="F6" s="2"/>
      <c r="G6" s="2"/>
      <c r="H6" s="2">
        <v>30238.94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11</v>
      </c>
      <c r="C8" s="2">
        <v>500</v>
      </c>
      <c r="D8" s="2">
        <v>0</v>
      </c>
      <c r="E8" s="2">
        <v>15456.75</v>
      </c>
      <c r="F8" s="2"/>
      <c r="G8" s="2"/>
      <c r="H8" s="2">
        <v>15531.75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11</v>
      </c>
      <c r="C10" s="2">
        <v>500</v>
      </c>
      <c r="D10" s="2">
        <v>0</v>
      </c>
      <c r="E10" s="2">
        <v>17772.310000000001</v>
      </c>
      <c r="F10" s="2"/>
      <c r="G10" s="2"/>
      <c r="H10" s="2">
        <v>17847.310000000001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16</v>
      </c>
      <c r="B12" t="s">
        <v>11</v>
      </c>
      <c r="C12" s="2">
        <v>950</v>
      </c>
      <c r="D12" s="2">
        <v>0</v>
      </c>
      <c r="E12" s="2">
        <v>38864.050000000003</v>
      </c>
      <c r="F12" s="2"/>
      <c r="G12" s="2"/>
      <c r="H12" s="2">
        <v>38939.050000000003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17</v>
      </c>
      <c r="B14" t="s">
        <v>11</v>
      </c>
      <c r="C14" s="2">
        <v>850</v>
      </c>
      <c r="D14" s="2">
        <v>0</v>
      </c>
      <c r="E14" s="2">
        <v>32711.23</v>
      </c>
      <c r="F14" s="2"/>
      <c r="G14" s="2"/>
      <c r="H14" s="2">
        <v>32786.230000000003</v>
      </c>
    </row>
    <row r="15" spans="1:8" x14ac:dyDescent="0.25">
      <c r="A15" t="s">
        <v>17</v>
      </c>
      <c r="B15" t="s">
        <v>18</v>
      </c>
      <c r="C15" s="2">
        <v>850</v>
      </c>
      <c r="D15" s="2">
        <v>0</v>
      </c>
      <c r="E15" s="2">
        <v>32199.48</v>
      </c>
      <c r="F15" s="2"/>
      <c r="G15" s="2"/>
      <c r="H15" s="2">
        <v>32274.48</v>
      </c>
    </row>
    <row r="16" spans="1:8" x14ac:dyDescent="0.25">
      <c r="A16" t="s">
        <v>17</v>
      </c>
      <c r="B16" t="s">
        <v>13</v>
      </c>
      <c r="C16" s="2">
        <v>750</v>
      </c>
      <c r="D16" s="2">
        <v>0</v>
      </c>
      <c r="E16" s="2">
        <v>27735.040000000001</v>
      </c>
      <c r="F16" s="2">
        <f>SUM(E14:E16)</f>
        <v>92645.75</v>
      </c>
      <c r="G16" s="2" t="s">
        <v>26</v>
      </c>
      <c r="H16" s="2">
        <v>27810.04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19</v>
      </c>
      <c r="B18" t="s">
        <v>13</v>
      </c>
      <c r="C18" s="2">
        <v>650</v>
      </c>
      <c r="D18" s="2">
        <v>0</v>
      </c>
      <c r="E18" s="2">
        <v>23143</v>
      </c>
      <c r="F18" s="2"/>
      <c r="G18" s="2"/>
      <c r="H18" s="2">
        <v>23218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20</v>
      </c>
      <c r="B20" t="s">
        <v>11</v>
      </c>
      <c r="C20" s="2">
        <v>950</v>
      </c>
      <c r="D20" s="2">
        <v>0</v>
      </c>
      <c r="E20" s="2">
        <v>35576.94</v>
      </c>
      <c r="F20" s="2"/>
      <c r="G20" s="2"/>
      <c r="H20" s="2">
        <v>35651.94</v>
      </c>
    </row>
    <row r="21" spans="1:8" x14ac:dyDescent="0.25">
      <c r="C21" s="2"/>
      <c r="D21" s="2"/>
      <c r="E21" s="2"/>
      <c r="F21" s="2"/>
      <c r="G21" s="2"/>
      <c r="H21" s="2"/>
    </row>
    <row r="22" spans="1:8" x14ac:dyDescent="0.25">
      <c r="A22" t="s">
        <v>21</v>
      </c>
      <c r="B22" t="s">
        <v>11</v>
      </c>
      <c r="C22" s="2">
        <v>1050</v>
      </c>
      <c r="D22" s="2">
        <v>0</v>
      </c>
      <c r="E22" s="2">
        <v>42517.19</v>
      </c>
      <c r="F22" s="2"/>
      <c r="G22" s="2"/>
      <c r="H22" s="2">
        <v>42592.19</v>
      </c>
    </row>
    <row r="23" spans="1:8" x14ac:dyDescent="0.25">
      <c r="C23" s="2"/>
      <c r="D23" s="2"/>
      <c r="E23" s="2"/>
      <c r="F23" s="2"/>
      <c r="G23" s="2"/>
      <c r="H23" s="2"/>
    </row>
    <row r="24" spans="1:8" x14ac:dyDescent="0.25">
      <c r="A24" t="s">
        <v>22</v>
      </c>
      <c r="B24" t="s">
        <v>13</v>
      </c>
      <c r="C24" s="2">
        <v>750</v>
      </c>
      <c r="D24" s="2">
        <v>0</v>
      </c>
      <c r="E24" s="2">
        <v>26159.21</v>
      </c>
      <c r="F24" s="2"/>
      <c r="G24" s="2"/>
      <c r="H24" s="2">
        <v>26234.21</v>
      </c>
    </row>
    <row r="25" spans="1:8" x14ac:dyDescent="0.25">
      <c r="A25" t="s">
        <v>22</v>
      </c>
      <c r="B25" t="s">
        <v>13</v>
      </c>
      <c r="C25" s="2">
        <v>1350</v>
      </c>
      <c r="D25" s="2">
        <v>0</v>
      </c>
      <c r="E25" s="2">
        <v>57309.13</v>
      </c>
      <c r="F25" s="2"/>
      <c r="G25" s="2"/>
      <c r="H25" s="2">
        <v>57384.13</v>
      </c>
    </row>
    <row r="26" spans="1:8" x14ac:dyDescent="0.25">
      <c r="A26" t="s">
        <v>22</v>
      </c>
      <c r="B26" t="s">
        <v>13</v>
      </c>
      <c r="C26" s="2">
        <v>950</v>
      </c>
      <c r="D26" s="2">
        <v>0</v>
      </c>
      <c r="E26" s="2">
        <v>35643.050000000003</v>
      </c>
      <c r="F26" s="2">
        <f>SUM(E24:E26)</f>
        <v>119111.39</v>
      </c>
      <c r="G26" s="2"/>
      <c r="H26" s="2">
        <v>35718.050000000003</v>
      </c>
    </row>
    <row r="27" spans="1:8" x14ac:dyDescent="0.25">
      <c r="C27" s="2"/>
      <c r="D27" s="2"/>
      <c r="E27" s="2"/>
      <c r="F27" s="2"/>
      <c r="G27" s="2"/>
      <c r="H27" s="2"/>
    </row>
    <row r="28" spans="1:8" x14ac:dyDescent="0.25">
      <c r="A28" t="s">
        <v>23</v>
      </c>
      <c r="B28" t="s">
        <v>18</v>
      </c>
      <c r="C28" s="2">
        <v>650</v>
      </c>
      <c r="D28" s="2">
        <v>0</v>
      </c>
      <c r="E28" s="2">
        <v>20045.63</v>
      </c>
      <c r="F28" s="2"/>
      <c r="G28" s="2"/>
      <c r="H28" s="2">
        <v>20120.63</v>
      </c>
    </row>
    <row r="29" spans="1:8" x14ac:dyDescent="0.25">
      <c r="A29" t="s">
        <v>23</v>
      </c>
      <c r="B29" t="s">
        <v>13</v>
      </c>
      <c r="C29" s="2">
        <v>750</v>
      </c>
      <c r="D29" s="2">
        <v>0</v>
      </c>
      <c r="E29" s="2">
        <v>27098.69</v>
      </c>
      <c r="F29" s="2"/>
      <c r="G29" s="2"/>
      <c r="H29" s="2">
        <v>27173.69</v>
      </c>
    </row>
    <row r="30" spans="1:8" x14ac:dyDescent="0.25">
      <c r="A30" t="s">
        <v>23</v>
      </c>
      <c r="B30" t="s">
        <v>13</v>
      </c>
      <c r="C30" s="2">
        <v>850</v>
      </c>
      <c r="D30" s="2">
        <v>0</v>
      </c>
      <c r="E30" s="2">
        <v>31497.58</v>
      </c>
      <c r="F30" s="2">
        <f>SUM(E28:E30)</f>
        <v>78641.899999999994</v>
      </c>
      <c r="G30" s="2"/>
      <c r="H30" s="2">
        <v>31572.58</v>
      </c>
    </row>
    <row r="31" spans="1:8" x14ac:dyDescent="0.25">
      <c r="A31" s="1"/>
      <c r="B31" s="1"/>
      <c r="C31" s="3">
        <f>SUM(C4:C30)</f>
        <v>13850</v>
      </c>
      <c r="D31" s="3">
        <f>SUM(D4:D30)</f>
        <v>0</v>
      </c>
      <c r="E31" s="3">
        <f>SUM(E4:E30)</f>
        <v>516842.28000000009</v>
      </c>
      <c r="F31" s="3"/>
      <c r="G31" s="3"/>
      <c r="H31" s="3">
        <f>SUM(H4:H30)</f>
        <v>518117.28000000009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D96A-49BA-4CFB-A0F9-E427F22FBE8C}">
  <sheetPr>
    <pageSetUpPr fitToPage="1"/>
  </sheetPr>
  <dimension ref="A1:M24"/>
  <sheetViews>
    <sheetView workbookViewId="0">
      <pane ySplit="3" topLeftCell="A4" activePane="bottomLeft" state="frozen"/>
      <selection pane="bottomLeft" activeCell="I10" sqref="I10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1.140625" style="8" bestFit="1" customWidth="1"/>
    <col min="5" max="5" width="18.7109375" style="8" bestFit="1" customWidth="1"/>
    <col min="6" max="6" width="39" style="8" bestFit="1" customWidth="1"/>
    <col min="7" max="7" width="17.7109375" style="8" bestFit="1" customWidth="1"/>
    <col min="8" max="8" width="17.140625" style="8" bestFit="1" customWidth="1"/>
    <col min="9" max="9" width="33.42578125" style="8" bestFit="1" customWidth="1"/>
    <col min="10" max="10" width="27.5703125" style="8" bestFit="1" customWidth="1"/>
    <col min="11" max="11" width="16.28515625" style="8" bestFit="1" customWidth="1"/>
    <col min="12" max="12" width="12.85546875" style="8" bestFit="1" customWidth="1"/>
    <col min="13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45936</v>
      </c>
      <c r="L1" s="9" t="s">
        <v>2</v>
      </c>
      <c r="M1" s="9"/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114</v>
      </c>
      <c r="H2" s="12"/>
      <c r="I2" s="12"/>
      <c r="J2" s="12"/>
      <c r="K2" s="12"/>
      <c r="L2" s="12"/>
      <c r="M2" s="9"/>
    </row>
    <row r="3" spans="1:13" ht="35.1" customHeight="1" x14ac:dyDescent="0.25">
      <c r="A3" s="9" t="s">
        <v>113</v>
      </c>
      <c r="B3" s="9" t="s">
        <v>112</v>
      </c>
      <c r="C3" s="9" t="s">
        <v>111</v>
      </c>
      <c r="D3" s="9" t="s">
        <v>110</v>
      </c>
      <c r="E3" s="9" t="s">
        <v>109</v>
      </c>
      <c r="F3" s="9" t="s">
        <v>4</v>
      </c>
      <c r="G3" s="9" t="s">
        <v>5</v>
      </c>
      <c r="H3" s="9" t="s">
        <v>108</v>
      </c>
      <c r="I3" s="9" t="s">
        <v>107</v>
      </c>
      <c r="J3" s="9" t="s">
        <v>106</v>
      </c>
      <c r="K3" s="9" t="s">
        <v>105</v>
      </c>
      <c r="L3" s="9" t="s">
        <v>104</v>
      </c>
      <c r="M3" s="9"/>
    </row>
    <row r="4" spans="1:13" ht="35.1" customHeight="1" x14ac:dyDescent="0.25">
      <c r="A4" s="9" t="s">
        <v>103</v>
      </c>
      <c r="B4" s="9" t="s">
        <v>31</v>
      </c>
      <c r="C4" s="9" t="s">
        <v>30</v>
      </c>
      <c r="D4" s="9" t="s">
        <v>102</v>
      </c>
      <c r="E4" s="9"/>
      <c r="F4" s="9" t="s">
        <v>22</v>
      </c>
      <c r="G4" s="9" t="s">
        <v>13</v>
      </c>
      <c r="H4" s="14">
        <v>26234.21</v>
      </c>
      <c r="I4" s="9" t="s">
        <v>101</v>
      </c>
      <c r="J4" s="9"/>
      <c r="K4" s="9" t="s">
        <v>100</v>
      </c>
      <c r="L4" s="9"/>
      <c r="M4" s="9"/>
    </row>
    <row r="5" spans="1:13" ht="35.1" customHeight="1" x14ac:dyDescent="0.25">
      <c r="A5" s="9" t="s">
        <v>99</v>
      </c>
      <c r="B5" s="9" t="s">
        <v>31</v>
      </c>
      <c r="C5" s="9" t="s">
        <v>30</v>
      </c>
      <c r="D5" s="9" t="s">
        <v>98</v>
      </c>
      <c r="E5" s="9"/>
      <c r="F5" s="9" t="s">
        <v>22</v>
      </c>
      <c r="G5" s="9" t="s">
        <v>13</v>
      </c>
      <c r="H5" s="14">
        <v>35718.050000000003</v>
      </c>
      <c r="I5" s="9" t="s">
        <v>97</v>
      </c>
      <c r="J5" s="9"/>
      <c r="K5" s="9" t="s">
        <v>96</v>
      </c>
      <c r="L5" s="9"/>
      <c r="M5" s="9"/>
    </row>
    <row r="6" spans="1:13" ht="35.1" customHeight="1" x14ac:dyDescent="0.25">
      <c r="A6" s="9" t="s">
        <v>95</v>
      </c>
      <c r="B6" s="9" t="s">
        <v>31</v>
      </c>
      <c r="C6" s="9" t="s">
        <v>30</v>
      </c>
      <c r="D6" s="9" t="s">
        <v>94</v>
      </c>
      <c r="E6" s="9"/>
      <c r="F6" s="9" t="s">
        <v>14</v>
      </c>
      <c r="G6" s="9" t="s">
        <v>11</v>
      </c>
      <c r="H6" s="14">
        <v>15531.75</v>
      </c>
      <c r="I6" s="9" t="s">
        <v>93</v>
      </c>
      <c r="J6" s="9"/>
      <c r="K6" s="9" t="s">
        <v>92</v>
      </c>
      <c r="L6" s="9"/>
      <c r="M6" s="9"/>
    </row>
    <row r="7" spans="1:13" ht="35.1" customHeight="1" x14ac:dyDescent="0.25">
      <c r="A7" s="9" t="s">
        <v>91</v>
      </c>
      <c r="B7" s="9" t="s">
        <v>31</v>
      </c>
      <c r="C7" s="9" t="s">
        <v>30</v>
      </c>
      <c r="D7" s="9" t="s">
        <v>90</v>
      </c>
      <c r="E7" s="9"/>
      <c r="F7" s="9" t="s">
        <v>12</v>
      </c>
      <c r="G7" s="9" t="s">
        <v>13</v>
      </c>
      <c r="H7" s="14">
        <v>30238.94</v>
      </c>
      <c r="I7" s="9" t="s">
        <v>89</v>
      </c>
      <c r="J7" s="9"/>
      <c r="K7" s="9" t="s">
        <v>88</v>
      </c>
      <c r="L7" s="9"/>
      <c r="M7" s="9"/>
    </row>
    <row r="8" spans="1:13" ht="35.1" customHeight="1" x14ac:dyDescent="0.25">
      <c r="A8" s="9" t="s">
        <v>87</v>
      </c>
      <c r="B8" s="9" t="s">
        <v>55</v>
      </c>
      <c r="C8" s="9" t="s">
        <v>30</v>
      </c>
      <c r="D8" s="9" t="s">
        <v>86</v>
      </c>
      <c r="E8" s="9" t="s">
        <v>85</v>
      </c>
      <c r="F8" s="9" t="s">
        <v>10</v>
      </c>
      <c r="G8" s="9" t="s">
        <v>11</v>
      </c>
      <c r="H8" s="14">
        <v>23024.06</v>
      </c>
      <c r="I8" s="9" t="s">
        <v>84</v>
      </c>
      <c r="J8" s="9" t="s">
        <v>83</v>
      </c>
      <c r="K8" s="9" t="s">
        <v>82</v>
      </c>
      <c r="L8" s="9" t="s">
        <v>81</v>
      </c>
      <c r="M8" s="9"/>
    </row>
    <row r="9" spans="1:13" ht="35.1" customHeight="1" x14ac:dyDescent="0.25">
      <c r="A9" s="9" t="s">
        <v>80</v>
      </c>
      <c r="B9" s="9" t="s">
        <v>55</v>
      </c>
      <c r="C9" s="9" t="s">
        <v>30</v>
      </c>
      <c r="D9" s="9" t="s">
        <v>79</v>
      </c>
      <c r="E9" s="9"/>
      <c r="F9" s="9" t="s">
        <v>20</v>
      </c>
      <c r="G9" s="9" t="s">
        <v>11</v>
      </c>
      <c r="H9" s="14">
        <v>35651.94</v>
      </c>
      <c r="I9" s="9" t="s">
        <v>78</v>
      </c>
      <c r="J9" s="9"/>
      <c r="K9" s="9" t="s">
        <v>77</v>
      </c>
      <c r="L9" s="9"/>
      <c r="M9" s="9"/>
    </row>
    <row r="10" spans="1:13" ht="35.1" customHeight="1" x14ac:dyDescent="0.25">
      <c r="A10" s="9" t="s">
        <v>76</v>
      </c>
      <c r="B10" s="9" t="s">
        <v>31</v>
      </c>
      <c r="C10" s="9" t="s">
        <v>30</v>
      </c>
      <c r="D10" s="9" t="s">
        <v>75</v>
      </c>
      <c r="E10" s="9"/>
      <c r="F10" s="9" t="s">
        <v>17</v>
      </c>
      <c r="G10" s="9" t="s">
        <v>13</v>
      </c>
      <c r="H10" s="14">
        <v>27810.04</v>
      </c>
      <c r="I10" s="9" t="s">
        <v>74</v>
      </c>
      <c r="J10" s="9"/>
      <c r="K10" s="9" t="s">
        <v>73</v>
      </c>
      <c r="L10" s="9"/>
      <c r="M10" s="9"/>
    </row>
    <row r="11" spans="1:13" ht="35.1" customHeight="1" x14ac:dyDescent="0.25">
      <c r="A11" s="9" t="s">
        <v>72</v>
      </c>
      <c r="B11" s="9" t="s">
        <v>31</v>
      </c>
      <c r="C11" s="9" t="s">
        <v>30</v>
      </c>
      <c r="D11" s="9" t="s">
        <v>71</v>
      </c>
      <c r="E11" s="9"/>
      <c r="F11" s="9" t="s">
        <v>16</v>
      </c>
      <c r="G11" s="9" t="s">
        <v>11</v>
      </c>
      <c r="H11" s="14">
        <v>38939.050000000003</v>
      </c>
      <c r="I11" s="9" t="s">
        <v>70</v>
      </c>
      <c r="J11" s="9"/>
      <c r="K11" s="9" t="s">
        <v>69</v>
      </c>
      <c r="L11" s="9"/>
      <c r="M11" s="9"/>
    </row>
    <row r="12" spans="1:13" ht="35.1" customHeight="1" x14ac:dyDescent="0.25">
      <c r="A12" s="9" t="s">
        <v>68</v>
      </c>
      <c r="B12" s="9" t="s">
        <v>31</v>
      </c>
      <c r="C12" s="9" t="s">
        <v>30</v>
      </c>
      <c r="D12" s="9" t="s">
        <v>67</v>
      </c>
      <c r="E12" s="9"/>
      <c r="F12" s="9" t="s">
        <v>17</v>
      </c>
      <c r="G12" s="9" t="s">
        <v>11</v>
      </c>
      <c r="H12" s="14">
        <v>32786.230000000003</v>
      </c>
      <c r="I12" s="9" t="s">
        <v>66</v>
      </c>
      <c r="J12" s="9"/>
      <c r="K12" s="9" t="s">
        <v>65</v>
      </c>
      <c r="L12" s="9"/>
      <c r="M12" s="9"/>
    </row>
    <row r="13" spans="1:13" ht="35.1" customHeight="1" x14ac:dyDescent="0.25">
      <c r="A13" s="9" t="s">
        <v>64</v>
      </c>
      <c r="B13" s="9" t="s">
        <v>31</v>
      </c>
      <c r="C13" s="9" t="s">
        <v>30</v>
      </c>
      <c r="D13" s="9" t="s">
        <v>63</v>
      </c>
      <c r="E13" s="9"/>
      <c r="F13" s="9" t="s">
        <v>23</v>
      </c>
      <c r="G13" s="9" t="s">
        <v>13</v>
      </c>
      <c r="H13" s="14">
        <v>31572.58</v>
      </c>
      <c r="I13" s="9" t="s">
        <v>62</v>
      </c>
      <c r="J13" s="9"/>
      <c r="K13" s="9" t="s">
        <v>61</v>
      </c>
      <c r="L13" s="9"/>
      <c r="M13" s="9"/>
    </row>
    <row r="14" spans="1:13" ht="35.1" customHeight="1" x14ac:dyDescent="0.25">
      <c r="A14" s="9" t="s">
        <v>60</v>
      </c>
      <c r="B14" s="9" t="s">
        <v>55</v>
      </c>
      <c r="C14" s="9" t="s">
        <v>30</v>
      </c>
      <c r="D14" s="9" t="s">
        <v>59</v>
      </c>
      <c r="E14" s="9"/>
      <c r="F14" s="9" t="s">
        <v>21</v>
      </c>
      <c r="G14" s="9" t="s">
        <v>11</v>
      </c>
      <c r="H14" s="14">
        <v>42592.19</v>
      </c>
      <c r="I14" s="9" t="s">
        <v>58</v>
      </c>
      <c r="J14" s="9"/>
      <c r="K14" s="9" t="s">
        <v>57</v>
      </c>
      <c r="L14" s="9"/>
      <c r="M14" s="9"/>
    </row>
    <row r="15" spans="1:13" ht="35.1" customHeight="1" x14ac:dyDescent="0.25">
      <c r="A15" s="9" t="s">
        <v>56</v>
      </c>
      <c r="B15" s="9" t="s">
        <v>55</v>
      </c>
      <c r="C15" s="9" t="s">
        <v>30</v>
      </c>
      <c r="D15" s="9" t="s">
        <v>54</v>
      </c>
      <c r="E15" s="9"/>
      <c r="F15" s="9" t="s">
        <v>15</v>
      </c>
      <c r="G15" s="9" t="s">
        <v>11</v>
      </c>
      <c r="H15" s="14">
        <v>17847.310000000001</v>
      </c>
      <c r="I15" s="9" t="s">
        <v>53</v>
      </c>
      <c r="J15" s="9"/>
      <c r="K15" s="9" t="s">
        <v>52</v>
      </c>
      <c r="L15" s="9"/>
      <c r="M15" s="9"/>
    </row>
    <row r="16" spans="1:13" ht="35.1" customHeight="1" x14ac:dyDescent="0.25">
      <c r="A16" s="9" t="s">
        <v>51</v>
      </c>
      <c r="B16" s="9" t="s">
        <v>31</v>
      </c>
      <c r="C16" s="9" t="s">
        <v>30</v>
      </c>
      <c r="D16" s="9" t="s">
        <v>50</v>
      </c>
      <c r="E16" s="9"/>
      <c r="F16" s="9" t="s">
        <v>17</v>
      </c>
      <c r="G16" s="9" t="s">
        <v>18</v>
      </c>
      <c r="H16" s="14">
        <v>32274.48</v>
      </c>
      <c r="I16" s="9" t="s">
        <v>49</v>
      </c>
      <c r="J16" s="9"/>
      <c r="K16" s="9" t="s">
        <v>48</v>
      </c>
      <c r="L16" s="9"/>
      <c r="M16" s="9"/>
    </row>
    <row r="17" spans="1:13" ht="35.1" customHeight="1" x14ac:dyDescent="0.25">
      <c r="A17" s="9" t="s">
        <v>47</v>
      </c>
      <c r="B17" s="9" t="s">
        <v>31</v>
      </c>
      <c r="C17" s="9" t="s">
        <v>30</v>
      </c>
      <c r="D17" s="9" t="s">
        <v>46</v>
      </c>
      <c r="E17" s="9"/>
      <c r="F17" s="9" t="s">
        <v>23</v>
      </c>
      <c r="G17" s="9" t="s">
        <v>18</v>
      </c>
      <c r="H17" s="14">
        <v>20120.63</v>
      </c>
      <c r="I17" s="9" t="s">
        <v>45</v>
      </c>
      <c r="J17" s="9"/>
      <c r="K17" s="9" t="s">
        <v>44</v>
      </c>
      <c r="L17" s="9"/>
      <c r="M17" s="9"/>
    </row>
    <row r="18" spans="1:13" ht="35.1" customHeight="1" x14ac:dyDescent="0.25">
      <c r="A18" s="9" t="s">
        <v>43</v>
      </c>
      <c r="B18" s="9" t="s">
        <v>31</v>
      </c>
      <c r="C18" s="9" t="s">
        <v>30</v>
      </c>
      <c r="D18" s="9" t="s">
        <v>42</v>
      </c>
      <c r="E18" s="9"/>
      <c r="F18" s="9" t="s">
        <v>23</v>
      </c>
      <c r="G18" s="9" t="s">
        <v>13</v>
      </c>
      <c r="H18" s="14">
        <v>27173.69</v>
      </c>
      <c r="I18" s="9" t="s">
        <v>41</v>
      </c>
      <c r="J18" s="9"/>
      <c r="K18" s="9" t="s">
        <v>40</v>
      </c>
      <c r="L18" s="9"/>
      <c r="M18" s="9"/>
    </row>
    <row r="19" spans="1:13" ht="35.1" customHeight="1" x14ac:dyDescent="0.25">
      <c r="A19" s="9" t="s">
        <v>39</v>
      </c>
      <c r="B19" s="9" t="s">
        <v>31</v>
      </c>
      <c r="C19" s="9" t="s">
        <v>30</v>
      </c>
      <c r="D19" s="9" t="s">
        <v>38</v>
      </c>
      <c r="E19" s="9" t="s">
        <v>37</v>
      </c>
      <c r="F19" s="9" t="s">
        <v>19</v>
      </c>
      <c r="G19" s="9" t="s">
        <v>13</v>
      </c>
      <c r="H19" s="14">
        <v>23218</v>
      </c>
      <c r="I19" s="9" t="s">
        <v>36</v>
      </c>
      <c r="J19" s="9" t="s">
        <v>35</v>
      </c>
      <c r="K19" s="9" t="s">
        <v>34</v>
      </c>
      <c r="L19" s="9" t="s">
        <v>33</v>
      </c>
      <c r="M19" s="9"/>
    </row>
    <row r="20" spans="1:13" ht="35.1" customHeight="1" x14ac:dyDescent="0.25">
      <c r="A20" s="9" t="s">
        <v>32</v>
      </c>
      <c r="B20" s="9" t="s">
        <v>31</v>
      </c>
      <c r="C20" s="9" t="s">
        <v>30</v>
      </c>
      <c r="D20" s="9" t="s">
        <v>29</v>
      </c>
      <c r="E20" s="9"/>
      <c r="F20" s="9" t="s">
        <v>22</v>
      </c>
      <c r="G20" s="9" t="s">
        <v>13</v>
      </c>
      <c r="H20" s="14">
        <v>57384.13</v>
      </c>
      <c r="I20" s="9"/>
      <c r="J20" s="9"/>
      <c r="K20" s="9" t="s">
        <v>28</v>
      </c>
      <c r="L20" s="9"/>
      <c r="M20" s="9"/>
    </row>
    <row r="21" spans="1:13" ht="35.1" customHeight="1" x14ac:dyDescent="0.25">
      <c r="A21" s="15"/>
      <c r="B21" s="15"/>
      <c r="C21" s="15"/>
      <c r="D21" s="15" t="s">
        <v>27</v>
      </c>
      <c r="E21" s="15"/>
      <c r="F21" s="15"/>
      <c r="G21" s="15"/>
      <c r="H21" s="16">
        <f>SUM(H4:H20)</f>
        <v>518117.28</v>
      </c>
      <c r="I21" s="15"/>
      <c r="J21" s="15"/>
      <c r="K21" s="15"/>
      <c r="L21" s="15"/>
      <c r="M21" s="9"/>
    </row>
    <row r="22" spans="1:13" ht="35.1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ht="35.1" customHeight="1" x14ac:dyDescent="0.25"/>
    <row r="24" spans="1:13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2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 Worksheet - ACH Version</vt:lpstr>
      <vt:lpstr>Funding Worksheet - Folder 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2025-10-06T18:23:47Z</cp:lastPrinted>
  <dcterms:created xsi:type="dcterms:W3CDTF">2025-10-06T18:16:59Z</dcterms:created>
  <dcterms:modified xsi:type="dcterms:W3CDTF">2025-10-06T18:35:25Z</dcterms:modified>
</cp:coreProperties>
</file>