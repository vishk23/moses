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65E95B1-8D63-4890-9CE5-A30778236E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F11" i="1"/>
  <c r="H20" i="1"/>
  <c r="E20" i="1"/>
  <c r="D20" i="1"/>
  <c r="C20" i="1"/>
</calcChain>
</file>

<file path=xl/sharedStrings.xml><?xml version="1.0" encoding="utf-8"?>
<sst xmlns="http://schemas.openxmlformats.org/spreadsheetml/2006/main" count="135" uniqueCount="77">
  <si>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</si>
  <si>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</si>
  <si>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</si>
  <si>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</si>
  <si>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</si>
  <si>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</si>
  <si>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</si>
  <si>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</si>
  <si>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</si>
  <si>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</si>
  <si>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</si>
  <si>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Neli Oliveira</t>
  </si>
  <si>
    <t>AutoMax Preowned(Framingham)</t>
  </si>
  <si>
    <t>Rachel Gorham</t>
  </si>
  <si>
    <t>Bourne Enterprises Inc</t>
  </si>
  <si>
    <t>Herb Chambers Boston Turnpike Inc d/b/a</t>
  </si>
  <si>
    <t>Metro Honda</t>
  </si>
  <si>
    <t>Salvadore Chevrolet</t>
  </si>
  <si>
    <t>Viti Mercedes</t>
  </si>
  <si>
    <t>Wareham Ford</t>
  </si>
  <si>
    <t>Column1</t>
  </si>
  <si>
    <t>Column2</t>
  </si>
  <si>
    <t># 9</t>
  </si>
  <si>
    <t>SILVIA</t>
  </si>
  <si>
    <t>COURTNEY@MARBLEHOUSEREALTY.COM</t>
  </si>
  <si>
    <t>PONTE, COURTNEY</t>
  </si>
  <si>
    <t>E Contract</t>
  </si>
  <si>
    <t>Route One</t>
  </si>
  <si>
    <t>151132398e</t>
  </si>
  <si>
    <t>BURRIDGE</t>
  </si>
  <si>
    <t>Toddc@paulwmarks.com</t>
  </si>
  <si>
    <t>CARDEIRO, TODD</t>
  </si>
  <si>
    <t>151132299e</t>
  </si>
  <si>
    <t>HEALY</t>
  </si>
  <si>
    <t>EVANS, MICHAEL</t>
  </si>
  <si>
    <t>DealerTrack</t>
  </si>
  <si>
    <t>151132281e</t>
  </si>
  <si>
    <t>CAMPBELL</t>
  </si>
  <si>
    <t>NMYHAVER@GMAIL.COM</t>
  </si>
  <si>
    <t>BEAUREGARD, NAOMI</t>
  </si>
  <si>
    <t>151132249e</t>
  </si>
  <si>
    <t>LAFORD</t>
  </si>
  <si>
    <t>Leblanc, Maria</t>
  </si>
  <si>
    <t>151132215e</t>
  </si>
  <si>
    <t>DEKORT</t>
  </si>
  <si>
    <t>MAMLICKE@GMAIL.COM</t>
  </si>
  <si>
    <t>AMLICKE, MARGARET</t>
  </si>
  <si>
    <t>151132207e</t>
  </si>
  <si>
    <t>MAHASE MANAGEMENT LLC</t>
  </si>
  <si>
    <t>FRANKLIN</t>
  </si>
  <si>
    <t>MAHASE, BRANDEN</t>
  </si>
  <si>
    <t>Paper</t>
  </si>
  <si>
    <t>151132190</t>
  </si>
  <si>
    <t>SQUILLACE</t>
  </si>
  <si>
    <t>DEESQUILLACE1@YAHOO.COM</t>
  </si>
  <si>
    <t>SQUILLACE, DOLORES</t>
  </si>
  <si>
    <t>151132140e</t>
  </si>
  <si>
    <t>COUSINS</t>
  </si>
  <si>
    <t>SMC24FAN@YAHOO.COM</t>
  </si>
  <si>
    <t>CINICOLA, ANTHONY</t>
  </si>
  <si>
    <t>151132132e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</si>
  <si>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</si>
  <si>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</si>
  <si>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</si>
  <si>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</si>
  <si>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</si>
  <si>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</si>
  <si>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</si>
  <si>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</si>
  <si>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</si>
  <si>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</si>
  <si>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</si>
  <si>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</t>
  </si>
  <si>
    <t>Received By_______________________________________________________</t>
  </si>
  <si>
    <t>Delivered By______________________________________________________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</si>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</sst>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2" fillId="2" borderId="0" xfId="2"/>
    <xf numFmtId="0" fontId="2" fillId="0" borderId="0" xfId="2" applyFill="1"/>
    <xf numFmtId="164" fontId="2" fillId="0" borderId="0" xfId="2" applyNumberFormat="1" applyFill="1" applyAlignment="1">
      <alignment horizontal="right"/>
    </xf>
    <xf numFmtId="0" fontId="1" fillId="0" borderId="0" xfId="2" applyFont="1" applyFill="1" applyAlignment="1">
      <alignment horizontal="left"/>
    </xf>
    <xf numFmtId="0" fontId="2" fillId="0" borderId="0" xfId="2" applyFill="1"/>
    <xf numFmtId="0" fontId="1" fillId="0" borderId="0" xfId="2" applyFont="1" applyFill="1" applyAlignment="1">
      <alignment horizontal="right"/>
    </xf>
    <xf numFmtId="0" fontId="1" fillId="0" borderId="0" xfId="2" applyFont="1" applyFill="1"/>
  </cellXfs>
  <cellStyles count="3">
    <cellStyle name="Normal" xfId="0" builtinId="0"/>
    <cellStyle name="Normal 2" xfId="1" xr:uid="{42E9A29B-A775-409D-BE00-148B6D632C38}"/>
    <cellStyle name="Normal 3" xfId="2" xr:uid="{55EC415E-FCE6-4A86-8332-2BB6561914CB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0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0FBE32D1-3522-41CB-AAB5-CB09C79D09DF}" name="Column1" dataDxfId="24"/>
    <tableColumn id="8" xr3:uid="{54D6319B-BB94-4B73-B7A2-9F10C4CB40E9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07DE85-22F0-4FE0-92D7-DC71037EC1B2}" name="Table_13" displayName="Table_13" ref="A3:L13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B610C-6692-4565-B4E5-D3F9E21839BE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workbookViewId="0">
      <pane ySplit="3" topLeftCell="A4" activePane="bottomLeft" state="frozen"/>
      <selection pane="bottomLeft" activeCell="E19" sqref="E19"/>
    </sheetView>
  </sheetViews>
  <sheetFormatPr defaultRowHeight="15" x14ac:dyDescent="0.25"/>
  <cols>
    <col min="1" max="1" width="39.5703125" bestFit="1" customWidth="1"/>
    <col min="2" max="2" width="15.14062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45656</v>
      </c>
      <c r="E1" t="s">
        <v>2</v>
      </c>
      <c r="H1" s="4">
        <v>45656.999988425923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450</v>
      </c>
      <c r="D4" s="2">
        <v>0</v>
      </c>
      <c r="E4" s="2">
        <v>24296.63</v>
      </c>
      <c r="F4" s="2"/>
      <c r="G4" s="2"/>
      <c r="H4" s="2">
        <v>24371.63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450</v>
      </c>
      <c r="D6" s="2">
        <v>0</v>
      </c>
      <c r="E6" s="2">
        <v>23203.19</v>
      </c>
      <c r="F6" s="2"/>
      <c r="G6" s="2"/>
      <c r="H6" s="2">
        <v>23278.19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800</v>
      </c>
      <c r="D8" s="2">
        <v>0</v>
      </c>
      <c r="E8" s="2">
        <v>45227.13</v>
      </c>
      <c r="F8" s="2"/>
      <c r="G8" s="2"/>
      <c r="H8" s="2">
        <v>45302.13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1000</v>
      </c>
      <c r="D10" s="2">
        <v>0</v>
      </c>
      <c r="E10" s="2">
        <v>67749.88</v>
      </c>
      <c r="F10" s="2"/>
      <c r="G10" s="2"/>
      <c r="H10" s="2">
        <v>67824.88</v>
      </c>
    </row>
    <row r="11" spans="1:8" x14ac:dyDescent="0.25">
      <c r="A11" t="s">
        <v>15</v>
      </c>
      <c r="B11" t="s">
        <v>11</v>
      </c>
      <c r="C11" s="2">
        <v>800</v>
      </c>
      <c r="D11" s="2">
        <v>0</v>
      </c>
      <c r="E11" s="2">
        <v>49765.5</v>
      </c>
      <c r="F11" s="2">
        <f>SUM(E10:E11)</f>
        <v>117515.38</v>
      </c>
      <c r="G11" s="2"/>
      <c r="H11" s="2">
        <v>49840.5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13</v>
      </c>
      <c r="C13" s="2">
        <v>500</v>
      </c>
      <c r="D13" s="2">
        <v>0</v>
      </c>
      <c r="E13" s="2">
        <v>25725.26</v>
      </c>
      <c r="F13" s="2"/>
      <c r="G13" s="2"/>
      <c r="H13" s="2">
        <v>25800.26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450</v>
      </c>
      <c r="D15" s="2">
        <v>0</v>
      </c>
      <c r="E15" s="2">
        <v>20254.939999999999</v>
      </c>
      <c r="F15" s="2"/>
      <c r="G15" s="2"/>
      <c r="H15" s="2">
        <v>20329.939999999999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13</v>
      </c>
      <c r="C17" s="2">
        <v>600</v>
      </c>
      <c r="D17" s="2">
        <v>0</v>
      </c>
      <c r="E17" s="2">
        <v>32895.57</v>
      </c>
      <c r="F17" s="2"/>
      <c r="G17" s="2"/>
      <c r="H17" s="2">
        <v>32970.57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13</v>
      </c>
      <c r="C19" s="2">
        <v>500</v>
      </c>
      <c r="D19" s="2">
        <v>0</v>
      </c>
      <c r="E19" s="2">
        <v>26228</v>
      </c>
      <c r="F19" s="2"/>
      <c r="G19" s="2"/>
      <c r="H19" s="2">
        <v>26303</v>
      </c>
    </row>
    <row r="20" spans="1:8" x14ac:dyDescent="0.25">
      <c r="A20" s="1"/>
      <c r="B20" s="1"/>
      <c r="C20" s="3">
        <f>SUM(C4:C19)</f>
        <v>5550</v>
      </c>
      <c r="D20" s="3">
        <f>SUM(D4:D19)</f>
        <v>0</v>
      </c>
      <c r="E20" s="3">
        <f>SUM(E4:E19)</f>
        <v>315346.10000000003</v>
      </c>
      <c r="F20" s="3"/>
      <c r="G20" s="3"/>
      <c r="H20" s="3">
        <f>SUM(H4:H19)</f>
        <v>316021.10000000003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DDE6-3722-4CFD-A079-A84976068684}">
  <sheetPr>
    <pageSetUpPr fitToPage="1"/>
  </sheetPr>
  <dimension ref="A1:L13"/>
  <sheetViews>
    <sheetView topLeftCell="B1"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1.28515625" style="5" bestFit="1" customWidth="1"/>
    <col min="5" max="5" width="18.7109375" style="5" bestFit="1" customWidth="1"/>
    <col min="6" max="6" width="39.5703125" style="5" bestFit="1" customWidth="1"/>
    <col min="7" max="7" width="15.140625" style="5" bestFit="1" customWidth="1"/>
    <col min="8" max="8" width="17.140625" style="5" bestFit="1" customWidth="1"/>
    <col min="9" max="9" width="38.85546875" style="5" bestFit="1" customWidth="1"/>
    <col min="10" max="10" width="18.42578125" style="5" bestFit="1" customWidth="1"/>
    <col min="11" max="11" width="19.28515625" style="5" bestFit="1" customWidth="1"/>
    <col min="12" max="12" width="12.85546875" style="5" bestFit="1" customWidth="1"/>
    <col min="13" max="16384" width="9.140625" style="5"/>
  </cols>
  <sheetData>
    <row r="1" spans="1:12" ht="4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45656</v>
      </c>
      <c r="L1" s="6" t="s">
        <v>2</v>
      </c>
    </row>
    <row r="2" spans="1:12" ht="45" customHeight="1" x14ac:dyDescent="0.25">
      <c r="A2" s="14" t="s">
        <v>0</v>
      </c>
      <c r="B2" s="15"/>
      <c r="C2" s="15"/>
      <c r="D2" s="15"/>
      <c r="E2" s="15"/>
      <c r="F2" s="15"/>
      <c r="G2" s="16" t="s">
        <v>71</v>
      </c>
      <c r="H2" s="15"/>
      <c r="I2" s="15"/>
      <c r="J2" s="15"/>
      <c r="K2" s="15"/>
      <c r="L2" s="15"/>
    </row>
    <row r="3" spans="1:12" ht="45" customHeight="1" x14ac:dyDescent="0.25">
      <c r="A3" s="6" t="s">
        <v>70</v>
      </c>
      <c r="B3" s="6" t="s">
        <v>69</v>
      </c>
      <c r="C3" s="6" t="s">
        <v>68</v>
      </c>
      <c r="D3" s="6" t="s">
        <v>67</v>
      </c>
      <c r="E3" s="6" t="s">
        <v>66</v>
      </c>
      <c r="F3" s="6" t="s">
        <v>4</v>
      </c>
      <c r="G3" s="6" t="s">
        <v>5</v>
      </c>
      <c r="H3" s="6" t="s">
        <v>65</v>
      </c>
      <c r="I3" s="6" t="s">
        <v>64</v>
      </c>
      <c r="J3" s="6" t="s">
        <v>63</v>
      </c>
      <c r="K3" s="6" t="s">
        <v>62</v>
      </c>
      <c r="L3" s="6" t="s">
        <v>61</v>
      </c>
    </row>
    <row r="4" spans="1:12" ht="45" customHeight="1" x14ac:dyDescent="0.25">
      <c r="A4" s="6" t="s">
        <v>60</v>
      </c>
      <c r="B4" s="6" t="s">
        <v>35</v>
      </c>
      <c r="C4" s="6" t="s">
        <v>26</v>
      </c>
      <c r="D4" s="6" t="s">
        <v>59</v>
      </c>
      <c r="E4" s="6"/>
      <c r="F4" s="6" t="s">
        <v>18</v>
      </c>
      <c r="G4" s="6" t="s">
        <v>13</v>
      </c>
      <c r="H4" s="8">
        <v>32970.57</v>
      </c>
      <c r="I4" s="6" t="s">
        <v>58</v>
      </c>
      <c r="J4" s="6"/>
      <c r="K4" s="6" t="s">
        <v>57</v>
      </c>
      <c r="L4" s="6"/>
    </row>
    <row r="5" spans="1:12" ht="45" customHeight="1" x14ac:dyDescent="0.25">
      <c r="A5" s="6" t="s">
        <v>56</v>
      </c>
      <c r="B5" s="6" t="s">
        <v>35</v>
      </c>
      <c r="C5" s="6" t="s">
        <v>26</v>
      </c>
      <c r="D5" s="6" t="s">
        <v>55</v>
      </c>
      <c r="E5" s="6"/>
      <c r="F5" s="6" t="s">
        <v>16</v>
      </c>
      <c r="G5" s="6" t="s">
        <v>13</v>
      </c>
      <c r="H5" s="8">
        <v>25800.26</v>
      </c>
      <c r="I5" s="6" t="s">
        <v>54</v>
      </c>
      <c r="J5" s="6"/>
      <c r="K5" s="6" t="s">
        <v>53</v>
      </c>
      <c r="L5" s="6"/>
    </row>
    <row r="6" spans="1:12" ht="45" customHeight="1" x14ac:dyDescent="0.25">
      <c r="A6" s="6" t="s">
        <v>52</v>
      </c>
      <c r="B6" s="6" t="s">
        <v>35</v>
      </c>
      <c r="C6" s="6" t="s">
        <v>51</v>
      </c>
      <c r="D6" s="6" t="s">
        <v>48</v>
      </c>
      <c r="E6" s="6" t="s">
        <v>50</v>
      </c>
      <c r="F6" s="6" t="s">
        <v>14</v>
      </c>
      <c r="G6" s="6" t="s">
        <v>11</v>
      </c>
      <c r="H6" s="8">
        <v>45302.13</v>
      </c>
      <c r="I6" s="6"/>
      <c r="J6" s="6"/>
      <c r="K6" s="6" t="s">
        <v>49</v>
      </c>
      <c r="L6" s="6"/>
    </row>
    <row r="7" spans="1:12" ht="45" customHeight="1" x14ac:dyDescent="0.25">
      <c r="A7" s="6" t="s">
        <v>47</v>
      </c>
      <c r="B7" s="6" t="s">
        <v>35</v>
      </c>
      <c r="C7" s="6" t="s">
        <v>26</v>
      </c>
      <c r="D7" s="6" t="s">
        <v>46</v>
      </c>
      <c r="E7" s="6"/>
      <c r="F7" s="6" t="s">
        <v>15</v>
      </c>
      <c r="G7" s="6" t="s">
        <v>11</v>
      </c>
      <c r="H7" s="8">
        <v>49840.5</v>
      </c>
      <c r="I7" s="6" t="s">
        <v>45</v>
      </c>
      <c r="J7" s="6"/>
      <c r="K7" s="6" t="s">
        <v>44</v>
      </c>
      <c r="L7" s="6"/>
    </row>
    <row r="8" spans="1:12" ht="45" customHeight="1" x14ac:dyDescent="0.25">
      <c r="A8" s="6" t="s">
        <v>43</v>
      </c>
      <c r="B8" s="6" t="s">
        <v>27</v>
      </c>
      <c r="C8" s="6" t="s">
        <v>26</v>
      </c>
      <c r="D8" s="6" t="s">
        <v>42</v>
      </c>
      <c r="E8" s="6"/>
      <c r="F8" s="6" t="s">
        <v>17</v>
      </c>
      <c r="G8" s="6" t="s">
        <v>11</v>
      </c>
      <c r="H8" s="8">
        <v>20329.939999999999</v>
      </c>
      <c r="I8" s="6"/>
      <c r="J8" s="6"/>
      <c r="K8" s="6" t="s">
        <v>41</v>
      </c>
      <c r="L8" s="6"/>
    </row>
    <row r="9" spans="1:12" ht="45" customHeight="1" x14ac:dyDescent="0.25">
      <c r="A9" s="6" t="s">
        <v>40</v>
      </c>
      <c r="B9" s="6" t="s">
        <v>35</v>
      </c>
      <c r="C9" s="6" t="s">
        <v>26</v>
      </c>
      <c r="D9" s="6" t="s">
        <v>39</v>
      </c>
      <c r="E9" s="6"/>
      <c r="F9" s="6" t="s">
        <v>15</v>
      </c>
      <c r="G9" s="6" t="s">
        <v>11</v>
      </c>
      <c r="H9" s="8">
        <v>67824.88</v>
      </c>
      <c r="I9" s="6" t="s">
        <v>38</v>
      </c>
      <c r="J9" s="6"/>
      <c r="K9" s="6" t="s">
        <v>37</v>
      </c>
      <c r="L9" s="6"/>
    </row>
    <row r="10" spans="1:12" ht="45" customHeight="1" x14ac:dyDescent="0.25">
      <c r="A10" s="6" t="s">
        <v>36</v>
      </c>
      <c r="B10" s="6" t="s">
        <v>35</v>
      </c>
      <c r="C10" s="6" t="s">
        <v>26</v>
      </c>
      <c r="D10" s="6" t="s">
        <v>34</v>
      </c>
      <c r="E10" s="6"/>
      <c r="F10" s="6" t="s">
        <v>12</v>
      </c>
      <c r="G10" s="6" t="s">
        <v>13</v>
      </c>
      <c r="H10" s="8">
        <v>23278.19</v>
      </c>
      <c r="I10" s="6"/>
      <c r="J10" s="6"/>
      <c r="K10" s="6" t="s">
        <v>33</v>
      </c>
      <c r="L10" s="6"/>
    </row>
    <row r="11" spans="1:12" ht="45" customHeight="1" x14ac:dyDescent="0.25">
      <c r="A11" s="6" t="s">
        <v>32</v>
      </c>
      <c r="B11" s="6" t="s">
        <v>27</v>
      </c>
      <c r="C11" s="6" t="s">
        <v>26</v>
      </c>
      <c r="D11" s="6" t="s">
        <v>31</v>
      </c>
      <c r="E11" s="6"/>
      <c r="F11" s="6" t="s">
        <v>19</v>
      </c>
      <c r="G11" s="6" t="s">
        <v>13</v>
      </c>
      <c r="H11" s="8">
        <v>26303</v>
      </c>
      <c r="I11" s="6" t="s">
        <v>30</v>
      </c>
      <c r="J11" s="6"/>
      <c r="K11" s="6" t="s">
        <v>29</v>
      </c>
      <c r="L11" s="6"/>
    </row>
    <row r="12" spans="1:12" ht="45" customHeight="1" x14ac:dyDescent="0.25">
      <c r="A12" s="6" t="s">
        <v>28</v>
      </c>
      <c r="B12" s="6" t="s">
        <v>27</v>
      </c>
      <c r="C12" s="6" t="s">
        <v>26</v>
      </c>
      <c r="D12" s="6" t="s">
        <v>25</v>
      </c>
      <c r="E12" s="6"/>
      <c r="F12" s="6" t="s">
        <v>10</v>
      </c>
      <c r="G12" s="6" t="s">
        <v>11</v>
      </c>
      <c r="H12" s="8">
        <v>24371.63</v>
      </c>
      <c r="I12" s="6" t="s">
        <v>24</v>
      </c>
      <c r="J12" s="6"/>
      <c r="K12" s="6" t="s">
        <v>23</v>
      </c>
      <c r="L12" s="6"/>
    </row>
    <row r="13" spans="1:12" ht="45" customHeight="1" x14ac:dyDescent="0.25">
      <c r="A13" s="9"/>
      <c r="B13" s="9"/>
      <c r="C13" s="9"/>
      <c r="D13" s="9" t="s">
        <v>22</v>
      </c>
      <c r="E13" s="9"/>
      <c r="F13" s="9"/>
      <c r="G13" s="9"/>
      <c r="H13" s="10">
        <f>SUM(H4:H12)</f>
        <v>316021.09999999998</v>
      </c>
      <c r="I13" s="9"/>
      <c r="J13" s="9"/>
      <c r="K13" s="9"/>
      <c r="L13" s="9"/>
    </row>
  </sheetData>
  <mergeCells count="2">
    <mergeCell ref="A2:F2"/>
    <mergeCell ref="G2:L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63E4-F69F-49F0-A855-8578613EAB0B}">
  <sheetPr>
    <pageSetUpPr fitToPage="1"/>
  </sheetPr>
  <dimension ref="A1:E32"/>
  <sheetViews>
    <sheetView workbookViewId="0">
      <pane ySplit="3" topLeftCell="A4" activePane="bottomLeft" state="frozen"/>
      <selection pane="bottomLeft" activeCell="D25" sqref="D25"/>
    </sheetView>
  </sheetViews>
  <sheetFormatPr defaultRowHeight="15" x14ac:dyDescent="0.25"/>
  <cols>
    <col min="1" max="1" width="16.42578125" style="17" bestFit="1" customWidth="1"/>
    <col min="2" max="2" width="14" style="17" bestFit="1" customWidth="1"/>
    <col min="3" max="3" width="21.28515625" style="17" bestFit="1" customWidth="1"/>
    <col min="4" max="4" width="19.28515625" style="17" bestFit="1" customWidth="1"/>
    <col min="5" max="5" width="39.5703125" style="17" bestFit="1" customWidth="1"/>
    <col min="6" max="16384" width="9.140625" style="17"/>
  </cols>
  <sheetData>
    <row r="1" spans="1:5" x14ac:dyDescent="0.25">
      <c r="A1" s="18"/>
      <c r="B1" s="18"/>
      <c r="C1" s="18" t="s">
        <v>3</v>
      </c>
      <c r="D1" s="19">
        <v>45656</v>
      </c>
      <c r="E1" s="18" t="s">
        <v>2</v>
      </c>
    </row>
    <row r="2" spans="1:5" x14ac:dyDescent="0.25">
      <c r="A2" s="20" t="s">
        <v>0</v>
      </c>
      <c r="B2" s="21"/>
      <c r="C2" s="21"/>
      <c r="D2" s="22" t="s">
        <v>76</v>
      </c>
      <c r="E2" s="21"/>
    </row>
    <row r="3" spans="1:5" x14ac:dyDescent="0.25">
      <c r="A3" s="18" t="s">
        <v>70</v>
      </c>
      <c r="B3" s="18" t="s">
        <v>68</v>
      </c>
      <c r="C3" s="18" t="s">
        <v>67</v>
      </c>
      <c r="D3" s="18" t="s">
        <v>66</v>
      </c>
      <c r="E3" s="18" t="s">
        <v>4</v>
      </c>
    </row>
    <row r="4" spans="1:5" x14ac:dyDescent="0.25">
      <c r="A4" s="18" t="s">
        <v>52</v>
      </c>
      <c r="B4" s="18" t="s">
        <v>51</v>
      </c>
      <c r="C4" s="18" t="s">
        <v>48</v>
      </c>
      <c r="D4" s="18" t="s">
        <v>50</v>
      </c>
      <c r="E4" s="18" t="s">
        <v>14</v>
      </c>
    </row>
    <row r="5" spans="1:5" x14ac:dyDescent="0.25">
      <c r="A5" s="23"/>
      <c r="B5" s="23"/>
      <c r="C5" s="23" t="s">
        <v>75</v>
      </c>
      <c r="D5" s="23"/>
      <c r="E5" s="23"/>
    </row>
    <row r="6" spans="1:5" x14ac:dyDescent="0.25">
      <c r="A6" s="18"/>
      <c r="B6" s="18"/>
      <c r="C6" s="18"/>
      <c r="D6" s="18"/>
      <c r="E6" s="18"/>
    </row>
    <row r="7" spans="1:5" x14ac:dyDescent="0.25">
      <c r="A7" s="18"/>
      <c r="B7" s="18"/>
      <c r="C7" s="18"/>
      <c r="D7" s="18"/>
      <c r="E7" s="18"/>
    </row>
    <row r="8" spans="1:5" x14ac:dyDescent="0.25">
      <c r="A8" s="18"/>
      <c r="B8" s="18"/>
      <c r="C8" s="18"/>
      <c r="D8" s="18"/>
      <c r="E8" s="18"/>
    </row>
    <row r="9" spans="1:5" x14ac:dyDescent="0.25">
      <c r="A9" s="18" t="s">
        <v>74</v>
      </c>
      <c r="B9" s="18"/>
      <c r="C9" s="18"/>
      <c r="D9" s="18"/>
      <c r="E9" s="18"/>
    </row>
    <row r="10" spans="1:5" x14ac:dyDescent="0.25">
      <c r="A10" s="18"/>
      <c r="B10" s="18"/>
      <c r="C10" s="18"/>
      <c r="D10" s="18"/>
      <c r="E10" s="18"/>
    </row>
    <row r="11" spans="1:5" x14ac:dyDescent="0.25">
      <c r="A11" s="18"/>
      <c r="B11" s="18"/>
      <c r="C11" s="18"/>
      <c r="D11" s="18"/>
      <c r="E11" s="18"/>
    </row>
    <row r="12" spans="1:5" x14ac:dyDescent="0.25">
      <c r="A12" s="18" t="s">
        <v>73</v>
      </c>
      <c r="B12" s="18"/>
      <c r="C12" s="18"/>
      <c r="D12" s="18"/>
      <c r="E12" s="18"/>
    </row>
    <row r="13" spans="1:5" x14ac:dyDescent="0.25">
      <c r="A13" s="18"/>
      <c r="B13" s="18"/>
      <c r="C13" s="18"/>
      <c r="D13" s="18"/>
      <c r="E13" s="18"/>
    </row>
    <row r="14" spans="1:5" x14ac:dyDescent="0.25">
      <c r="A14" s="18"/>
      <c r="B14" s="18"/>
      <c r="C14" s="18"/>
      <c r="D14" s="18"/>
      <c r="E14" s="18"/>
    </row>
    <row r="15" spans="1:5" x14ac:dyDescent="0.25">
      <c r="A15" s="18"/>
      <c r="B15" s="18"/>
      <c r="C15" s="18"/>
      <c r="D15" s="18"/>
      <c r="E15" s="18"/>
    </row>
    <row r="16" spans="1:5" x14ac:dyDescent="0.25">
      <c r="A16" s="18" t="s">
        <v>72</v>
      </c>
      <c r="B16" s="18"/>
      <c r="C16" s="18"/>
      <c r="D16" s="18"/>
      <c r="E16" s="18"/>
    </row>
    <row r="17" spans="1:5" x14ac:dyDescent="0.25">
      <c r="A17" s="18"/>
      <c r="B17" s="18"/>
      <c r="C17" s="18"/>
      <c r="D17" s="18"/>
      <c r="E17" s="18"/>
    </row>
    <row r="18" spans="1:5" x14ac:dyDescent="0.25">
      <c r="A18" s="18"/>
      <c r="B18" s="18"/>
      <c r="C18" s="18"/>
      <c r="D18" s="18"/>
      <c r="E18" s="18"/>
    </row>
    <row r="19" spans="1:5" x14ac:dyDescent="0.25">
      <c r="A19" s="18"/>
      <c r="B19" s="18"/>
      <c r="C19" s="18"/>
      <c r="D19" s="18"/>
      <c r="E19" s="18"/>
    </row>
    <row r="20" spans="1:5" x14ac:dyDescent="0.25">
      <c r="A20" s="18"/>
      <c r="B20" s="18"/>
      <c r="C20" s="18"/>
      <c r="D20" s="18"/>
      <c r="E20" s="18"/>
    </row>
    <row r="21" spans="1:5" x14ac:dyDescent="0.25">
      <c r="A21" s="18"/>
      <c r="B21" s="18"/>
      <c r="C21" s="18"/>
      <c r="D21" s="18"/>
      <c r="E21" s="18"/>
    </row>
    <row r="22" spans="1:5" x14ac:dyDescent="0.25">
      <c r="A22" s="18"/>
      <c r="B22" s="18"/>
      <c r="C22" s="18"/>
      <c r="D22" s="18"/>
      <c r="E22" s="18"/>
    </row>
    <row r="23" spans="1:5" x14ac:dyDescent="0.25">
      <c r="A23" s="18"/>
      <c r="B23" s="18"/>
      <c r="C23" s="18"/>
      <c r="D23" s="18"/>
      <c r="E23" s="18"/>
    </row>
    <row r="24" spans="1:5" x14ac:dyDescent="0.25">
      <c r="A24" s="18"/>
      <c r="B24" s="18"/>
      <c r="C24" s="18"/>
      <c r="D24" s="18"/>
      <c r="E24" s="18"/>
    </row>
    <row r="25" spans="1:5" x14ac:dyDescent="0.25">
      <c r="A25" s="18"/>
      <c r="B25" s="18"/>
      <c r="C25" s="18"/>
      <c r="D25" s="18"/>
      <c r="E25" s="18"/>
    </row>
    <row r="26" spans="1:5" x14ac:dyDescent="0.25">
      <c r="A26" s="18"/>
      <c r="B26" s="18"/>
      <c r="C26" s="18"/>
      <c r="D26" s="18"/>
      <c r="E26" s="18"/>
    </row>
    <row r="27" spans="1:5" x14ac:dyDescent="0.25">
      <c r="A27" s="18"/>
      <c r="B27" s="18"/>
      <c r="C27" s="18"/>
      <c r="D27" s="18"/>
      <c r="E27" s="18"/>
    </row>
    <row r="28" spans="1:5" x14ac:dyDescent="0.25">
      <c r="A28" s="18"/>
      <c r="B28" s="18"/>
      <c r="C28" s="18"/>
      <c r="D28" s="18"/>
      <c r="E28" s="18"/>
    </row>
    <row r="29" spans="1:5" x14ac:dyDescent="0.25">
      <c r="A29" s="18"/>
      <c r="B29" s="18"/>
      <c r="C29" s="18"/>
      <c r="D29" s="18"/>
      <c r="E29" s="18"/>
    </row>
    <row r="30" spans="1:5" x14ac:dyDescent="0.25">
      <c r="A30" s="18"/>
      <c r="B30" s="18"/>
      <c r="C30" s="18"/>
      <c r="D30" s="18"/>
      <c r="E30" s="18"/>
    </row>
    <row r="31" spans="1:5" x14ac:dyDescent="0.25">
      <c r="A31" s="18"/>
      <c r="B31" s="18"/>
      <c r="C31" s="18"/>
      <c r="D31" s="18"/>
      <c r="E31" s="18"/>
    </row>
    <row r="32" spans="1:5" x14ac:dyDescent="0.25">
      <c r="A32" s="18"/>
      <c r="B32" s="18"/>
      <c r="C32" s="18"/>
      <c r="D32" s="18"/>
      <c r="E32" s="18"/>
    </row>
  </sheetData>
  <mergeCells count="2">
    <mergeCell ref="A2:C2"/>
    <mergeCell ref="D2:E2"/>
  </mergeCells>
  <pageMargins left="0.7" right="0.7" top="0.75" bottom="0.75" header="0.3" footer="0.3"/>
  <pageSetup scale="8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2024-12-30T18:46:35Z</cp:lastPrinted>
  <dcterms:created xsi:type="dcterms:W3CDTF">2024-12-30T18:32:55Z</dcterms:created>
  <dcterms:modified xsi:type="dcterms:W3CDTF">2024-12-30T19:00:25Z</dcterms:modified>
</cp:coreProperties>
</file>