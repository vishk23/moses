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A94589CF-4C2E-4141-A0A8-F5B42739AC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F33" i="1"/>
  <c r="F22" i="1"/>
  <c r="F19" i="1"/>
  <c r="H38" i="1"/>
  <c r="E38" i="1"/>
  <c r="D38" i="1"/>
  <c r="C38" i="1"/>
</calcChain>
</file>

<file path=xl/sharedStrings.xml><?xml version="1.0" encoding="utf-8"?>
<sst xmlns="http://schemas.openxmlformats.org/spreadsheetml/2006/main" count="255" uniqueCount="138">
  <si>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</si>
  <si>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</si>
  <si>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</si>
  <si>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</si>
  <si>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</si>
  <si>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</si>
  <si>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</si>
  <si>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</si>
  <si>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</si>
  <si>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</si>
  <si>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</si>
  <si>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</si>
  <si>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Battles Nissan, LLC</t>
  </si>
  <si>
    <t>Gesner Auto Inc</t>
  </si>
  <si>
    <t>Marlene Braganca</t>
  </si>
  <si>
    <t>Grieco Toyota</t>
  </si>
  <si>
    <t>Herb Chambers Boston Turnpike Inc d/b/a</t>
  </si>
  <si>
    <t>Rachel Gorham</t>
  </si>
  <si>
    <t>Herb Chambers Lexus of Hingham</t>
  </si>
  <si>
    <t>Infiniti of Norwood</t>
  </si>
  <si>
    <t>Lucchettis Service Center Inc</t>
  </si>
  <si>
    <t>Mathieu Ford Sales, Inc</t>
  </si>
  <si>
    <t>Patriot Auto Group Inc d/b/a</t>
  </si>
  <si>
    <t>RAH FALL RIVER VW, LLC</t>
  </si>
  <si>
    <t>Richard Lundgren, Inc. d/b/a</t>
  </si>
  <si>
    <t>S&amp;E Auto Services and Sales Inc</t>
  </si>
  <si>
    <t>Salvadore Chrysler</t>
  </si>
  <si>
    <t>Viti Mercedes</t>
  </si>
  <si>
    <t>Wareham Ford</t>
  </si>
  <si>
    <t>Column1</t>
  </si>
  <si>
    <t>Column2</t>
  </si>
  <si>
    <t># 19</t>
  </si>
  <si>
    <t>FUMO</t>
  </si>
  <si>
    <t>Christopher.M.Hodgson@gmail.com</t>
  </si>
  <si>
    <t>HODGSON, CHRISTOPHER</t>
  </si>
  <si>
    <t>E Contract</t>
  </si>
  <si>
    <t>Route One</t>
  </si>
  <si>
    <t>151162410e</t>
  </si>
  <si>
    <t>VANOSS</t>
  </si>
  <si>
    <t>KILDERRY</t>
  </si>
  <si>
    <t>MATTBBH@YAHOO.COM</t>
  </si>
  <si>
    <t>C.HITCHINS@YAHOO.COM</t>
  </si>
  <si>
    <t>HITCHINS, MATTHEW</t>
  </si>
  <si>
    <t>HITCHINS, CHRISTINE</t>
  </si>
  <si>
    <t>151162402e</t>
  </si>
  <si>
    <t>COSCO</t>
  </si>
  <si>
    <t>ANNEMARIE.FAYEMI@GMAIL.COM</t>
  </si>
  <si>
    <t>FAYEMI, ANNEMARIE</t>
  </si>
  <si>
    <t>DealerTrack</t>
  </si>
  <si>
    <t>151162395e</t>
  </si>
  <si>
    <t>CAOUTTE</t>
  </si>
  <si>
    <t>pbmus1000@comcast.net</t>
  </si>
  <si>
    <t>MUSGROVE, PAUL</t>
  </si>
  <si>
    <t>151162387e</t>
  </si>
  <si>
    <t>PHAM</t>
  </si>
  <si>
    <t>nguyendennis03@gmail.com</t>
  </si>
  <si>
    <t>NGUYEN, DENNIS</t>
  </si>
  <si>
    <t>151162379e</t>
  </si>
  <si>
    <t>AKTER SOPRRA</t>
  </si>
  <si>
    <t>AFSANAMIMAKTER2000@GMAIL.COM</t>
  </si>
  <si>
    <t>MIM, AFSANA</t>
  </si>
  <si>
    <t>Paper</t>
  </si>
  <si>
    <t>151162361</t>
  </si>
  <si>
    <t>Lowe</t>
  </si>
  <si>
    <t>lisaperfmill@gmail.com</t>
  </si>
  <si>
    <t>PERFETUO-MILLER, LISA</t>
  </si>
  <si>
    <t>151162345</t>
  </si>
  <si>
    <t>ALMEIDA</t>
  </si>
  <si>
    <t>JNAPPI@ME.COM</t>
  </si>
  <si>
    <t>NAPPI, JOHN</t>
  </si>
  <si>
    <t>151162337e</t>
  </si>
  <si>
    <t>DOWNEY</t>
  </si>
  <si>
    <t>ABIGAILINGARGIOLA@GMAIL.COM</t>
  </si>
  <si>
    <t>INGARGIOLA, ABIGAIL</t>
  </si>
  <si>
    <t>151162329e</t>
  </si>
  <si>
    <t>FORSBERG</t>
  </si>
  <si>
    <t>DONOVAN</t>
  </si>
  <si>
    <t>kasajfive@icloud.com</t>
  </si>
  <si>
    <t>ERICKSON, EDWIN</t>
  </si>
  <si>
    <t>ERICKSON, DANIELLE</t>
  </si>
  <si>
    <t>151162311e</t>
  </si>
  <si>
    <t>Lovejoy</t>
  </si>
  <si>
    <t>GA78RVT@GMAIL.COM</t>
  </si>
  <si>
    <t>Fields, Adam</t>
  </si>
  <si>
    <t>151162303e</t>
  </si>
  <si>
    <t>ARRUDA</t>
  </si>
  <si>
    <t>EDESOUSA24@AOL.COM</t>
  </si>
  <si>
    <t>DESOUSA, ELIZABETH</t>
  </si>
  <si>
    <t>151162296e</t>
  </si>
  <si>
    <t>TAYLOR</t>
  </si>
  <si>
    <t>CLEGG, COURTNEY</t>
  </si>
  <si>
    <t>151162288e</t>
  </si>
  <si>
    <t>SANTORO</t>
  </si>
  <si>
    <t>caavecorp@comcast.net</t>
  </si>
  <si>
    <t>CAVE, BRIAN</t>
  </si>
  <si>
    <t>HOME RESOURCE CONSULTANTS INC</t>
  </si>
  <si>
    <t>151162270e</t>
  </si>
  <si>
    <t>HORGAN</t>
  </si>
  <si>
    <t>CHRISSYDESTEFANO417@GMAIL.COM</t>
  </si>
  <si>
    <t>DESTEFANO, CHRISTINE</t>
  </si>
  <si>
    <t>151162262e</t>
  </si>
  <si>
    <t>DONEY</t>
  </si>
  <si>
    <t>KRICO3321@YAHOO.COM</t>
  </si>
  <si>
    <t>RICCARDI, KRISTAN</t>
  </si>
  <si>
    <t>151162246</t>
  </si>
  <si>
    <t>JORDEN</t>
  </si>
  <si>
    <t>LEFEBRE</t>
  </si>
  <si>
    <t>BERNARD1995@COMCAST.NET</t>
  </si>
  <si>
    <t>BERNARD, BUFFI</t>
  </si>
  <si>
    <t>BERNARD, SCOTT</t>
  </si>
  <si>
    <t>151162212e</t>
  </si>
  <si>
    <t>BARRETT</t>
  </si>
  <si>
    <t>LARRYANDTINAMAYONE@GMAIL.COM</t>
  </si>
  <si>
    <t>MAYONE, LAWRENCE</t>
  </si>
  <si>
    <t>151162204e</t>
  </si>
  <si>
    <t>CARROLL</t>
  </si>
  <si>
    <t>BUCCELLA</t>
  </si>
  <si>
    <t>STEVMAC@PTD.NET</t>
  </si>
  <si>
    <t>PATTI603@PTD.NET</t>
  </si>
  <si>
    <t>MACKAY, STEPHEN</t>
  </si>
  <si>
    <t>MAC KAY, PATRICIA</t>
  </si>
  <si>
    <t>151162072e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</si>
  <si>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</si>
  <si>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</si>
  <si>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</si>
  <si>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</si>
  <si>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</si>
  <si>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</si>
  <si>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</si>
  <si>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</si>
  <si>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</si>
  <si>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</si>
  <si>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</si>
  <si>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</si>
  <si>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By__________________________________________________________________________</t>
  </si>
  <si>
    <t>Delivered By_________________________________________________________________________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</si>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</sst>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AC45DEC1-D432-4FC0-A84A-65DA3E1687B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14F2440-280B-45A3-8D0A-AA67659C1F50}" name="Column1" dataDxfId="23"/>
    <tableColumn id="8" xr3:uid="{3B3C6C5F-C699-49AF-9380-798852409B47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C8F07-1BDC-47A7-BBD5-A042ED818A71}" name="Table_13" displayName="Table_13" ref="A3:L23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BD8506-57A2-4593-95BB-A9D3D2A49FAF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workbookViewId="0">
      <pane ySplit="3" topLeftCell="A4" activePane="bottomLeft" state="frozen"/>
      <selection pane="bottomLeft" activeCell="E37" sqref="E37"/>
    </sheetView>
  </sheetViews>
  <sheetFormatPr defaultRowHeight="15" x14ac:dyDescent="0.25"/>
  <cols>
    <col min="1" max="1" width="39.5703125" bestFit="1" customWidth="1"/>
    <col min="2" max="2" width="17.7109375" bestFit="1" customWidth="1"/>
    <col min="3" max="3" width="11.140625" bestFit="1" customWidth="1"/>
    <col min="4" max="4" width="15.42578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45747</v>
      </c>
      <c r="E1" t="s">
        <v>2</v>
      </c>
      <c r="H1" s="4">
        <v>45747.999988425923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29</v>
      </c>
      <c r="G3" t="s">
        <v>30</v>
      </c>
      <c r="H3" t="s">
        <v>9</v>
      </c>
    </row>
    <row r="4" spans="1:8" x14ac:dyDescent="0.25">
      <c r="A4" t="s">
        <v>10</v>
      </c>
      <c r="B4" t="s">
        <v>11</v>
      </c>
      <c r="C4" s="2">
        <v>950</v>
      </c>
      <c r="D4" s="2">
        <v>0</v>
      </c>
      <c r="E4" s="2">
        <v>37000</v>
      </c>
      <c r="F4" s="2"/>
      <c r="G4" s="2"/>
      <c r="H4" s="2">
        <v>37075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17391.13</v>
      </c>
      <c r="F6" s="2"/>
      <c r="G6" s="2"/>
      <c r="H6" s="2">
        <v>17466.13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850</v>
      </c>
      <c r="D8" s="2">
        <v>0</v>
      </c>
      <c r="E8" s="2">
        <v>30771</v>
      </c>
      <c r="F8" s="2"/>
      <c r="G8" s="2"/>
      <c r="H8" s="2">
        <v>30846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750</v>
      </c>
      <c r="D10" s="2">
        <v>0</v>
      </c>
      <c r="E10" s="2">
        <v>25439.4</v>
      </c>
      <c r="F10" s="2"/>
      <c r="G10" s="2"/>
      <c r="H10" s="2">
        <v>25514.400000000001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17</v>
      </c>
      <c r="C12" s="2">
        <v>1350</v>
      </c>
      <c r="D12" s="2">
        <v>0</v>
      </c>
      <c r="E12" s="2">
        <v>56462.63</v>
      </c>
      <c r="F12" s="2"/>
      <c r="G12" s="2"/>
      <c r="H12" s="2">
        <v>56537.63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11</v>
      </c>
      <c r="C14" s="2">
        <v>1500</v>
      </c>
      <c r="D14" s="2">
        <v>0</v>
      </c>
      <c r="E14" s="2">
        <v>74970.38</v>
      </c>
      <c r="F14" s="2"/>
      <c r="G14" s="2"/>
      <c r="H14" s="2">
        <v>75045.38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11</v>
      </c>
      <c r="C16" s="2">
        <v>1350</v>
      </c>
      <c r="D16" s="2">
        <v>0</v>
      </c>
      <c r="E16" s="2">
        <v>54077.18</v>
      </c>
      <c r="F16" s="2"/>
      <c r="G16" s="2"/>
      <c r="H16" s="2">
        <v>54152.18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20</v>
      </c>
      <c r="B18" t="s">
        <v>17</v>
      </c>
      <c r="C18" s="2">
        <v>950</v>
      </c>
      <c r="D18" s="2">
        <v>0</v>
      </c>
      <c r="E18" s="2">
        <v>36688.19</v>
      </c>
      <c r="F18" s="2"/>
      <c r="G18" s="2"/>
      <c r="H18" s="2">
        <v>36763.19</v>
      </c>
    </row>
    <row r="19" spans="1:8" x14ac:dyDescent="0.25">
      <c r="A19" t="s">
        <v>20</v>
      </c>
      <c r="B19" t="s">
        <v>17</v>
      </c>
      <c r="C19" s="2">
        <v>950</v>
      </c>
      <c r="D19" s="2">
        <v>0</v>
      </c>
      <c r="E19" s="2">
        <v>39597.629999999997</v>
      </c>
      <c r="F19" s="2">
        <f>SUM(E18:E19)</f>
        <v>76285.820000000007</v>
      </c>
      <c r="G19" s="2"/>
      <c r="H19" s="2">
        <v>39672.629999999997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14</v>
      </c>
      <c r="C21" s="2">
        <v>950</v>
      </c>
      <c r="D21" s="2">
        <v>0</v>
      </c>
      <c r="E21" s="2">
        <v>39919.32</v>
      </c>
      <c r="F21" s="2"/>
      <c r="G21" s="2"/>
      <c r="H21" s="2">
        <v>39994.32</v>
      </c>
    </row>
    <row r="22" spans="1:8" x14ac:dyDescent="0.25">
      <c r="A22" t="s">
        <v>21</v>
      </c>
      <c r="B22" t="s">
        <v>17</v>
      </c>
      <c r="C22" s="2">
        <v>1350</v>
      </c>
      <c r="D22" s="2">
        <v>0</v>
      </c>
      <c r="E22" s="2">
        <v>58380.94</v>
      </c>
      <c r="F22" s="2">
        <f>SUM(E21:E22)</f>
        <v>98300.260000000009</v>
      </c>
      <c r="G22" s="2"/>
      <c r="H22" s="2">
        <v>58455.94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17</v>
      </c>
      <c r="C24" s="2">
        <v>950</v>
      </c>
      <c r="D24" s="2">
        <v>0</v>
      </c>
      <c r="E24" s="2">
        <v>36261.65</v>
      </c>
      <c r="F24" s="2"/>
      <c r="G24" s="2"/>
      <c r="H24" s="2">
        <v>36336.65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11</v>
      </c>
      <c r="C26" s="2">
        <v>1500</v>
      </c>
      <c r="D26" s="2">
        <v>0</v>
      </c>
      <c r="E26" s="2">
        <v>72785.179999999993</v>
      </c>
      <c r="F26" s="2"/>
      <c r="G26" s="2"/>
      <c r="H26" s="2">
        <v>72860.179999999993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24</v>
      </c>
      <c r="B28" t="s">
        <v>17</v>
      </c>
      <c r="C28" s="2">
        <v>650</v>
      </c>
      <c r="D28" s="2">
        <v>0</v>
      </c>
      <c r="E28" s="2">
        <v>22278.75</v>
      </c>
      <c r="F28" s="2"/>
      <c r="G28" s="2"/>
      <c r="H28" s="2">
        <v>22353.75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25</v>
      </c>
      <c r="B30" t="s">
        <v>14</v>
      </c>
      <c r="C30" s="2">
        <v>650</v>
      </c>
      <c r="D30" s="2">
        <v>0</v>
      </c>
      <c r="E30" s="2">
        <v>22977.439999999999</v>
      </c>
      <c r="F30" s="2"/>
      <c r="G30" s="2"/>
      <c r="H30" s="2">
        <v>23052.44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26</v>
      </c>
      <c r="B32" t="s">
        <v>14</v>
      </c>
      <c r="C32" s="2">
        <v>300</v>
      </c>
      <c r="D32" s="2">
        <v>0</v>
      </c>
      <c r="E32" s="2">
        <v>13802.06</v>
      </c>
      <c r="F32" s="2"/>
      <c r="G32" s="2"/>
      <c r="H32" s="2">
        <v>13877.06</v>
      </c>
    </row>
    <row r="33" spans="1:8" x14ac:dyDescent="0.25">
      <c r="A33" t="s">
        <v>26</v>
      </c>
      <c r="B33" t="s">
        <v>11</v>
      </c>
      <c r="C33" s="2">
        <v>850</v>
      </c>
      <c r="D33" s="2">
        <v>0</v>
      </c>
      <c r="E33" s="2">
        <v>33934.559999999998</v>
      </c>
      <c r="F33" s="2">
        <f>SUM(E32:E33)</f>
        <v>47736.619999999995</v>
      </c>
      <c r="G33" s="2"/>
      <c r="H33" s="2">
        <v>34009.56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27</v>
      </c>
      <c r="B35" t="s">
        <v>11</v>
      </c>
      <c r="C35" s="2">
        <v>500</v>
      </c>
      <c r="D35" s="2">
        <v>0</v>
      </c>
      <c r="E35" s="2">
        <v>19157.25</v>
      </c>
      <c r="F35" s="2"/>
      <c r="G35" s="2"/>
      <c r="H35" s="2">
        <v>19232.25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28</v>
      </c>
      <c r="B37" t="s">
        <v>11</v>
      </c>
      <c r="C37" s="2">
        <v>500</v>
      </c>
      <c r="D37" s="2">
        <v>0</v>
      </c>
      <c r="E37" s="2">
        <v>17953</v>
      </c>
      <c r="F37" s="2"/>
      <c r="G37" s="2"/>
      <c r="H37" s="2">
        <v>18028</v>
      </c>
    </row>
    <row r="38" spans="1:8" x14ac:dyDescent="0.25">
      <c r="A38" s="1"/>
      <c r="B38" s="1"/>
      <c r="C38" s="3">
        <f>SUM(C4:C37)</f>
        <v>17350</v>
      </c>
      <c r="D38" s="3">
        <f>SUM(D4:D37)</f>
        <v>0</v>
      </c>
      <c r="E38" s="3">
        <f>SUM(E4:E37)</f>
        <v>709847.69000000018</v>
      </c>
      <c r="F38" s="3"/>
      <c r="G38" s="3"/>
      <c r="H38" s="3">
        <f>SUM(H4:H37)</f>
        <v>711272.69000000018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6386-CBD4-42CB-9875-F295E33F55C2}">
  <sheetPr>
    <pageSetUpPr fitToPage="1"/>
  </sheetPr>
  <dimension ref="A1:L25"/>
  <sheetViews>
    <sheetView workbookViewId="0">
      <pane ySplit="3" topLeftCell="A4" activePane="bottomLeft" state="frozen"/>
      <selection pane="bottomLeft" activeCell="A22" sqref="A4:A2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5" style="8" bestFit="1" customWidth="1"/>
    <col min="5" max="5" width="20.42578125" style="8" bestFit="1" customWidth="1"/>
    <col min="6" max="6" width="39.5703125" style="8" bestFit="1" customWidth="1"/>
    <col min="7" max="7" width="17.7109375" style="8" bestFit="1" customWidth="1"/>
    <col min="8" max="8" width="17.140625" style="8" bestFit="1" customWidth="1"/>
    <col min="9" max="9" width="36.140625" style="8" bestFit="1" customWidth="1"/>
    <col min="10" max="10" width="23.42578125" style="8" bestFit="1" customWidth="1"/>
    <col min="11" max="11" width="15.425781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45747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132</v>
      </c>
      <c r="H2" s="12"/>
      <c r="I2" s="12"/>
      <c r="J2" s="12"/>
      <c r="K2" s="12"/>
      <c r="L2" s="12"/>
    </row>
    <row r="3" spans="1:12" ht="35.1" customHeight="1" x14ac:dyDescent="0.25">
      <c r="A3" s="9" t="s">
        <v>131</v>
      </c>
      <c r="B3" s="9" t="s">
        <v>130</v>
      </c>
      <c r="C3" s="9" t="s">
        <v>129</v>
      </c>
      <c r="D3" s="9" t="s">
        <v>128</v>
      </c>
      <c r="E3" s="9" t="s">
        <v>127</v>
      </c>
      <c r="F3" s="9" t="s">
        <v>4</v>
      </c>
      <c r="G3" s="9" t="s">
        <v>5</v>
      </c>
      <c r="H3" s="9" t="s">
        <v>126</v>
      </c>
      <c r="I3" s="9" t="s">
        <v>125</v>
      </c>
      <c r="J3" s="9" t="s">
        <v>124</v>
      </c>
      <c r="K3" s="9" t="s">
        <v>123</v>
      </c>
      <c r="L3" s="9" t="s">
        <v>122</v>
      </c>
    </row>
    <row r="4" spans="1:12" ht="35.1" customHeight="1" x14ac:dyDescent="0.25">
      <c r="A4" s="9" t="s">
        <v>121</v>
      </c>
      <c r="B4" s="9" t="s">
        <v>36</v>
      </c>
      <c r="C4" s="9" t="s">
        <v>35</v>
      </c>
      <c r="D4" s="9" t="s">
        <v>120</v>
      </c>
      <c r="E4" s="9" t="s">
        <v>119</v>
      </c>
      <c r="F4" s="9" t="s">
        <v>20</v>
      </c>
      <c r="G4" s="9" t="s">
        <v>17</v>
      </c>
      <c r="H4" s="14">
        <v>36763.19</v>
      </c>
      <c r="I4" s="9" t="s">
        <v>118</v>
      </c>
      <c r="J4" s="9" t="s">
        <v>117</v>
      </c>
      <c r="K4" s="9" t="s">
        <v>116</v>
      </c>
      <c r="L4" s="9" t="s">
        <v>115</v>
      </c>
    </row>
    <row r="5" spans="1:12" ht="35.1" customHeight="1" x14ac:dyDescent="0.25">
      <c r="A5" s="9" t="s">
        <v>114</v>
      </c>
      <c r="B5" s="9" t="s">
        <v>48</v>
      </c>
      <c r="C5" s="9" t="s">
        <v>35</v>
      </c>
      <c r="D5" s="9" t="s">
        <v>113</v>
      </c>
      <c r="E5" s="9"/>
      <c r="F5" s="9" t="s">
        <v>24</v>
      </c>
      <c r="G5" s="9" t="s">
        <v>17</v>
      </c>
      <c r="H5" s="14">
        <v>22353.75</v>
      </c>
      <c r="I5" s="9" t="s">
        <v>112</v>
      </c>
      <c r="J5" s="9"/>
      <c r="K5" s="9" t="s">
        <v>111</v>
      </c>
      <c r="L5" s="9"/>
    </row>
    <row r="6" spans="1:12" ht="35.1" customHeight="1" x14ac:dyDescent="0.25">
      <c r="A6" s="9" t="s">
        <v>110</v>
      </c>
      <c r="B6" s="9" t="s">
        <v>36</v>
      </c>
      <c r="C6" s="9" t="s">
        <v>35</v>
      </c>
      <c r="D6" s="9" t="s">
        <v>109</v>
      </c>
      <c r="E6" s="9" t="s">
        <v>108</v>
      </c>
      <c r="F6" s="9" t="s">
        <v>21</v>
      </c>
      <c r="G6" s="9" t="s">
        <v>17</v>
      </c>
      <c r="H6" s="14">
        <v>58455.94</v>
      </c>
      <c r="I6" s="9" t="s">
        <v>107</v>
      </c>
      <c r="J6" s="9"/>
      <c r="K6" s="9" t="s">
        <v>106</v>
      </c>
      <c r="L6" s="9" t="s">
        <v>105</v>
      </c>
    </row>
    <row r="7" spans="1:12" ht="35.1" customHeight="1" x14ac:dyDescent="0.25">
      <c r="A7" s="9" t="s">
        <v>104</v>
      </c>
      <c r="B7" s="9" t="s">
        <v>48</v>
      </c>
      <c r="C7" s="9" t="s">
        <v>61</v>
      </c>
      <c r="D7" s="9" t="s">
        <v>103</v>
      </c>
      <c r="E7" s="9"/>
      <c r="F7" s="9" t="s">
        <v>19</v>
      </c>
      <c r="G7" s="9" t="s">
        <v>11</v>
      </c>
      <c r="H7" s="14">
        <v>54152.18</v>
      </c>
      <c r="I7" s="9" t="s">
        <v>102</v>
      </c>
      <c r="J7" s="9"/>
      <c r="K7" s="9" t="s">
        <v>101</v>
      </c>
      <c r="L7" s="9"/>
    </row>
    <row r="8" spans="1:12" ht="35.1" customHeight="1" x14ac:dyDescent="0.25">
      <c r="A8" s="9" t="s">
        <v>100</v>
      </c>
      <c r="B8" s="9" t="s">
        <v>48</v>
      </c>
      <c r="C8" s="9" t="s">
        <v>35</v>
      </c>
      <c r="D8" s="9" t="s">
        <v>99</v>
      </c>
      <c r="E8" s="9"/>
      <c r="F8" s="9" t="s">
        <v>12</v>
      </c>
      <c r="G8" s="9" t="s">
        <v>11</v>
      </c>
      <c r="H8" s="14">
        <v>17466.13</v>
      </c>
      <c r="I8" s="9" t="s">
        <v>98</v>
      </c>
      <c r="J8" s="9"/>
      <c r="K8" s="9" t="s">
        <v>97</v>
      </c>
      <c r="L8" s="9"/>
    </row>
    <row r="9" spans="1:12" ht="35.1" customHeight="1" x14ac:dyDescent="0.25">
      <c r="A9" s="9" t="s">
        <v>96</v>
      </c>
      <c r="B9" s="9" t="s">
        <v>36</v>
      </c>
      <c r="C9" s="9" t="s">
        <v>35</v>
      </c>
      <c r="D9" s="9" t="s">
        <v>95</v>
      </c>
      <c r="E9" s="9" t="s">
        <v>94</v>
      </c>
      <c r="F9" s="9" t="s">
        <v>28</v>
      </c>
      <c r="G9" s="9" t="s">
        <v>11</v>
      </c>
      <c r="H9" s="14">
        <v>18028</v>
      </c>
      <c r="I9" s="9" t="s">
        <v>93</v>
      </c>
      <c r="J9" s="9"/>
      <c r="K9" s="9" t="s">
        <v>92</v>
      </c>
      <c r="L9" s="9"/>
    </row>
    <row r="10" spans="1:12" ht="35.1" customHeight="1" x14ac:dyDescent="0.25">
      <c r="A10" s="9" t="s">
        <v>91</v>
      </c>
      <c r="B10" s="9" t="s">
        <v>36</v>
      </c>
      <c r="C10" s="9" t="s">
        <v>35</v>
      </c>
      <c r="D10" s="9" t="s">
        <v>90</v>
      </c>
      <c r="E10" s="9"/>
      <c r="F10" s="9" t="s">
        <v>15</v>
      </c>
      <c r="G10" s="9" t="s">
        <v>11</v>
      </c>
      <c r="H10" s="14">
        <v>25514.400000000001</v>
      </c>
      <c r="I10" s="9"/>
      <c r="J10" s="9"/>
      <c r="K10" s="9" t="s">
        <v>89</v>
      </c>
      <c r="L10" s="9"/>
    </row>
    <row r="11" spans="1:12" ht="35.1" customHeight="1" x14ac:dyDescent="0.25">
      <c r="A11" s="9" t="s">
        <v>88</v>
      </c>
      <c r="B11" s="9" t="s">
        <v>48</v>
      </c>
      <c r="C11" s="9" t="s">
        <v>35</v>
      </c>
      <c r="D11" s="9" t="s">
        <v>87</v>
      </c>
      <c r="E11" s="9"/>
      <c r="F11" s="9" t="s">
        <v>27</v>
      </c>
      <c r="G11" s="9" t="s">
        <v>11</v>
      </c>
      <c r="H11" s="14">
        <v>19232.25</v>
      </c>
      <c r="I11" s="9" t="s">
        <v>86</v>
      </c>
      <c r="J11" s="9"/>
      <c r="K11" s="9" t="s">
        <v>85</v>
      </c>
      <c r="L11" s="9"/>
    </row>
    <row r="12" spans="1:12" ht="35.1" customHeight="1" x14ac:dyDescent="0.25">
      <c r="A12" s="9" t="s">
        <v>84</v>
      </c>
      <c r="B12" s="9" t="s">
        <v>36</v>
      </c>
      <c r="C12" s="9" t="s">
        <v>35</v>
      </c>
      <c r="D12" s="9" t="s">
        <v>83</v>
      </c>
      <c r="E12" s="9"/>
      <c r="F12" s="9" t="s">
        <v>21</v>
      </c>
      <c r="G12" s="9" t="s">
        <v>14</v>
      </c>
      <c r="H12" s="14">
        <v>39994.32</v>
      </c>
      <c r="I12" s="9" t="s">
        <v>82</v>
      </c>
      <c r="J12" s="9"/>
      <c r="K12" s="9" t="s">
        <v>81</v>
      </c>
      <c r="L12" s="9"/>
    </row>
    <row r="13" spans="1:12" ht="35.1" customHeight="1" x14ac:dyDescent="0.25">
      <c r="A13" s="9" t="s">
        <v>80</v>
      </c>
      <c r="B13" s="9" t="s">
        <v>36</v>
      </c>
      <c r="C13" s="9" t="s">
        <v>35</v>
      </c>
      <c r="D13" s="9" t="s">
        <v>79</v>
      </c>
      <c r="E13" s="9" t="s">
        <v>78</v>
      </c>
      <c r="F13" s="9" t="s">
        <v>26</v>
      </c>
      <c r="G13" s="9" t="s">
        <v>11</v>
      </c>
      <c r="H13" s="14">
        <v>34009.56</v>
      </c>
      <c r="I13" s="9" t="s">
        <v>77</v>
      </c>
      <c r="J13" s="9" t="s">
        <v>77</v>
      </c>
      <c r="K13" s="9" t="s">
        <v>76</v>
      </c>
      <c r="L13" s="9" t="s">
        <v>75</v>
      </c>
    </row>
    <row r="14" spans="1:12" ht="35.1" customHeight="1" x14ac:dyDescent="0.25">
      <c r="A14" s="9" t="s">
        <v>74</v>
      </c>
      <c r="B14" s="9" t="s">
        <v>36</v>
      </c>
      <c r="C14" s="9" t="s">
        <v>35</v>
      </c>
      <c r="D14" s="9" t="s">
        <v>73</v>
      </c>
      <c r="E14" s="9"/>
      <c r="F14" s="9" t="s">
        <v>18</v>
      </c>
      <c r="G14" s="9" t="s">
        <v>11</v>
      </c>
      <c r="H14" s="14">
        <v>75045.38</v>
      </c>
      <c r="I14" s="9" t="s">
        <v>72</v>
      </c>
      <c r="J14" s="9"/>
      <c r="K14" s="9" t="s">
        <v>71</v>
      </c>
      <c r="L14" s="9"/>
    </row>
    <row r="15" spans="1:12" ht="35.1" customHeight="1" x14ac:dyDescent="0.25">
      <c r="A15" s="9" t="s">
        <v>70</v>
      </c>
      <c r="B15" s="9" t="s">
        <v>48</v>
      </c>
      <c r="C15" s="9" t="s">
        <v>35</v>
      </c>
      <c r="D15" s="9" t="s">
        <v>69</v>
      </c>
      <c r="E15" s="9"/>
      <c r="F15" s="9" t="s">
        <v>23</v>
      </c>
      <c r="G15" s="9" t="s">
        <v>11</v>
      </c>
      <c r="H15" s="14">
        <v>72860.179999999993</v>
      </c>
      <c r="I15" s="9" t="s">
        <v>68</v>
      </c>
      <c r="J15" s="9"/>
      <c r="K15" s="9" t="s">
        <v>67</v>
      </c>
      <c r="L15" s="9"/>
    </row>
    <row r="16" spans="1:12" ht="35.1" customHeight="1" x14ac:dyDescent="0.25">
      <c r="A16" s="9" t="s">
        <v>66</v>
      </c>
      <c r="B16" s="9" t="s">
        <v>48</v>
      </c>
      <c r="C16" s="9" t="s">
        <v>61</v>
      </c>
      <c r="D16" s="9" t="s">
        <v>65</v>
      </c>
      <c r="E16" s="9"/>
      <c r="F16" s="9" t="s">
        <v>25</v>
      </c>
      <c r="G16" s="9" t="s">
        <v>14</v>
      </c>
      <c r="H16" s="14">
        <v>23052.44</v>
      </c>
      <c r="I16" s="9" t="s">
        <v>64</v>
      </c>
      <c r="J16" s="9"/>
      <c r="K16" s="9" t="s">
        <v>63</v>
      </c>
      <c r="L16" s="9"/>
    </row>
    <row r="17" spans="1:12" ht="35.1" customHeight="1" x14ac:dyDescent="0.25">
      <c r="A17" s="9" t="s">
        <v>62</v>
      </c>
      <c r="B17" s="9" t="s">
        <v>48</v>
      </c>
      <c r="C17" s="9" t="s">
        <v>61</v>
      </c>
      <c r="D17" s="9" t="s">
        <v>60</v>
      </c>
      <c r="E17" s="9"/>
      <c r="F17" s="9" t="s">
        <v>13</v>
      </c>
      <c r="G17" s="9" t="s">
        <v>14</v>
      </c>
      <c r="H17" s="14">
        <v>30846</v>
      </c>
      <c r="I17" s="9" t="s">
        <v>59</v>
      </c>
      <c r="J17" s="9"/>
      <c r="K17" s="9" t="s">
        <v>58</v>
      </c>
      <c r="L17" s="9"/>
    </row>
    <row r="18" spans="1:12" ht="35.1" customHeight="1" x14ac:dyDescent="0.25">
      <c r="A18" s="9" t="s">
        <v>57</v>
      </c>
      <c r="B18" s="9" t="s">
        <v>36</v>
      </c>
      <c r="C18" s="9" t="s">
        <v>35</v>
      </c>
      <c r="D18" s="9" t="s">
        <v>56</v>
      </c>
      <c r="E18" s="9"/>
      <c r="F18" s="9" t="s">
        <v>10</v>
      </c>
      <c r="G18" s="9" t="s">
        <v>11</v>
      </c>
      <c r="H18" s="14">
        <v>37075</v>
      </c>
      <c r="I18" s="9" t="s">
        <v>55</v>
      </c>
      <c r="J18" s="9"/>
      <c r="K18" s="9" t="s">
        <v>54</v>
      </c>
      <c r="L18" s="9"/>
    </row>
    <row r="19" spans="1:12" ht="35.1" customHeight="1" x14ac:dyDescent="0.25">
      <c r="A19" s="9" t="s">
        <v>53</v>
      </c>
      <c r="B19" s="9" t="s">
        <v>36</v>
      </c>
      <c r="C19" s="9" t="s">
        <v>35</v>
      </c>
      <c r="D19" s="9" t="s">
        <v>52</v>
      </c>
      <c r="E19" s="9"/>
      <c r="F19" s="9" t="s">
        <v>26</v>
      </c>
      <c r="G19" s="9" t="s">
        <v>14</v>
      </c>
      <c r="H19" s="14">
        <v>13877.06</v>
      </c>
      <c r="I19" s="9" t="s">
        <v>51</v>
      </c>
      <c r="J19" s="9"/>
      <c r="K19" s="9" t="s">
        <v>50</v>
      </c>
      <c r="L19" s="9"/>
    </row>
    <row r="20" spans="1:12" ht="35.1" customHeight="1" x14ac:dyDescent="0.25">
      <c r="A20" s="9" t="s">
        <v>49</v>
      </c>
      <c r="B20" s="9" t="s">
        <v>48</v>
      </c>
      <c r="C20" s="9" t="s">
        <v>35</v>
      </c>
      <c r="D20" s="9" t="s">
        <v>47</v>
      </c>
      <c r="E20" s="9"/>
      <c r="F20" s="9" t="s">
        <v>16</v>
      </c>
      <c r="G20" s="9" t="s">
        <v>17</v>
      </c>
      <c r="H20" s="14">
        <v>56537.63</v>
      </c>
      <c r="I20" s="9" t="s">
        <v>46</v>
      </c>
      <c r="J20" s="9"/>
      <c r="K20" s="9" t="s">
        <v>45</v>
      </c>
      <c r="L20" s="9"/>
    </row>
    <row r="21" spans="1:12" ht="35.1" customHeight="1" x14ac:dyDescent="0.25">
      <c r="A21" s="9" t="s">
        <v>44</v>
      </c>
      <c r="B21" s="9" t="s">
        <v>36</v>
      </c>
      <c r="C21" s="9" t="s">
        <v>35</v>
      </c>
      <c r="D21" s="9" t="s">
        <v>43</v>
      </c>
      <c r="E21" s="9" t="s">
        <v>42</v>
      </c>
      <c r="F21" s="9" t="s">
        <v>20</v>
      </c>
      <c r="G21" s="9" t="s">
        <v>17</v>
      </c>
      <c r="H21" s="14">
        <v>39672.629999999997</v>
      </c>
      <c r="I21" s="9" t="s">
        <v>41</v>
      </c>
      <c r="J21" s="9" t="s">
        <v>40</v>
      </c>
      <c r="K21" s="9" t="s">
        <v>39</v>
      </c>
      <c r="L21" s="9" t="s">
        <v>38</v>
      </c>
    </row>
    <row r="22" spans="1:12" ht="35.1" customHeight="1" x14ac:dyDescent="0.25">
      <c r="A22" s="9" t="s">
        <v>37</v>
      </c>
      <c r="B22" s="9" t="s">
        <v>36</v>
      </c>
      <c r="C22" s="9" t="s">
        <v>35</v>
      </c>
      <c r="D22" s="9" t="s">
        <v>34</v>
      </c>
      <c r="E22" s="9"/>
      <c r="F22" s="9" t="s">
        <v>22</v>
      </c>
      <c r="G22" s="9" t="s">
        <v>17</v>
      </c>
      <c r="H22" s="14">
        <v>36336.65</v>
      </c>
      <c r="I22" s="9" t="s">
        <v>33</v>
      </c>
      <c r="J22" s="9"/>
      <c r="K22" s="9" t="s">
        <v>32</v>
      </c>
      <c r="L22" s="9"/>
    </row>
    <row r="23" spans="1:12" ht="35.1" customHeight="1" x14ac:dyDescent="0.25">
      <c r="A23" s="15"/>
      <c r="B23" s="15"/>
      <c r="C23" s="15"/>
      <c r="D23" s="15" t="s">
        <v>31</v>
      </c>
      <c r="E23" s="15"/>
      <c r="F23" s="15"/>
      <c r="G23" s="15"/>
      <c r="H23" s="16">
        <f>SUM(H4:H22)</f>
        <v>711272.69000000006</v>
      </c>
      <c r="I23" s="15"/>
      <c r="J23" s="15"/>
      <c r="K23" s="15"/>
      <c r="L23" s="15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BB5C-686A-4FFF-8DBB-00AA4001DBC2}">
  <sheetPr>
    <pageSetUpPr fitToPage="1"/>
  </sheetPr>
  <dimension ref="A1:E32"/>
  <sheetViews>
    <sheetView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5" style="8" bestFit="1" customWidth="1"/>
    <col min="4" max="4" width="20.42578125" style="8" bestFit="1" customWidth="1"/>
    <col min="5" max="5" width="39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45747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137</v>
      </c>
      <c r="E2" s="12"/>
    </row>
    <row r="3" spans="1:5" x14ac:dyDescent="0.25">
      <c r="A3" s="9" t="s">
        <v>131</v>
      </c>
      <c r="B3" s="9" t="s">
        <v>129</v>
      </c>
      <c r="C3" s="9" t="s">
        <v>128</v>
      </c>
      <c r="D3" s="9" t="s">
        <v>127</v>
      </c>
      <c r="E3" s="9" t="s">
        <v>4</v>
      </c>
    </row>
    <row r="4" spans="1:5" x14ac:dyDescent="0.25">
      <c r="A4" s="9" t="s">
        <v>104</v>
      </c>
      <c r="B4" s="9" t="s">
        <v>61</v>
      </c>
      <c r="C4" s="9" t="s">
        <v>103</v>
      </c>
      <c r="D4" s="9"/>
      <c r="E4" s="9" t="s">
        <v>19</v>
      </c>
    </row>
    <row r="5" spans="1:5" x14ac:dyDescent="0.25">
      <c r="A5" s="9" t="s">
        <v>66</v>
      </c>
      <c r="B5" s="9" t="s">
        <v>61</v>
      </c>
      <c r="C5" s="9" t="s">
        <v>65</v>
      </c>
      <c r="D5" s="9"/>
      <c r="E5" s="9" t="s">
        <v>25</v>
      </c>
    </row>
    <row r="6" spans="1:5" x14ac:dyDescent="0.25">
      <c r="A6" s="9" t="s">
        <v>62</v>
      </c>
      <c r="B6" s="9" t="s">
        <v>61</v>
      </c>
      <c r="C6" s="9" t="s">
        <v>60</v>
      </c>
      <c r="D6" s="9"/>
      <c r="E6" s="9" t="s">
        <v>13</v>
      </c>
    </row>
    <row r="7" spans="1:5" x14ac:dyDescent="0.25">
      <c r="A7" s="15"/>
      <c r="B7" s="15"/>
      <c r="C7" s="15" t="s">
        <v>136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135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134</v>
      </c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 t="s">
        <v>133</v>
      </c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</sheetData>
  <mergeCells count="2">
    <mergeCell ref="A2:C2"/>
    <mergeCell ref="D2:E2"/>
  </mergeCells>
  <pageMargins left="0.7" right="0.7" top="0.75" bottom="0.75" header="0.3" footer="0.3"/>
  <pageSetup scale="7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2025-03-31T19:13:35Z</cp:lastPrinted>
  <dcterms:created xsi:type="dcterms:W3CDTF">2025-03-31T19:04:19Z</dcterms:created>
  <dcterms:modified xsi:type="dcterms:W3CDTF">2025-03-31T19:28:12Z</dcterms:modified>
</cp:coreProperties>
</file>