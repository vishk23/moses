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D908BDC2-8D1C-4D68-9AAE-B3DEFC2CBACC}" xr6:coauthVersionLast="47" xr6:coauthVersionMax="47" xr10:uidLastSave="{00000000-0000-0000-0000-000000000000}"/>
  <bookViews>
    <workbookView xWindow="30840" yWindow="120" windowWidth="20580" windowHeight="1516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29" i="2"/>
  <c r="F29" i="2"/>
  <c r="E29" i="2"/>
  <c r="D29" i="2"/>
  <c r="H17" i="1"/>
</calcChain>
</file>

<file path=xl/sharedStrings.xml><?xml version="1.0" encoding="utf-8"?>
<sst xmlns="http://schemas.openxmlformats.org/spreadsheetml/2006/main" count="188" uniqueCount="105">
  <si>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</si>
  <si>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</si>
  <si>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</si>
  <si>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</si>
  <si>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</si>
  <si>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</si>
  <si>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</si>
  <si>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</si>
  <si>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</si>
  <si>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</si>
  <si>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</si>
  <si>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</si>
  <si>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</si>
  <si>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</si>
  <si>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</si>
  <si>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</si>
  <si>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SCANNELL, MOLLY</t>
  </si>
  <si>
    <t>SCANNELL, WILLIAM</t>
  </si>
  <si>
    <t>Coastal Volkswagon</t>
  </si>
  <si>
    <t>Marlene Braganca</t>
  </si>
  <si>
    <t>Doulittle</t>
  </si>
  <si>
    <t>Carty</t>
  </si>
  <si>
    <t>Route One</t>
  </si>
  <si>
    <t>TEEHAN, MICHAEL</t>
  </si>
  <si>
    <t>Alden Buick Pontiac GMC</t>
  </si>
  <si>
    <t>Neli Oliveira</t>
  </si>
  <si>
    <t>mtee314@gmail.com</t>
  </si>
  <si>
    <t>NORTON</t>
  </si>
  <si>
    <t>MILLER, MICHAEL</t>
  </si>
  <si>
    <t>Planet Subaru</t>
  </si>
  <si>
    <t>SKPART@GMAIL.COM</t>
  </si>
  <si>
    <t>TRAKES</t>
  </si>
  <si>
    <t>DIERKER, ERIN</t>
  </si>
  <si>
    <t>Bourne Enterprises Inc</t>
  </si>
  <si>
    <t>ESDIERKER@GMAIL.COM</t>
  </si>
  <si>
    <t>STAFFORD</t>
  </si>
  <si>
    <t>PEREZ, DILENNYS</t>
  </si>
  <si>
    <t>Grieco Toyota</t>
  </si>
  <si>
    <t>Rachel Gorham</t>
  </si>
  <si>
    <t>ROSARIO</t>
  </si>
  <si>
    <t>WALSH, RYLEE</t>
  </si>
  <si>
    <t>Morris Motor Sales Inc d/b/a</t>
  </si>
  <si>
    <t>RYLEE.WALSH10@YAHOO.COM</t>
  </si>
  <si>
    <t>SMART</t>
  </si>
  <si>
    <t>151168955</t>
  </si>
  <si>
    <t>Paper</t>
  </si>
  <si>
    <t>ZIA, LISA</t>
  </si>
  <si>
    <t>Mastria Buick Pontiac</t>
  </si>
  <si>
    <t>LZIA00199@AOL.COM</t>
  </si>
  <si>
    <t>BENNETT</t>
  </si>
  <si>
    <t>151168963</t>
  </si>
  <si>
    <t>LANNI, DENNIS</t>
  </si>
  <si>
    <t>Planet Automotive Sales LLC</t>
  </si>
  <si>
    <t>DJLDOC@GMAIL.COM</t>
  </si>
  <si>
    <t>SCIARRA</t>
  </si>
  <si>
    <t>151168971</t>
  </si>
  <si>
    <t>MERCADO, YIMY</t>
  </si>
  <si>
    <t>YMERCADO11@HOTMAIL.COM</t>
  </si>
  <si>
    <t>RUIZ-MERCADO</t>
  </si>
  <si>
    <t>KIRWIN, MARY</t>
  </si>
  <si>
    <t>Patriot Auto Group Inc d/b/a</t>
  </si>
  <si>
    <t>maryakirwin@gmail.com</t>
  </si>
  <si>
    <t>BRADY</t>
  </si>
  <si>
    <t>151168997</t>
  </si>
  <si>
    <t>CANNALONGA, LAWRENCE</t>
  </si>
  <si>
    <t>NARSA AMC LLC d/b/a</t>
  </si>
  <si>
    <t>LC11@MSN.COM</t>
  </si>
  <si>
    <t>Privitera</t>
  </si>
  <si>
    <t>SEGUIN, MITCHELL</t>
  </si>
  <si>
    <t>Salvadore Chrysler</t>
  </si>
  <si>
    <t>mitchster110@yahoo.com</t>
  </si>
  <si>
    <t>PRIMEAV</t>
  </si>
  <si>
    <t>VALADAO, KATHLEEN</t>
  </si>
  <si>
    <t>VALADAO, ERICA</t>
  </si>
  <si>
    <t>Mastria Mazda</t>
  </si>
  <si>
    <t>ERICABLUEEYES87@YAHOO.COM</t>
  </si>
  <si>
    <t>GONSALVES</t>
  </si>
  <si>
    <t>REBELLO</t>
  </si>
  <si>
    <t># 13</t>
  </si>
  <si>
    <t>151168583 E</t>
  </si>
  <si>
    <t>151168765 E</t>
  </si>
  <si>
    <t>151168781 E</t>
  </si>
  <si>
    <t>151168856 E</t>
  </si>
  <si>
    <t>151168939 E</t>
  </si>
  <si>
    <t>151168947 E</t>
  </si>
  <si>
    <t>151168989 E</t>
  </si>
  <si>
    <t>151169002 E</t>
  </si>
  <si>
    <t>151169028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</si>
  <si>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</si>
  <si>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</si>
  <si>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</si>
  <si>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</si>
  <si>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</si>
  <si>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</si>
  <si>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</si>
  <si>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Auto Mall-NARSA AMC LLC d/b/a</t>
  </si>
  <si>
    <t>Funding Worksheet - Signoff Version</t>
  </si>
  <si>
    <t>honda-Patriot Auto Group Inc d/b/a</t>
  </si>
  <si>
    <t>4453-2150</t>
  </si>
  <si>
    <t>5900-6390</t>
  </si>
  <si>
    <t>Delivered by:</t>
  </si>
  <si>
    <t>Received by:</t>
  </si>
  <si>
    <t>Date Signed:</t>
  </si>
  <si>
    <t>Original Notes Delivered</t>
  </si>
  <si>
    <t>Morris Motor Sales Inc d/b/a silko  vw brockton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</si>
</sst>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69" formatCode="[$-F800]dddd\,\ mmmm\ dd\,\ yyyy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7" fontId="5" fillId="0" borderId="0" xfId="0" applyNumberFormat="1" applyFont="1"/>
    <xf numFmtId="0" fontId="4" fillId="0" borderId="0" xfId="0" applyFont="1"/>
    <xf numFmtId="7" fontId="4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/>
    <xf numFmtId="169" fontId="0" fillId="0" borderId="0" xfId="0" applyNumberFormat="1"/>
    <xf numFmtId="0" fontId="0" fillId="0" borderId="1" xfId="0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7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A03F5E-FB76-40BD-B8C4-BD2157264D37}" name="Table_13" displayName="Table_13" ref="A3:H29" headerRowDxfId="20" dataDxfId="18" totalsRowDxfId="19">
  <sortState xmlns:xlrd2="http://schemas.microsoft.com/office/spreadsheetml/2017/richdata2" ref="A4:H29">
    <sortCondition ref="A4:A29"/>
  </sortState>
  <tableColumns count="8">
    <tableColumn id="1" xr3:uid="{015823D5-E4E4-493A-9220-A8CF88E48294}" name="Dealer Name" dataDxfId="17"/>
    <tableColumn id="7" xr3:uid="{97BA0DC6-322D-43F3-88AC-DEC705740D56}" name="Column1" dataDxfId="15"/>
    <tableColumn id="2" xr3:uid="{839BB373-CA1A-4A63-A97A-A7B9843DBF61}" name="Funded by" dataDxfId="16"/>
    <tableColumn id="3" xr3:uid="{042E0933-E124-4854-A914-54C6B044D336}" name="Dealer Flat" dataDxfId="25"/>
    <tableColumn id="4" xr3:uid="{6FB230B1-1F21-421A-A6BC-9B100D551323}" name="Dealer Split" dataDxfId="24"/>
    <tableColumn id="5" xr3:uid="{752D8829-124E-4478-9BC1-580FF3D8E14A}" name="Net to Dealer" dataDxfId="23"/>
    <tableColumn id="8" xr3:uid="{7AABD162-97AB-478D-983D-45B0BAD116D5}" name="Column2" dataDxfId="22"/>
    <tableColumn id="6" xr3:uid="{C2480338-B253-46FF-BE91-9598553FEEAD}" name="Contracted Amount Financed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4F9BE5-DBFF-4D14-8F34-E4FE8AB2E67E}" name="Table_15" displayName="Table_15" ref="A3:E8">
  <tableColumns count="5">
    <tableColumn id="1" xr3:uid="{E83A727F-73BA-4B17-825E-39F22D8A12A0}" name="Account Number"/>
    <tableColumn id="2" xr3:uid="{D2BD028A-DD80-4AED-B6E0-0DEFB0B78FFC}" name="Contract Type"/>
    <tableColumn id="3" xr3:uid="{5B9A4C3A-B222-4CE9-8C5B-583E3EAD2C2F}" name="Applicant Name"/>
    <tableColumn id="4" xr3:uid="{27FD2DA9-389E-4F0F-976D-5063E2AC1553}" name="Co-Applicant Name"/>
    <tableColumn id="5" xr3:uid="{423BC1E7-506E-4757-ADD5-4823D7C507F8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"/>
  <sheetViews>
    <sheetView tabSelected="1" workbookViewId="0">
      <pane ySplit="3" topLeftCell="A9" activePane="bottomLeft" state="frozen"/>
      <selection pane="bottomLeft" activeCell="D21" sqref="D21"/>
    </sheetView>
  </sheetViews>
  <sheetFormatPr defaultRowHeight="15.75" x14ac:dyDescent="0.25"/>
  <cols>
    <col min="1" max="1" width="16.42578125" style="6" bestFit="1" customWidth="1"/>
    <col min="2" max="2" width="12.140625" style="6" bestFit="1" customWidth="1"/>
    <col min="3" max="3" width="14" style="6" bestFit="1" customWidth="1"/>
    <col min="4" max="4" width="25.5703125" style="6" bestFit="1" customWidth="1"/>
    <col min="5" max="5" width="19.5703125" style="6" bestFit="1" customWidth="1"/>
    <col min="6" max="6" width="27.28515625" style="6" bestFit="1" customWidth="1"/>
    <col min="7" max="7" width="17.7109375" style="6" bestFit="1" customWidth="1"/>
    <col min="8" max="8" width="17.140625" style="6" bestFit="1" customWidth="1"/>
    <col min="9" max="9" width="29.7109375" style="6" bestFit="1" customWidth="1"/>
    <col min="10" max="10" width="31.5703125" style="6" bestFit="1" customWidth="1"/>
    <col min="11" max="11" width="15.5703125" style="6" bestFit="1" customWidth="1"/>
    <col min="12" max="12" width="12.85546875" style="6" bestFit="1" customWidth="1"/>
    <col min="13" max="16384" width="9.140625" style="6"/>
  </cols>
  <sheetData>
    <row r="1" spans="1:12" s="6" customFormat="1" x14ac:dyDescent="0.25">
      <c r="A1" s="18">
        <v>45762</v>
      </c>
      <c r="K1" s="19">
        <v>45762</v>
      </c>
      <c r="L1" s="20"/>
    </row>
    <row r="2" spans="1:12" s="6" customFormat="1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</row>
    <row r="3" spans="1:12" s="6" customForma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s="6" customFormat="1" ht="33" customHeight="1" x14ac:dyDescent="0.25">
      <c r="A4" s="6" t="s">
        <v>79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11">
        <v>23084.5</v>
      </c>
      <c r="K4" s="6" t="s">
        <v>20</v>
      </c>
      <c r="L4" s="6" t="s">
        <v>21</v>
      </c>
    </row>
    <row r="5" spans="1:12" s="6" customFormat="1" ht="33" customHeight="1" x14ac:dyDescent="0.25">
      <c r="A5" s="6" t="s">
        <v>80</v>
      </c>
      <c r="B5" s="6" t="s">
        <v>22</v>
      </c>
      <c r="C5" s="6" t="s">
        <v>15</v>
      </c>
      <c r="D5" s="6" t="s">
        <v>23</v>
      </c>
      <c r="F5" s="6" t="s">
        <v>24</v>
      </c>
      <c r="G5" s="6" t="s">
        <v>25</v>
      </c>
      <c r="H5" s="11">
        <v>20111.439999999999</v>
      </c>
      <c r="I5" s="6" t="s">
        <v>26</v>
      </c>
      <c r="K5" s="6" t="s">
        <v>27</v>
      </c>
    </row>
    <row r="6" spans="1:12" s="6" customFormat="1" ht="33" customHeight="1" x14ac:dyDescent="0.25">
      <c r="A6" s="6" t="s">
        <v>81</v>
      </c>
      <c r="B6" s="6" t="s">
        <v>14</v>
      </c>
      <c r="C6" s="6" t="s">
        <v>15</v>
      </c>
      <c r="D6" s="6" t="s">
        <v>28</v>
      </c>
      <c r="F6" s="6" t="s">
        <v>29</v>
      </c>
      <c r="G6" s="6" t="s">
        <v>25</v>
      </c>
      <c r="H6" s="11">
        <v>28249.63</v>
      </c>
      <c r="I6" s="6" t="s">
        <v>30</v>
      </c>
      <c r="K6" s="6" t="s">
        <v>31</v>
      </c>
    </row>
    <row r="7" spans="1:12" s="6" customFormat="1" ht="33" customHeight="1" x14ac:dyDescent="0.25">
      <c r="A7" s="6" t="s">
        <v>82</v>
      </c>
      <c r="B7" s="6" t="s">
        <v>14</v>
      </c>
      <c r="C7" s="6" t="s">
        <v>15</v>
      </c>
      <c r="D7" s="6" t="s">
        <v>32</v>
      </c>
      <c r="F7" s="6" t="s">
        <v>33</v>
      </c>
      <c r="G7" s="6" t="s">
        <v>25</v>
      </c>
      <c r="H7" s="11">
        <v>23609.88</v>
      </c>
      <c r="I7" s="6" t="s">
        <v>34</v>
      </c>
      <c r="K7" s="6" t="s">
        <v>35</v>
      </c>
    </row>
    <row r="8" spans="1:12" s="6" customFormat="1" ht="33" customHeight="1" x14ac:dyDescent="0.25">
      <c r="A8" s="6" t="s">
        <v>83</v>
      </c>
      <c r="B8" s="6" t="s">
        <v>22</v>
      </c>
      <c r="C8" s="6" t="s">
        <v>15</v>
      </c>
      <c r="D8" s="6" t="s">
        <v>36</v>
      </c>
      <c r="F8" s="6" t="s">
        <v>37</v>
      </c>
      <c r="G8" s="6" t="s">
        <v>38</v>
      </c>
      <c r="H8" s="11">
        <v>56065.34</v>
      </c>
      <c r="K8" s="6" t="s">
        <v>39</v>
      </c>
    </row>
    <row r="9" spans="1:12" s="6" customFormat="1" ht="33" customHeight="1" x14ac:dyDescent="0.25">
      <c r="A9" s="6" t="s">
        <v>84</v>
      </c>
      <c r="B9" s="6" t="s">
        <v>14</v>
      </c>
      <c r="C9" s="6" t="s">
        <v>15</v>
      </c>
      <c r="D9" s="6" t="s">
        <v>40</v>
      </c>
      <c r="F9" s="6" t="s">
        <v>41</v>
      </c>
      <c r="G9" s="6" t="s">
        <v>38</v>
      </c>
      <c r="H9" s="11">
        <v>20953.310000000001</v>
      </c>
      <c r="I9" s="6" t="s">
        <v>42</v>
      </c>
      <c r="K9" s="6" t="s">
        <v>43</v>
      </c>
    </row>
    <row r="10" spans="1:12" s="6" customFormat="1" ht="33" customHeight="1" x14ac:dyDescent="0.25">
      <c r="A10" s="6" t="s">
        <v>44</v>
      </c>
      <c r="B10" s="6" t="s">
        <v>22</v>
      </c>
      <c r="C10" s="6" t="s">
        <v>45</v>
      </c>
      <c r="D10" s="6" t="s">
        <v>46</v>
      </c>
      <c r="F10" s="6" t="s">
        <v>47</v>
      </c>
      <c r="G10" s="6" t="s">
        <v>38</v>
      </c>
      <c r="H10" s="11">
        <v>29111.91</v>
      </c>
      <c r="I10" s="6" t="s">
        <v>48</v>
      </c>
      <c r="K10" s="6" t="s">
        <v>49</v>
      </c>
    </row>
    <row r="11" spans="1:12" s="6" customFormat="1" ht="33" customHeight="1" x14ac:dyDescent="0.25">
      <c r="A11" s="6" t="s">
        <v>50</v>
      </c>
      <c r="B11" s="6" t="s">
        <v>14</v>
      </c>
      <c r="C11" s="6" t="s">
        <v>45</v>
      </c>
      <c r="D11" s="6" t="s">
        <v>51</v>
      </c>
      <c r="F11" s="6" t="s">
        <v>52</v>
      </c>
      <c r="G11" s="6" t="s">
        <v>38</v>
      </c>
      <c r="H11" s="11">
        <v>53076</v>
      </c>
      <c r="I11" s="6" t="s">
        <v>53</v>
      </c>
      <c r="K11" s="6" t="s">
        <v>54</v>
      </c>
    </row>
    <row r="12" spans="1:12" s="6" customFormat="1" ht="33" customHeight="1" x14ac:dyDescent="0.25">
      <c r="A12" s="6" t="s">
        <v>55</v>
      </c>
      <c r="B12" s="6" t="s">
        <v>22</v>
      </c>
      <c r="C12" s="6" t="s">
        <v>45</v>
      </c>
      <c r="D12" s="6" t="s">
        <v>56</v>
      </c>
      <c r="F12" s="6" t="s">
        <v>47</v>
      </c>
      <c r="G12" s="6" t="s">
        <v>38</v>
      </c>
      <c r="H12" s="11">
        <v>39256.61</v>
      </c>
      <c r="I12" s="6" t="s">
        <v>57</v>
      </c>
      <c r="K12" s="6" t="s">
        <v>58</v>
      </c>
    </row>
    <row r="13" spans="1:12" s="6" customFormat="1" ht="33" customHeight="1" x14ac:dyDescent="0.25">
      <c r="A13" s="6" t="s">
        <v>85</v>
      </c>
      <c r="B13" s="6" t="s">
        <v>22</v>
      </c>
      <c r="C13" s="6" t="s">
        <v>15</v>
      </c>
      <c r="D13" s="6" t="s">
        <v>59</v>
      </c>
      <c r="F13" s="6" t="s">
        <v>60</v>
      </c>
      <c r="G13" s="6" t="s">
        <v>25</v>
      </c>
      <c r="H13" s="11">
        <v>38051.07</v>
      </c>
      <c r="I13" s="6" t="s">
        <v>61</v>
      </c>
      <c r="K13" s="6" t="s">
        <v>62</v>
      </c>
    </row>
    <row r="14" spans="1:12" s="6" customFormat="1" ht="33" customHeight="1" x14ac:dyDescent="0.25">
      <c r="A14" s="6" t="s">
        <v>63</v>
      </c>
      <c r="B14" s="6" t="s">
        <v>14</v>
      </c>
      <c r="C14" s="6" t="s">
        <v>45</v>
      </c>
      <c r="D14" s="6" t="s">
        <v>64</v>
      </c>
      <c r="F14" s="6" t="s">
        <v>65</v>
      </c>
      <c r="G14" s="6" t="s">
        <v>38</v>
      </c>
      <c r="H14" s="11">
        <v>40565.94</v>
      </c>
      <c r="I14" s="6" t="s">
        <v>66</v>
      </c>
      <c r="K14" s="6" t="s">
        <v>67</v>
      </c>
    </row>
    <row r="15" spans="1:12" s="6" customFormat="1" ht="33" customHeight="1" x14ac:dyDescent="0.25">
      <c r="A15" s="6" t="s">
        <v>86</v>
      </c>
      <c r="B15" s="6" t="s">
        <v>22</v>
      </c>
      <c r="C15" s="6" t="s">
        <v>15</v>
      </c>
      <c r="D15" s="6" t="s">
        <v>68</v>
      </c>
      <c r="F15" s="6" t="s">
        <v>69</v>
      </c>
      <c r="G15" s="6" t="s">
        <v>25</v>
      </c>
      <c r="H15" s="11">
        <v>32896.44</v>
      </c>
      <c r="I15" s="6" t="s">
        <v>70</v>
      </c>
      <c r="K15" s="6" t="s">
        <v>71</v>
      </c>
    </row>
    <row r="16" spans="1:12" s="6" customFormat="1" ht="33" customHeight="1" x14ac:dyDescent="0.25">
      <c r="A16" s="6" t="s">
        <v>87</v>
      </c>
      <c r="B16" s="6" t="s">
        <v>22</v>
      </c>
      <c r="C16" s="6" t="s">
        <v>15</v>
      </c>
      <c r="D16" s="6" t="s">
        <v>72</v>
      </c>
      <c r="E16" s="6" t="s">
        <v>73</v>
      </c>
      <c r="F16" s="6" t="s">
        <v>74</v>
      </c>
      <c r="G16" s="6" t="s">
        <v>25</v>
      </c>
      <c r="H16" s="11">
        <v>28586.78</v>
      </c>
      <c r="J16" s="6" t="s">
        <v>75</v>
      </c>
      <c r="K16" s="6" t="s">
        <v>76</v>
      </c>
      <c r="L16" s="6" t="s">
        <v>77</v>
      </c>
    </row>
    <row r="17" spans="1:12" s="6" customFormat="1" x14ac:dyDescent="0.25">
      <c r="A17" s="13"/>
      <c r="B17" s="13"/>
      <c r="C17" s="13"/>
      <c r="D17" s="13" t="s">
        <v>78</v>
      </c>
      <c r="E17" s="13"/>
      <c r="F17" s="13"/>
      <c r="G17" s="13"/>
      <c r="H17" s="14">
        <f>SUM(H4:H16)</f>
        <v>433618.85</v>
      </c>
      <c r="I17" s="13"/>
      <c r="J17" s="13"/>
      <c r="K17" s="13"/>
      <c r="L17" s="13"/>
    </row>
  </sheetData>
  <mergeCells count="3">
    <mergeCell ref="A2:F2"/>
    <mergeCell ref="G2:L2"/>
    <mergeCell ref="K1:L1"/>
  </mergeCells>
  <pageMargins left="0.7" right="0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138B-297A-4ED9-8DE6-2D07B4EA9436}">
  <sheetPr>
    <pageSetUpPr fitToPage="1"/>
  </sheetPr>
  <dimension ref="A1:H29"/>
  <sheetViews>
    <sheetView topLeftCell="A9" workbookViewId="0">
      <selection activeCell="A21" sqref="A21"/>
    </sheetView>
  </sheetViews>
  <sheetFormatPr defaultRowHeight="15.75" x14ac:dyDescent="0.25"/>
  <cols>
    <col min="1" max="1" width="26" style="6" customWidth="1"/>
    <col min="2" max="2" width="14.5703125" style="6" customWidth="1"/>
    <col min="3" max="3" width="14.85546875" style="6" customWidth="1"/>
    <col min="4" max="4" width="13.7109375" style="6" customWidth="1"/>
    <col min="5" max="5" width="15.140625" style="6" customWidth="1"/>
    <col min="6" max="7" width="14.28515625" style="6" customWidth="1"/>
    <col min="8" max="8" width="13.85546875" style="6" customWidth="1"/>
    <col min="9" max="16384" width="9.140625" style="6"/>
  </cols>
  <sheetData>
    <row r="1" spans="1:8" x14ac:dyDescent="0.25">
      <c r="E1" s="7"/>
      <c r="H1" s="7">
        <v>45762.999988425923</v>
      </c>
    </row>
    <row r="2" spans="1:8" x14ac:dyDescent="0.25">
      <c r="A2" s="8" t="s">
        <v>0</v>
      </c>
      <c r="B2" s="8"/>
      <c r="C2" s="9"/>
      <c r="D2" s="9"/>
      <c r="E2" s="10" t="s">
        <v>88</v>
      </c>
      <c r="F2" s="9"/>
      <c r="G2" s="9"/>
      <c r="H2" s="9"/>
    </row>
    <row r="3" spans="1:8" x14ac:dyDescent="0.25">
      <c r="A3" s="6" t="s">
        <v>7</v>
      </c>
      <c r="B3" s="6" t="s">
        <v>93</v>
      </c>
      <c r="C3" s="6" t="s">
        <v>8</v>
      </c>
      <c r="D3" s="6" t="s">
        <v>89</v>
      </c>
      <c r="E3" s="6" t="s">
        <v>90</v>
      </c>
      <c r="F3" s="6" t="s">
        <v>91</v>
      </c>
      <c r="G3" s="6" t="s">
        <v>94</v>
      </c>
      <c r="H3" s="6" t="s">
        <v>92</v>
      </c>
    </row>
    <row r="4" spans="1:8" ht="24.95" customHeight="1" x14ac:dyDescent="0.25">
      <c r="A4" s="6" t="s">
        <v>24</v>
      </c>
      <c r="B4" s="15"/>
      <c r="C4" s="6" t="s">
        <v>25</v>
      </c>
      <c r="D4" s="11">
        <v>650</v>
      </c>
      <c r="E4" s="11">
        <v>0</v>
      </c>
      <c r="F4" s="12">
        <v>20036.439999999999</v>
      </c>
      <c r="G4" s="11"/>
      <c r="H4" s="11">
        <v>20111.439999999999</v>
      </c>
    </row>
    <row r="5" spans="1:8" ht="24.95" customHeight="1" x14ac:dyDescent="0.25">
      <c r="B5" s="15"/>
      <c r="D5" s="11"/>
      <c r="E5" s="11"/>
      <c r="F5" s="12"/>
      <c r="G5" s="11"/>
      <c r="H5" s="11"/>
    </row>
    <row r="6" spans="1:8" ht="24.95" customHeight="1" x14ac:dyDescent="0.25">
      <c r="A6" s="6" t="s">
        <v>95</v>
      </c>
      <c r="B6" s="15"/>
      <c r="C6" s="6" t="s">
        <v>38</v>
      </c>
      <c r="D6" s="11">
        <v>1050</v>
      </c>
      <c r="E6" s="11">
        <v>0</v>
      </c>
      <c r="F6" s="12">
        <v>40490.94</v>
      </c>
      <c r="G6" s="11"/>
      <c r="H6" s="11">
        <v>40565.94</v>
      </c>
    </row>
    <row r="7" spans="1:8" ht="24.95" customHeight="1" x14ac:dyDescent="0.25">
      <c r="B7" s="15"/>
      <c r="D7" s="11"/>
      <c r="E7" s="11"/>
      <c r="F7" s="12"/>
      <c r="G7" s="11"/>
      <c r="H7" s="11"/>
    </row>
    <row r="8" spans="1:8" ht="24.95" customHeight="1" x14ac:dyDescent="0.25">
      <c r="A8" s="6" t="s">
        <v>33</v>
      </c>
      <c r="B8" s="15"/>
      <c r="C8" s="6" t="s">
        <v>25</v>
      </c>
      <c r="D8" s="11">
        <v>650</v>
      </c>
      <c r="E8" s="11">
        <v>0</v>
      </c>
      <c r="F8" s="12">
        <v>23534.880000000001</v>
      </c>
      <c r="G8" s="11"/>
      <c r="H8" s="11">
        <v>23609.88</v>
      </c>
    </row>
    <row r="9" spans="1:8" ht="24.95" customHeight="1" x14ac:dyDescent="0.25">
      <c r="B9" s="15"/>
      <c r="D9" s="11"/>
      <c r="E9" s="11"/>
      <c r="F9" s="12"/>
      <c r="G9" s="11"/>
      <c r="H9" s="11"/>
    </row>
    <row r="10" spans="1:8" ht="24.95" customHeight="1" x14ac:dyDescent="0.25">
      <c r="A10" s="6" t="s">
        <v>18</v>
      </c>
      <c r="B10" s="15"/>
      <c r="C10" s="6" t="s">
        <v>19</v>
      </c>
      <c r="D10" s="11">
        <v>650</v>
      </c>
      <c r="E10" s="11">
        <v>0</v>
      </c>
      <c r="F10" s="12">
        <v>23009.5</v>
      </c>
      <c r="G10" s="11"/>
      <c r="H10" s="11">
        <v>23084.5</v>
      </c>
    </row>
    <row r="11" spans="1:8" ht="24.95" customHeight="1" x14ac:dyDescent="0.25">
      <c r="B11" s="15"/>
      <c r="D11" s="11"/>
      <c r="E11" s="11"/>
      <c r="F11" s="12"/>
      <c r="G11" s="11"/>
      <c r="H11" s="11"/>
    </row>
    <row r="12" spans="1:8" ht="24.95" customHeight="1" x14ac:dyDescent="0.25">
      <c r="A12" s="6" t="s">
        <v>37</v>
      </c>
      <c r="B12" s="15"/>
      <c r="C12" s="6" t="s">
        <v>38</v>
      </c>
      <c r="D12" s="11">
        <v>1350</v>
      </c>
      <c r="E12" s="11">
        <v>0</v>
      </c>
      <c r="F12" s="12">
        <v>55990.34</v>
      </c>
      <c r="G12" s="11"/>
      <c r="H12" s="11">
        <v>56065.34</v>
      </c>
    </row>
    <row r="13" spans="1:8" ht="24.95" customHeight="1" x14ac:dyDescent="0.25">
      <c r="B13" s="15"/>
      <c r="D13" s="11"/>
      <c r="E13" s="11"/>
      <c r="F13" s="12"/>
      <c r="G13" s="11"/>
      <c r="H13" s="11"/>
    </row>
    <row r="14" spans="1:8" ht="24.95" customHeight="1" x14ac:dyDescent="0.25">
      <c r="A14" s="6" t="s">
        <v>97</v>
      </c>
      <c r="B14" s="15"/>
      <c r="C14" s="6" t="s">
        <v>25</v>
      </c>
      <c r="D14" s="11">
        <v>950</v>
      </c>
      <c r="E14" s="11">
        <v>0</v>
      </c>
      <c r="F14" s="12">
        <v>37976.07</v>
      </c>
      <c r="G14" s="11"/>
      <c r="H14" s="11">
        <v>38051.07</v>
      </c>
    </row>
    <row r="15" spans="1:8" ht="24.95" customHeight="1" x14ac:dyDescent="0.25">
      <c r="B15" s="15"/>
      <c r="D15" s="11"/>
      <c r="E15" s="11"/>
      <c r="F15" s="11"/>
      <c r="G15" s="11"/>
      <c r="H15" s="11"/>
    </row>
    <row r="16" spans="1:8" ht="24.95" customHeight="1" x14ac:dyDescent="0.25">
      <c r="A16" s="6" t="s">
        <v>47</v>
      </c>
      <c r="B16" s="16" t="s">
        <v>98</v>
      </c>
      <c r="C16" s="6" t="s">
        <v>38</v>
      </c>
      <c r="D16" s="11">
        <v>750</v>
      </c>
      <c r="E16" s="11">
        <v>0</v>
      </c>
      <c r="F16" s="11">
        <v>29036.91</v>
      </c>
      <c r="G16" s="11"/>
      <c r="H16" s="11">
        <v>29111.91</v>
      </c>
    </row>
    <row r="17" spans="1:8" ht="24.95" customHeight="1" x14ac:dyDescent="0.25">
      <c r="A17" s="6" t="s">
        <v>47</v>
      </c>
      <c r="B17" s="16" t="s">
        <v>98</v>
      </c>
      <c r="C17" s="6" t="s">
        <v>38</v>
      </c>
      <c r="D17" s="11">
        <v>950</v>
      </c>
      <c r="E17" s="11">
        <v>0</v>
      </c>
      <c r="F17" s="11">
        <v>39181.61</v>
      </c>
      <c r="G17" s="12">
        <f>SUM(F16:F17)</f>
        <v>68218.52</v>
      </c>
      <c r="H17" s="11">
        <v>39256.61</v>
      </c>
    </row>
    <row r="18" spans="1:8" ht="24.95" customHeight="1" x14ac:dyDescent="0.25">
      <c r="B18" s="16"/>
      <c r="D18" s="11"/>
      <c r="E18" s="11"/>
      <c r="F18" s="11"/>
      <c r="G18" s="11"/>
      <c r="H18" s="11"/>
    </row>
    <row r="19" spans="1:8" ht="24.95" customHeight="1" x14ac:dyDescent="0.25">
      <c r="A19" s="6" t="s">
        <v>74</v>
      </c>
      <c r="B19" s="16" t="s">
        <v>99</v>
      </c>
      <c r="C19" s="6" t="s">
        <v>25</v>
      </c>
      <c r="D19" s="11">
        <v>750</v>
      </c>
      <c r="E19" s="11">
        <v>0</v>
      </c>
      <c r="F19" s="12">
        <v>28511.78</v>
      </c>
      <c r="G19" s="11"/>
      <c r="H19" s="11">
        <v>28586.78</v>
      </c>
    </row>
    <row r="20" spans="1:8" ht="24.95" customHeight="1" x14ac:dyDescent="0.25">
      <c r="B20" s="15"/>
      <c r="D20" s="11"/>
      <c r="E20" s="11"/>
      <c r="F20" s="12"/>
      <c r="G20" s="11"/>
      <c r="H20" s="11"/>
    </row>
    <row r="21" spans="1:8" ht="24.95" customHeight="1" x14ac:dyDescent="0.25">
      <c r="A21" s="6" t="s">
        <v>104</v>
      </c>
      <c r="B21" s="15"/>
      <c r="C21" s="6" t="s">
        <v>38</v>
      </c>
      <c r="D21" s="11">
        <v>650</v>
      </c>
      <c r="E21" s="11">
        <v>0</v>
      </c>
      <c r="F21" s="12">
        <v>20878.310000000001</v>
      </c>
      <c r="G21" s="11"/>
      <c r="H21" s="11">
        <v>20953.310000000001</v>
      </c>
    </row>
    <row r="22" spans="1:8" ht="24.95" customHeight="1" x14ac:dyDescent="0.25">
      <c r="B22" s="15"/>
      <c r="D22" s="11"/>
      <c r="E22" s="11"/>
      <c r="F22" s="11"/>
      <c r="G22" s="11"/>
      <c r="H22" s="11"/>
    </row>
    <row r="23" spans="1:8" ht="24.95" customHeight="1" x14ac:dyDescent="0.25">
      <c r="A23" s="6" t="s">
        <v>52</v>
      </c>
      <c r="B23" s="15"/>
      <c r="C23" s="6" t="s">
        <v>38</v>
      </c>
      <c r="D23" s="11">
        <v>1350</v>
      </c>
      <c r="E23" s="11">
        <v>0</v>
      </c>
      <c r="F23" s="12">
        <v>53001</v>
      </c>
      <c r="G23" s="11"/>
      <c r="H23" s="11">
        <v>53076</v>
      </c>
    </row>
    <row r="24" spans="1:8" ht="24.95" customHeight="1" x14ac:dyDescent="0.25">
      <c r="B24" s="15"/>
      <c r="D24" s="11"/>
      <c r="E24" s="11"/>
      <c r="F24" s="12"/>
      <c r="G24" s="11"/>
      <c r="H24" s="11"/>
    </row>
    <row r="25" spans="1:8" ht="24.95" customHeight="1" x14ac:dyDescent="0.25">
      <c r="A25" s="6" t="s">
        <v>29</v>
      </c>
      <c r="B25" s="15"/>
      <c r="C25" s="6" t="s">
        <v>25</v>
      </c>
      <c r="D25" s="11">
        <v>750</v>
      </c>
      <c r="E25" s="11">
        <v>0</v>
      </c>
      <c r="F25" s="12">
        <v>28174.63</v>
      </c>
      <c r="G25" s="11"/>
      <c r="H25" s="11">
        <v>28249.63</v>
      </c>
    </row>
    <row r="26" spans="1:8" ht="24.95" customHeight="1" x14ac:dyDescent="0.25">
      <c r="B26" s="15"/>
      <c r="D26" s="11"/>
      <c r="E26" s="11"/>
      <c r="F26" s="12"/>
      <c r="G26" s="11"/>
      <c r="H26" s="11"/>
    </row>
    <row r="27" spans="1:8" ht="24.95" customHeight="1" x14ac:dyDescent="0.25">
      <c r="A27" s="6" t="s">
        <v>69</v>
      </c>
      <c r="B27" s="15"/>
      <c r="C27" s="6" t="s">
        <v>25</v>
      </c>
      <c r="D27" s="11">
        <v>850</v>
      </c>
      <c r="E27" s="11">
        <v>0</v>
      </c>
      <c r="F27" s="12">
        <v>32821.440000000002</v>
      </c>
      <c r="G27" s="11"/>
      <c r="H27" s="11">
        <v>32896.44</v>
      </c>
    </row>
    <row r="28" spans="1:8" ht="24.95" customHeight="1" x14ac:dyDescent="0.25">
      <c r="B28" s="15"/>
      <c r="D28" s="11"/>
      <c r="E28" s="11"/>
      <c r="F28" s="12"/>
      <c r="G28" s="11"/>
      <c r="H28" s="11"/>
    </row>
    <row r="29" spans="1:8" x14ac:dyDescent="0.25">
      <c r="A29" s="13"/>
      <c r="B29" s="17"/>
      <c r="C29" s="13"/>
      <c r="D29" s="14">
        <f>SUM(D4:D21)</f>
        <v>8400</v>
      </c>
      <c r="E29" s="14">
        <f>SUM(E4:E21)</f>
        <v>0</v>
      </c>
      <c r="F29" s="14">
        <f>SUM(F4:F21)</f>
        <v>318646.77999999997</v>
      </c>
      <c r="G29" s="14"/>
      <c r="H29" s="14">
        <f>SUM(H4:H21)</f>
        <v>319396.77999999997</v>
      </c>
    </row>
  </sheetData>
  <mergeCells count="2">
    <mergeCell ref="A2:D2"/>
    <mergeCell ref="E2:H2"/>
  </mergeCells>
  <pageMargins left="0.7" right="0.7" top="0.75" bottom="0.5" header="0.3" footer="0.3"/>
  <pageSetup scale="84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0010-E24A-4B4C-8864-073BCAE4408B}">
  <sheetPr>
    <pageSetUpPr fitToPage="1"/>
  </sheetPr>
  <dimension ref="A1:E23"/>
  <sheetViews>
    <sheetView workbookViewId="0">
      <selection activeCell="H20" sqref="H18:H20"/>
    </sheetView>
  </sheetViews>
  <sheetFormatPr defaultRowHeight="15" x14ac:dyDescent="0.25"/>
  <cols>
    <col min="1" max="1" width="17.5703125" customWidth="1"/>
    <col min="2" max="2" width="12" customWidth="1"/>
    <col min="3" max="3" width="14.5703125" customWidth="1"/>
    <col min="4" max="4" width="14.28515625" customWidth="1"/>
    <col min="5" max="5" width="30.85546875" customWidth="1"/>
  </cols>
  <sheetData>
    <row r="1" spans="1:5" ht="15" customHeight="1" x14ac:dyDescent="0.25">
      <c r="A1" t="s">
        <v>103</v>
      </c>
      <c r="D1" s="2"/>
      <c r="E1" s="21">
        <v>45762</v>
      </c>
    </row>
    <row r="2" spans="1:5" x14ac:dyDescent="0.25">
      <c r="A2" s="3" t="s">
        <v>0</v>
      </c>
      <c r="B2" s="4"/>
      <c r="C2" s="4"/>
      <c r="D2" s="5" t="s">
        <v>96</v>
      </c>
      <c r="E2" s="4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44</v>
      </c>
      <c r="B4" t="s">
        <v>45</v>
      </c>
      <c r="C4" t="s">
        <v>46</v>
      </c>
      <c r="E4" t="s">
        <v>47</v>
      </c>
    </row>
    <row r="5" spans="1:5" ht="24.95" customHeight="1" x14ac:dyDescent="0.25">
      <c r="A5" t="s">
        <v>50</v>
      </c>
      <c r="B5" t="s">
        <v>45</v>
      </c>
      <c r="C5" t="s">
        <v>51</v>
      </c>
      <c r="E5" t="s">
        <v>52</v>
      </c>
    </row>
    <row r="6" spans="1:5" ht="24.95" customHeight="1" x14ac:dyDescent="0.25">
      <c r="A6" t="s">
        <v>55</v>
      </c>
      <c r="B6" t="s">
        <v>45</v>
      </c>
      <c r="C6" t="s">
        <v>56</v>
      </c>
      <c r="E6" t="s">
        <v>47</v>
      </c>
    </row>
    <row r="7" spans="1:5" ht="24.95" customHeight="1" x14ac:dyDescent="0.25">
      <c r="A7" t="s">
        <v>63</v>
      </c>
      <c r="B7" t="s">
        <v>45</v>
      </c>
      <c r="C7" t="s">
        <v>64</v>
      </c>
      <c r="E7" t="s">
        <v>65</v>
      </c>
    </row>
    <row r="8" spans="1:5" x14ac:dyDescent="0.25">
      <c r="A8" s="1"/>
      <c r="B8" s="1"/>
      <c r="C8" s="1" t="s">
        <v>78</v>
      </c>
      <c r="D8" s="1"/>
      <c r="E8" s="1"/>
    </row>
    <row r="13" spans="1:5" x14ac:dyDescent="0.25">
      <c r="A13" t="s">
        <v>100</v>
      </c>
      <c r="B13" s="22"/>
      <c r="C13" s="22"/>
      <c r="D13" s="22"/>
    </row>
    <row r="18" spans="1:4" x14ac:dyDescent="0.25">
      <c r="A18" t="s">
        <v>101</v>
      </c>
      <c r="B18" s="22"/>
      <c r="C18" s="22"/>
      <c r="D18" s="22"/>
    </row>
    <row r="23" spans="1:4" x14ac:dyDescent="0.25">
      <c r="A23" t="s">
        <v>102</v>
      </c>
      <c r="B23" s="22"/>
      <c r="C23" s="22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2025-04-15T19:13:17Z</cp:lastPrinted>
  <dcterms:created xsi:type="dcterms:W3CDTF">2025-04-15T18:30:42Z</dcterms:created>
  <dcterms:modified xsi:type="dcterms:W3CDTF">2025-04-15T19:13:18Z</dcterms:modified>
</cp:coreProperties>
</file>