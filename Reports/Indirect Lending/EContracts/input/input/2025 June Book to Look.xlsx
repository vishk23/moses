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Marlene\"/>
    </mc:Choice>
  </mc:AlternateContent>
  <xr:revisionPtr revIDLastSave="0" documentId="8_{3FDB44A4-4716-4026-AD18-EBF41625A5E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Book To Look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6" i="1" l="1"/>
  <c r="D76" i="1"/>
  <c r="C76" i="1"/>
  <c r="B76" i="1"/>
</calcChain>
</file>

<file path=xl/sharedStrings.xml><?xml version="1.0" encoding="utf-8"?>
<sst xmlns="http://schemas.openxmlformats.org/spreadsheetml/2006/main" count="82" uniqueCount="82">
  <si>
    <t>Bristol County Savings Bank</t>
  </si>
  <si>
    <t>Book To Look Report</t>
  </si>
  <si>
    <t>To</t>
  </si>
  <si>
    <t>From</t>
  </si>
  <si>
    <t>Dealer</t>
  </si>
  <si>
    <t>Application Received</t>
  </si>
  <si>
    <t>Application Approved</t>
  </si>
  <si>
    <t>Application Booked</t>
  </si>
  <si>
    <t>Book To Look %</t>
  </si>
  <si>
    <t>Metro Honda</t>
  </si>
  <si>
    <t>Bald Hill Dodge Chrysler</t>
  </si>
  <si>
    <t>Tasca Ford</t>
  </si>
  <si>
    <t>Planet Subaru</t>
  </si>
  <si>
    <t>Patriot Auto Group Inc d/b/a</t>
  </si>
  <si>
    <t>Alden Buick Pontiac GMC</t>
  </si>
  <si>
    <t>Paul Masse Buick GMC South, Inc</t>
  </si>
  <si>
    <t>Mathieu Ford Sales, Inc</t>
  </si>
  <si>
    <t>NARSA AMC LLC d/b/a</t>
  </si>
  <si>
    <t>First Hyundai</t>
  </si>
  <si>
    <t>Grieco Toyota</t>
  </si>
  <si>
    <t>Coastal Volkswagon</t>
  </si>
  <si>
    <t>Tasca Automotive Group Rt 6 One Inc</t>
  </si>
  <si>
    <t>Herb Chambers Lexus of Hingham</t>
  </si>
  <si>
    <t>Planet Automotive Sales LLC</t>
  </si>
  <si>
    <t>Herb Chambers Lincoln</t>
  </si>
  <si>
    <t>Mastria Mazda</t>
  </si>
  <si>
    <t>New England Automax Inc (marlborough)</t>
  </si>
  <si>
    <t>Adao Automotive Group Inc d/b/a</t>
  </si>
  <si>
    <t>Grieco Hyundai</t>
  </si>
  <si>
    <t>Herb Chambers Boston Turnpike Inc d/b/a</t>
  </si>
  <si>
    <t>Lucchettis Service Center Inc</t>
  </si>
  <si>
    <t>T F Murphy Enterprises Inc</t>
  </si>
  <si>
    <t>Sandy Motors, Inc</t>
  </si>
  <si>
    <t>Viti Mercedes</t>
  </si>
  <si>
    <t>Saccucci Honda</t>
  </si>
  <si>
    <t>RAH FALL RIVER VW, LLC</t>
  </si>
  <si>
    <t>AutoMax Preowned(Framingham)</t>
  </si>
  <si>
    <t>Battles Nissan, LLC</t>
  </si>
  <si>
    <t>Alden Mazda</t>
  </si>
  <si>
    <t>Bald Hill Kia</t>
  </si>
  <si>
    <t>Morris Motor Sales Inc d/b/a</t>
  </si>
  <si>
    <t>Bailey's Motor Sales Inc</t>
  </si>
  <si>
    <t>Salvadore Chevrolet</t>
  </si>
  <si>
    <t>Priority Automotive LLC</t>
  </si>
  <si>
    <t>Tasca Chevrolet</t>
  </si>
  <si>
    <t>Richard Lundgren, Inc. d/b/a</t>
  </si>
  <si>
    <t>Salvadore Chrysler</t>
  </si>
  <si>
    <t>Wareham Ford</t>
  </si>
  <si>
    <t>Colonial South Chevrolet</t>
  </si>
  <si>
    <t>Anchor Nissan</t>
  </si>
  <si>
    <t>Colonial Ford Inc</t>
  </si>
  <si>
    <t>Frank Battles Inc</t>
  </si>
  <si>
    <t>Herb Chambers Cadillac Inc</t>
  </si>
  <si>
    <t>Grieco Enterprises, LLC d/b/a</t>
  </si>
  <si>
    <t>Infiniti of Norwood</t>
  </si>
  <si>
    <t>Mastria Buick Pontiac</t>
  </si>
  <si>
    <t>Mastria Kia</t>
  </si>
  <si>
    <t>Colonial South Chrysler Dodge</t>
  </si>
  <si>
    <t>Bourne Enterprises Inc</t>
  </si>
  <si>
    <t>Silko Motor Sales Inc</t>
  </si>
  <si>
    <t>Atlantic Subaru</t>
  </si>
  <si>
    <t>BID Cars Boston</t>
  </si>
  <si>
    <t>Hiller Co Inc</t>
  </si>
  <si>
    <t>Volvo of Tiverton</t>
  </si>
  <si>
    <t>S&amp;E Auto Services and Sales Inc</t>
  </si>
  <si>
    <t>Paul Masse Chevrolet South Inc</t>
  </si>
  <si>
    <t>Jon-Ed Plymouth Motor Cars, LLC</t>
  </si>
  <si>
    <t>Toyota of Dartmouth</t>
  </si>
  <si>
    <t>Tasca Automotive Group Rt 6 Two</t>
  </si>
  <si>
    <t>Gesner Auto Inc</t>
  </si>
  <si>
    <t>Flood Mazda</t>
  </si>
  <si>
    <t>Hylan Auto Sales</t>
  </si>
  <si>
    <t>Langway Toyota of Newport</t>
  </si>
  <si>
    <t>Mastria Nissan</t>
  </si>
  <si>
    <t>Robertson's GMC Truck, Inc</t>
  </si>
  <si>
    <t>Drive Automotive Sales &amp; Service LLC</t>
  </si>
  <si>
    <t>Tasca Buick GMC</t>
  </si>
  <si>
    <t>Mastria Volkswagen</t>
  </si>
  <si>
    <t>First Chrysler Dodge Jeep</t>
  </si>
  <si>
    <t>Anchor Subaru</t>
  </si>
  <si>
    <t>Tasca Ford Lincoln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</si>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</sst>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0" fontId="0" fillId="0" borderId="0" xfId="0" applyNumberFormat="1"/>
    <xf numFmtId="10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E76">
  <tableColumns count="5">
    <tableColumn id="1" xr3:uid="{00000000-0010-0000-0000-000001000000}" name="Dealer"/>
    <tableColumn id="2" xr3:uid="{00000000-0010-0000-0000-000002000000}" name="Application Received"/>
    <tableColumn id="3" xr3:uid="{00000000-0010-0000-0000-000003000000}" name="Application Approved"/>
    <tableColumn id="4" xr3:uid="{00000000-0010-0000-0000-000004000000}" name="Application Booked"/>
    <tableColumn id="5" xr3:uid="{00000000-0010-0000-0000-000005000000}" name="Book To Look %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"/>
  <sheetViews>
    <sheetView tabSelected="1" workbookViewId="0">
      <pane ySplit="3" topLeftCell="A67" activePane="bottomLeft" state="frozen"/>
      <selection pane="bottomLeft"/>
    </sheetView>
  </sheetViews>
  <sheetFormatPr defaultRowHeight="15" x14ac:dyDescent="0.25"/>
  <cols>
    <col min="1" max="1" width="39.5703125" bestFit="1" customWidth="1"/>
    <col min="2" max="2" width="20.28515625" bestFit="1" customWidth="1"/>
    <col min="3" max="3" width="20.7109375" bestFit="1" customWidth="1"/>
    <col min="4" max="4" width="18.7109375" bestFit="1" customWidth="1"/>
    <col min="5" max="5" width="15.7109375" bestFit="1" customWidth="1"/>
  </cols>
  <sheetData>
    <row r="1" spans="1:5" x14ac:dyDescent="0.25">
      <c r="B1" t="s">
        <v>3</v>
      </c>
      <c r="C1" s="4">
        <v>45809</v>
      </c>
      <c r="D1" t="s">
        <v>2</v>
      </c>
      <c r="E1" s="4">
        <v>45838.999988425923</v>
      </c>
    </row>
    <row r="2" spans="1:5" x14ac:dyDescent="0.25">
      <c r="A2" s="5" t="s">
        <v>0</v>
      </c>
      <c r="B2" s="6"/>
      <c r="C2" s="7" t="s">
        <v>1</v>
      </c>
      <c r="D2" s="6"/>
      <c r="E2" s="6"/>
    </row>
    <row r="3" spans="1:5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 x14ac:dyDescent="0.25">
      <c r="A4" t="s">
        <v>9</v>
      </c>
      <c r="B4">
        <v>43</v>
      </c>
      <c r="C4">
        <v>23</v>
      </c>
      <c r="D4">
        <v>7</v>
      </c>
      <c r="E4" s="2">
        <v>0.16279069767400001</v>
      </c>
    </row>
    <row r="5" spans="1:5" x14ac:dyDescent="0.25">
      <c r="A5" t="s">
        <v>10</v>
      </c>
      <c r="B5">
        <v>41</v>
      </c>
      <c r="C5">
        <v>23</v>
      </c>
      <c r="D5">
        <v>3</v>
      </c>
      <c r="E5" s="2">
        <v>7.3170731707000003E-2</v>
      </c>
    </row>
    <row r="6" spans="1:5" x14ac:dyDescent="0.25">
      <c r="A6" t="s">
        <v>11</v>
      </c>
      <c r="B6">
        <v>32</v>
      </c>
      <c r="C6">
        <v>24</v>
      </c>
      <c r="D6">
        <v>6</v>
      </c>
      <c r="E6" s="2">
        <v>0.1875</v>
      </c>
    </row>
    <row r="7" spans="1:5" x14ac:dyDescent="0.25">
      <c r="A7" t="s">
        <v>12</v>
      </c>
      <c r="B7">
        <v>31</v>
      </c>
      <c r="C7">
        <v>26</v>
      </c>
      <c r="D7">
        <v>12</v>
      </c>
      <c r="E7" s="2">
        <v>0.38709677419299998</v>
      </c>
    </row>
    <row r="8" spans="1:5" x14ac:dyDescent="0.25">
      <c r="A8" t="s">
        <v>13</v>
      </c>
      <c r="B8">
        <v>30</v>
      </c>
      <c r="C8">
        <v>15</v>
      </c>
      <c r="D8">
        <v>10</v>
      </c>
      <c r="E8" s="2">
        <v>0.33333333333300003</v>
      </c>
    </row>
    <row r="9" spans="1:5" x14ac:dyDescent="0.25">
      <c r="A9" t="s">
        <v>14</v>
      </c>
      <c r="B9">
        <v>29</v>
      </c>
      <c r="C9">
        <v>20</v>
      </c>
      <c r="D9">
        <v>7</v>
      </c>
      <c r="E9" s="2">
        <v>0.24137931034400001</v>
      </c>
    </row>
    <row r="10" spans="1:5" x14ac:dyDescent="0.25">
      <c r="A10" t="s">
        <v>15</v>
      </c>
      <c r="B10">
        <v>29</v>
      </c>
      <c r="C10">
        <v>20</v>
      </c>
      <c r="D10">
        <v>14</v>
      </c>
      <c r="E10" s="2">
        <v>0.482758620689</v>
      </c>
    </row>
    <row r="11" spans="1:5" x14ac:dyDescent="0.25">
      <c r="A11" t="s">
        <v>16</v>
      </c>
      <c r="B11">
        <v>27</v>
      </c>
      <c r="C11">
        <v>14</v>
      </c>
      <c r="D11">
        <v>10</v>
      </c>
      <c r="E11" s="2">
        <v>0.37037037036999998</v>
      </c>
    </row>
    <row r="12" spans="1:5" x14ac:dyDescent="0.25">
      <c r="A12" t="s">
        <v>17</v>
      </c>
      <c r="B12">
        <v>25</v>
      </c>
      <c r="C12">
        <v>15</v>
      </c>
      <c r="D12">
        <v>7</v>
      </c>
      <c r="E12" s="2">
        <v>0.28000000000000003</v>
      </c>
    </row>
    <row r="13" spans="1:5" x14ac:dyDescent="0.25">
      <c r="A13" t="s">
        <v>18</v>
      </c>
      <c r="B13">
        <v>22</v>
      </c>
      <c r="C13">
        <v>9</v>
      </c>
      <c r="D13">
        <v>1</v>
      </c>
      <c r="E13" s="2">
        <v>4.5454545454000003E-2</v>
      </c>
    </row>
    <row r="14" spans="1:5" x14ac:dyDescent="0.25">
      <c r="A14" t="s">
        <v>19</v>
      </c>
      <c r="B14">
        <v>22</v>
      </c>
      <c r="C14">
        <v>18</v>
      </c>
      <c r="D14">
        <v>14</v>
      </c>
      <c r="E14" s="2">
        <v>0.63636363636299997</v>
      </c>
    </row>
    <row r="15" spans="1:5" x14ac:dyDescent="0.25">
      <c r="A15" t="s">
        <v>20</v>
      </c>
      <c r="B15">
        <v>22</v>
      </c>
      <c r="C15">
        <v>16</v>
      </c>
      <c r="D15">
        <v>10</v>
      </c>
      <c r="E15" s="2">
        <v>0.45454545454500001</v>
      </c>
    </row>
    <row r="16" spans="1:5" x14ac:dyDescent="0.25">
      <c r="A16" t="s">
        <v>21</v>
      </c>
      <c r="B16">
        <v>21</v>
      </c>
      <c r="C16">
        <v>12</v>
      </c>
      <c r="D16">
        <v>1</v>
      </c>
      <c r="E16" s="2">
        <v>4.7619047619000002E-2</v>
      </c>
    </row>
    <row r="17" spans="1:5" x14ac:dyDescent="0.25">
      <c r="A17" t="s">
        <v>22</v>
      </c>
      <c r="B17">
        <v>21</v>
      </c>
      <c r="C17">
        <v>19</v>
      </c>
      <c r="D17">
        <v>11</v>
      </c>
      <c r="E17" s="2">
        <v>0.52380952380900003</v>
      </c>
    </row>
    <row r="18" spans="1:5" x14ac:dyDescent="0.25">
      <c r="A18" t="s">
        <v>23</v>
      </c>
      <c r="B18">
        <v>20</v>
      </c>
      <c r="C18">
        <v>16</v>
      </c>
      <c r="D18">
        <v>6</v>
      </c>
      <c r="E18" s="2">
        <v>0.3</v>
      </c>
    </row>
    <row r="19" spans="1:5" x14ac:dyDescent="0.25">
      <c r="A19" t="s">
        <v>24</v>
      </c>
      <c r="B19">
        <v>19</v>
      </c>
      <c r="C19">
        <v>13</v>
      </c>
      <c r="D19">
        <v>4</v>
      </c>
      <c r="E19" s="2">
        <v>0.210526315789</v>
      </c>
    </row>
    <row r="20" spans="1:5" x14ac:dyDescent="0.25">
      <c r="A20" t="s">
        <v>25</v>
      </c>
      <c r="B20">
        <v>19</v>
      </c>
      <c r="C20">
        <v>15</v>
      </c>
      <c r="D20">
        <v>8</v>
      </c>
      <c r="E20" s="2">
        <v>0.42105263157799999</v>
      </c>
    </row>
    <row r="21" spans="1:5" x14ac:dyDescent="0.25">
      <c r="A21" t="s">
        <v>26</v>
      </c>
      <c r="B21">
        <v>18</v>
      </c>
      <c r="C21">
        <v>8</v>
      </c>
      <c r="D21">
        <v>2</v>
      </c>
      <c r="E21" s="2">
        <v>0.111111111111</v>
      </c>
    </row>
    <row r="22" spans="1:5" x14ac:dyDescent="0.25">
      <c r="A22" t="s">
        <v>27</v>
      </c>
      <c r="B22">
        <v>18</v>
      </c>
      <c r="C22">
        <v>5</v>
      </c>
      <c r="D22">
        <v>0</v>
      </c>
      <c r="E22" s="2">
        <v>0</v>
      </c>
    </row>
    <row r="23" spans="1:5" x14ac:dyDescent="0.25">
      <c r="A23" t="s">
        <v>28</v>
      </c>
      <c r="B23">
        <v>18</v>
      </c>
      <c r="C23">
        <v>7</v>
      </c>
      <c r="D23">
        <v>1</v>
      </c>
      <c r="E23" s="2">
        <v>5.5555555554999997E-2</v>
      </c>
    </row>
    <row r="24" spans="1:5" x14ac:dyDescent="0.25">
      <c r="A24" t="s">
        <v>29</v>
      </c>
      <c r="B24">
        <v>17</v>
      </c>
      <c r="C24">
        <v>15</v>
      </c>
      <c r="D24">
        <v>4</v>
      </c>
      <c r="E24" s="2">
        <v>0.23529411764700001</v>
      </c>
    </row>
    <row r="25" spans="1:5" x14ac:dyDescent="0.25">
      <c r="A25" t="s">
        <v>30</v>
      </c>
      <c r="B25">
        <v>17</v>
      </c>
      <c r="C25">
        <v>14</v>
      </c>
      <c r="D25">
        <v>8</v>
      </c>
      <c r="E25" s="2">
        <v>0.47058823529400001</v>
      </c>
    </row>
    <row r="26" spans="1:5" x14ac:dyDescent="0.25">
      <c r="A26" t="s">
        <v>31</v>
      </c>
      <c r="B26">
        <v>17</v>
      </c>
      <c r="C26">
        <v>12</v>
      </c>
      <c r="D26">
        <v>11</v>
      </c>
      <c r="E26" s="2">
        <v>0.64705882352900002</v>
      </c>
    </row>
    <row r="27" spans="1:5" x14ac:dyDescent="0.25">
      <c r="A27" t="s">
        <v>32</v>
      </c>
      <c r="B27">
        <v>16</v>
      </c>
      <c r="C27">
        <v>13</v>
      </c>
      <c r="D27">
        <v>2</v>
      </c>
      <c r="E27" s="2">
        <v>0.125</v>
      </c>
    </row>
    <row r="28" spans="1:5" x14ac:dyDescent="0.25">
      <c r="A28" t="s">
        <v>33</v>
      </c>
      <c r="B28">
        <v>16</v>
      </c>
      <c r="C28">
        <v>14</v>
      </c>
      <c r="D28">
        <v>7</v>
      </c>
      <c r="E28" s="2">
        <v>0.4375</v>
      </c>
    </row>
    <row r="29" spans="1:5" x14ac:dyDescent="0.25">
      <c r="A29" t="s">
        <v>34</v>
      </c>
      <c r="B29">
        <v>13</v>
      </c>
      <c r="C29">
        <v>6</v>
      </c>
      <c r="D29">
        <v>0</v>
      </c>
      <c r="E29" s="2">
        <v>0</v>
      </c>
    </row>
    <row r="30" spans="1:5" x14ac:dyDescent="0.25">
      <c r="A30" t="s">
        <v>35</v>
      </c>
      <c r="B30">
        <v>12</v>
      </c>
      <c r="C30">
        <v>8</v>
      </c>
      <c r="D30">
        <v>3</v>
      </c>
      <c r="E30" s="2">
        <v>0.25</v>
      </c>
    </row>
    <row r="31" spans="1:5" x14ac:dyDescent="0.25">
      <c r="A31" t="s">
        <v>36</v>
      </c>
      <c r="B31">
        <v>11</v>
      </c>
      <c r="C31">
        <v>8</v>
      </c>
      <c r="D31">
        <v>3</v>
      </c>
      <c r="E31" s="2">
        <v>0.27272727272699998</v>
      </c>
    </row>
    <row r="32" spans="1:5" x14ac:dyDescent="0.25">
      <c r="A32" t="s">
        <v>37</v>
      </c>
      <c r="B32">
        <v>11</v>
      </c>
      <c r="C32">
        <v>7</v>
      </c>
      <c r="D32">
        <v>5</v>
      </c>
      <c r="E32" s="2">
        <v>0.45454545454500001</v>
      </c>
    </row>
    <row r="33" spans="1:5" x14ac:dyDescent="0.25">
      <c r="A33" t="s">
        <v>38</v>
      </c>
      <c r="B33">
        <v>11</v>
      </c>
      <c r="C33">
        <v>11</v>
      </c>
      <c r="D33">
        <v>5</v>
      </c>
      <c r="E33" s="2">
        <v>0.45454545454500001</v>
      </c>
    </row>
    <row r="34" spans="1:5" x14ac:dyDescent="0.25">
      <c r="A34" t="s">
        <v>39</v>
      </c>
      <c r="B34">
        <v>11</v>
      </c>
      <c r="C34">
        <v>9</v>
      </c>
      <c r="D34">
        <v>0</v>
      </c>
      <c r="E34" s="2">
        <v>0</v>
      </c>
    </row>
    <row r="35" spans="1:5" x14ac:dyDescent="0.25">
      <c r="A35" t="s">
        <v>40</v>
      </c>
      <c r="B35">
        <v>11</v>
      </c>
      <c r="C35">
        <v>7</v>
      </c>
      <c r="D35">
        <v>1</v>
      </c>
      <c r="E35" s="2">
        <v>9.0909090908999998E-2</v>
      </c>
    </row>
    <row r="36" spans="1:5" x14ac:dyDescent="0.25">
      <c r="A36" t="s">
        <v>41</v>
      </c>
      <c r="B36">
        <v>11</v>
      </c>
      <c r="C36">
        <v>9</v>
      </c>
      <c r="D36">
        <v>4</v>
      </c>
      <c r="E36" s="2">
        <v>0.36363636363599999</v>
      </c>
    </row>
    <row r="37" spans="1:5" x14ac:dyDescent="0.25">
      <c r="A37" t="s">
        <v>42</v>
      </c>
      <c r="B37">
        <v>10</v>
      </c>
      <c r="C37">
        <v>5</v>
      </c>
      <c r="D37">
        <v>5</v>
      </c>
      <c r="E37" s="2">
        <v>0.5</v>
      </c>
    </row>
    <row r="38" spans="1:5" x14ac:dyDescent="0.25">
      <c r="A38" t="s">
        <v>43</v>
      </c>
      <c r="B38">
        <v>10</v>
      </c>
      <c r="C38">
        <v>8</v>
      </c>
      <c r="D38">
        <v>10</v>
      </c>
      <c r="E38" s="2">
        <v>1</v>
      </c>
    </row>
    <row r="39" spans="1:5" x14ac:dyDescent="0.25">
      <c r="A39" t="s">
        <v>44</v>
      </c>
      <c r="B39">
        <v>10</v>
      </c>
      <c r="C39">
        <v>4</v>
      </c>
      <c r="D39">
        <v>0</v>
      </c>
      <c r="E39" s="2">
        <v>0</v>
      </c>
    </row>
    <row r="40" spans="1:5" x14ac:dyDescent="0.25">
      <c r="A40" t="s">
        <v>45</v>
      </c>
      <c r="B40">
        <v>9</v>
      </c>
      <c r="C40">
        <v>1</v>
      </c>
      <c r="D40">
        <v>2</v>
      </c>
      <c r="E40" s="2">
        <v>0.222222222222</v>
      </c>
    </row>
    <row r="41" spans="1:5" x14ac:dyDescent="0.25">
      <c r="A41" t="s">
        <v>46</v>
      </c>
      <c r="B41">
        <v>9</v>
      </c>
      <c r="C41">
        <v>6</v>
      </c>
      <c r="D41">
        <v>5</v>
      </c>
      <c r="E41" s="2">
        <v>0.55555555555500002</v>
      </c>
    </row>
    <row r="42" spans="1:5" x14ac:dyDescent="0.25">
      <c r="A42" t="s">
        <v>47</v>
      </c>
      <c r="B42">
        <v>8</v>
      </c>
      <c r="C42">
        <v>4</v>
      </c>
      <c r="D42">
        <v>6</v>
      </c>
      <c r="E42" s="2">
        <v>0.75</v>
      </c>
    </row>
    <row r="43" spans="1:5" x14ac:dyDescent="0.25">
      <c r="A43" t="s">
        <v>48</v>
      </c>
      <c r="B43">
        <v>8</v>
      </c>
      <c r="C43">
        <v>7</v>
      </c>
      <c r="D43">
        <v>5</v>
      </c>
      <c r="E43" s="2">
        <v>0.625</v>
      </c>
    </row>
    <row r="44" spans="1:5" x14ac:dyDescent="0.25">
      <c r="A44" t="s">
        <v>49</v>
      </c>
      <c r="B44">
        <v>8</v>
      </c>
      <c r="C44">
        <v>2</v>
      </c>
      <c r="D44">
        <v>2</v>
      </c>
      <c r="E44" s="2">
        <v>0.25</v>
      </c>
    </row>
    <row r="45" spans="1:5" x14ac:dyDescent="0.25">
      <c r="A45" t="s">
        <v>50</v>
      </c>
      <c r="B45">
        <v>8</v>
      </c>
      <c r="C45">
        <v>5</v>
      </c>
      <c r="D45">
        <v>0</v>
      </c>
      <c r="E45" s="2">
        <v>0</v>
      </c>
    </row>
    <row r="46" spans="1:5" x14ac:dyDescent="0.25">
      <c r="A46" t="s">
        <v>51</v>
      </c>
      <c r="B46">
        <v>7</v>
      </c>
      <c r="C46">
        <v>6</v>
      </c>
      <c r="D46">
        <v>1</v>
      </c>
      <c r="E46" s="2">
        <v>0.14285714285699999</v>
      </c>
    </row>
    <row r="47" spans="1:5" x14ac:dyDescent="0.25">
      <c r="A47" t="s">
        <v>52</v>
      </c>
      <c r="B47">
        <v>7</v>
      </c>
      <c r="C47">
        <v>2</v>
      </c>
      <c r="D47">
        <v>1</v>
      </c>
      <c r="E47" s="2">
        <v>0.14285714285699999</v>
      </c>
    </row>
    <row r="48" spans="1:5" x14ac:dyDescent="0.25">
      <c r="A48" t="s">
        <v>53</v>
      </c>
      <c r="B48">
        <v>7</v>
      </c>
      <c r="C48">
        <v>7</v>
      </c>
      <c r="D48">
        <v>2</v>
      </c>
      <c r="E48" s="2">
        <v>0.28571428571399998</v>
      </c>
    </row>
    <row r="49" spans="1:5" x14ac:dyDescent="0.25">
      <c r="A49" t="s">
        <v>54</v>
      </c>
      <c r="B49">
        <v>6</v>
      </c>
      <c r="C49">
        <v>4</v>
      </c>
      <c r="D49">
        <v>3</v>
      </c>
      <c r="E49" s="2">
        <v>0.5</v>
      </c>
    </row>
    <row r="50" spans="1:5" x14ac:dyDescent="0.25">
      <c r="A50" t="s">
        <v>55</v>
      </c>
      <c r="B50">
        <v>6</v>
      </c>
      <c r="C50">
        <v>6</v>
      </c>
      <c r="D50">
        <v>2</v>
      </c>
      <c r="E50" s="2">
        <v>0.33333333333300003</v>
      </c>
    </row>
    <row r="51" spans="1:5" x14ac:dyDescent="0.25">
      <c r="A51" t="s">
        <v>56</v>
      </c>
      <c r="B51">
        <v>5</v>
      </c>
      <c r="C51">
        <v>5</v>
      </c>
      <c r="D51">
        <v>2</v>
      </c>
      <c r="E51" s="2">
        <v>0.4</v>
      </c>
    </row>
    <row r="52" spans="1:5" x14ac:dyDescent="0.25">
      <c r="A52" t="s">
        <v>57</v>
      </c>
      <c r="B52">
        <v>5</v>
      </c>
      <c r="C52">
        <v>3</v>
      </c>
      <c r="D52">
        <v>1</v>
      </c>
      <c r="E52" s="2">
        <v>0.2</v>
      </c>
    </row>
    <row r="53" spans="1:5" x14ac:dyDescent="0.25">
      <c r="A53" t="s">
        <v>58</v>
      </c>
      <c r="B53">
        <v>5</v>
      </c>
      <c r="C53">
        <v>1</v>
      </c>
      <c r="D53">
        <v>0</v>
      </c>
      <c r="E53" s="2">
        <v>0</v>
      </c>
    </row>
    <row r="54" spans="1:5" x14ac:dyDescent="0.25">
      <c r="A54" t="s">
        <v>59</v>
      </c>
      <c r="B54">
        <v>5</v>
      </c>
      <c r="C54">
        <v>1</v>
      </c>
      <c r="D54">
        <v>0</v>
      </c>
      <c r="E54" s="2">
        <v>0</v>
      </c>
    </row>
    <row r="55" spans="1:5" x14ac:dyDescent="0.25">
      <c r="A55" t="s">
        <v>60</v>
      </c>
      <c r="B55">
        <v>4</v>
      </c>
      <c r="C55">
        <v>1</v>
      </c>
      <c r="D55">
        <v>0</v>
      </c>
      <c r="E55" s="2">
        <v>0</v>
      </c>
    </row>
    <row r="56" spans="1:5" x14ac:dyDescent="0.25">
      <c r="A56" t="s">
        <v>61</v>
      </c>
      <c r="B56">
        <v>4</v>
      </c>
      <c r="C56">
        <v>1</v>
      </c>
      <c r="D56">
        <v>0</v>
      </c>
      <c r="E56" s="2">
        <v>0</v>
      </c>
    </row>
    <row r="57" spans="1:5" x14ac:dyDescent="0.25">
      <c r="A57" t="s">
        <v>62</v>
      </c>
      <c r="B57">
        <v>4</v>
      </c>
      <c r="C57">
        <v>3</v>
      </c>
      <c r="D57">
        <v>2</v>
      </c>
      <c r="E57" s="2">
        <v>0.5</v>
      </c>
    </row>
    <row r="58" spans="1:5" x14ac:dyDescent="0.25">
      <c r="A58" t="s">
        <v>63</v>
      </c>
      <c r="B58">
        <v>4</v>
      </c>
      <c r="C58">
        <v>4</v>
      </c>
      <c r="D58">
        <v>2</v>
      </c>
      <c r="E58" s="2">
        <v>0.5</v>
      </c>
    </row>
    <row r="59" spans="1:5" x14ac:dyDescent="0.25">
      <c r="A59" t="s">
        <v>64</v>
      </c>
      <c r="B59">
        <v>4</v>
      </c>
      <c r="C59">
        <v>0</v>
      </c>
      <c r="D59">
        <v>0</v>
      </c>
      <c r="E59" s="2">
        <v>0</v>
      </c>
    </row>
    <row r="60" spans="1:5" x14ac:dyDescent="0.25">
      <c r="A60" t="s">
        <v>65</v>
      </c>
      <c r="B60">
        <v>4</v>
      </c>
      <c r="C60">
        <v>1</v>
      </c>
      <c r="D60">
        <v>0</v>
      </c>
      <c r="E60" s="2">
        <v>0</v>
      </c>
    </row>
    <row r="61" spans="1:5" x14ac:dyDescent="0.25">
      <c r="A61" t="s">
        <v>66</v>
      </c>
      <c r="B61">
        <v>3</v>
      </c>
      <c r="C61">
        <v>1</v>
      </c>
      <c r="D61">
        <v>0</v>
      </c>
      <c r="E61" s="2">
        <v>0</v>
      </c>
    </row>
    <row r="62" spans="1:5" x14ac:dyDescent="0.25">
      <c r="A62" t="s">
        <v>67</v>
      </c>
      <c r="B62">
        <v>3</v>
      </c>
      <c r="C62">
        <v>2</v>
      </c>
      <c r="D62">
        <v>1</v>
      </c>
      <c r="E62" s="2">
        <v>0.33333333333300003</v>
      </c>
    </row>
    <row r="63" spans="1:5" x14ac:dyDescent="0.25">
      <c r="A63" t="s">
        <v>68</v>
      </c>
      <c r="B63">
        <v>2</v>
      </c>
      <c r="C63">
        <v>1</v>
      </c>
      <c r="D63">
        <v>1</v>
      </c>
      <c r="E63" s="2">
        <v>0.5</v>
      </c>
    </row>
    <row r="64" spans="1:5" x14ac:dyDescent="0.25">
      <c r="A64" t="s">
        <v>69</v>
      </c>
      <c r="B64">
        <v>2</v>
      </c>
      <c r="C64">
        <v>1</v>
      </c>
      <c r="D64">
        <v>0</v>
      </c>
      <c r="E64" s="2">
        <v>0</v>
      </c>
    </row>
    <row r="65" spans="1:5" x14ac:dyDescent="0.25">
      <c r="A65" t="s">
        <v>70</v>
      </c>
      <c r="B65">
        <v>2</v>
      </c>
      <c r="C65">
        <v>1</v>
      </c>
      <c r="D65">
        <v>0</v>
      </c>
      <c r="E65" s="2">
        <v>0</v>
      </c>
    </row>
    <row r="66" spans="1:5" x14ac:dyDescent="0.25">
      <c r="A66" t="s">
        <v>71</v>
      </c>
      <c r="B66">
        <v>2</v>
      </c>
      <c r="C66">
        <v>2</v>
      </c>
      <c r="D66">
        <v>0</v>
      </c>
      <c r="E66" s="2">
        <v>0</v>
      </c>
    </row>
    <row r="67" spans="1:5" x14ac:dyDescent="0.25">
      <c r="A67" t="s">
        <v>72</v>
      </c>
      <c r="B67">
        <v>2</v>
      </c>
      <c r="C67">
        <v>1</v>
      </c>
      <c r="D67">
        <v>0</v>
      </c>
      <c r="E67" s="2">
        <v>0</v>
      </c>
    </row>
    <row r="68" spans="1:5" x14ac:dyDescent="0.25">
      <c r="A68" t="s">
        <v>73</v>
      </c>
      <c r="B68">
        <v>2</v>
      </c>
      <c r="C68">
        <v>0</v>
      </c>
      <c r="D68">
        <v>0</v>
      </c>
      <c r="E68" s="2">
        <v>0</v>
      </c>
    </row>
    <row r="69" spans="1:5" x14ac:dyDescent="0.25">
      <c r="A69" t="s">
        <v>74</v>
      </c>
      <c r="B69">
        <v>2</v>
      </c>
      <c r="C69">
        <v>2</v>
      </c>
      <c r="D69">
        <v>1</v>
      </c>
      <c r="E69" s="2">
        <v>0.5</v>
      </c>
    </row>
    <row r="70" spans="1:5" x14ac:dyDescent="0.25">
      <c r="A70" t="s">
        <v>75</v>
      </c>
      <c r="B70">
        <v>2</v>
      </c>
      <c r="C70">
        <v>1</v>
      </c>
      <c r="D70">
        <v>1</v>
      </c>
      <c r="E70" s="2">
        <v>0.5</v>
      </c>
    </row>
    <row r="71" spans="1:5" x14ac:dyDescent="0.25">
      <c r="A71" t="s">
        <v>76</v>
      </c>
      <c r="B71">
        <v>1</v>
      </c>
      <c r="C71">
        <v>1</v>
      </c>
      <c r="D71">
        <v>0</v>
      </c>
      <c r="E71" s="2">
        <v>0</v>
      </c>
    </row>
    <row r="72" spans="1:5" x14ac:dyDescent="0.25">
      <c r="A72" t="s">
        <v>77</v>
      </c>
      <c r="B72">
        <v>1</v>
      </c>
      <c r="C72">
        <v>1</v>
      </c>
      <c r="D72">
        <v>1</v>
      </c>
      <c r="E72" s="2">
        <v>1</v>
      </c>
    </row>
    <row r="73" spans="1:5" x14ac:dyDescent="0.25">
      <c r="A73" t="s">
        <v>78</v>
      </c>
      <c r="B73">
        <v>1</v>
      </c>
      <c r="C73">
        <v>1</v>
      </c>
      <c r="D73">
        <v>0</v>
      </c>
      <c r="E73" s="2">
        <v>0</v>
      </c>
    </row>
    <row r="74" spans="1:5" x14ac:dyDescent="0.25">
      <c r="A74" t="s">
        <v>79</v>
      </c>
      <c r="B74">
        <v>1</v>
      </c>
      <c r="C74">
        <v>1</v>
      </c>
      <c r="D74">
        <v>0</v>
      </c>
      <c r="E74" s="2">
        <v>0</v>
      </c>
    </row>
    <row r="75" spans="1:5" x14ac:dyDescent="0.25">
      <c r="A75" t="s">
        <v>80</v>
      </c>
      <c r="B75">
        <v>1</v>
      </c>
      <c r="C75">
        <v>0</v>
      </c>
      <c r="D75">
        <v>0</v>
      </c>
      <c r="E75" s="2">
        <v>0</v>
      </c>
    </row>
    <row r="76" spans="1:5" x14ac:dyDescent="0.25">
      <c r="A76" s="1" t="s">
        <v>81</v>
      </c>
      <c r="B76" s="1">
        <f>SUM(B4:B75)</f>
        <v>865</v>
      </c>
      <c r="C76" s="1">
        <f>SUM(C4:C75)</f>
        <v>554</v>
      </c>
      <c r="D76" s="1">
        <f>SUM(D4:D75)</f>
        <v>243</v>
      </c>
      <c r="E76" s="3">
        <f>SUM(D4:D75)/SUM(B4:B75)</f>
        <v>0.28092485549132951</v>
      </c>
    </row>
  </sheetData>
  <mergeCells count="2">
    <mergeCell ref="A2:B2"/>
    <mergeCell ref="C2:E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 To Look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Marlene Braganca</cp:lastModifiedBy>
  <dcterms:created xsi:type="dcterms:W3CDTF">2025-07-01T12:51:16Z</dcterms:created>
  <dcterms:modified xsi:type="dcterms:W3CDTF">2025-07-01T13:08:53Z</dcterms:modified>
</cp:coreProperties>
</file>