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28547F6B-2ECA-4864-9316-CE0AFB7AC810}" xr6:coauthVersionLast="47" xr6:coauthVersionMax="47" xr10:uidLastSave="{00000000-0000-0000-0000-000000000000}"/>
  <bookViews>
    <workbookView xWindow="31425" yWindow="375" windowWidth="20910" windowHeight="1458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2" l="1"/>
  <c r="G21" i="2"/>
  <c r="G18" i="2"/>
  <c r="G14" i="2"/>
  <c r="H38" i="2"/>
  <c r="F38" i="2"/>
  <c r="E38" i="2"/>
  <c r="D38" i="2"/>
  <c r="H24" i="1"/>
</calcChain>
</file>

<file path=xl/sharedStrings.xml><?xml version="1.0" encoding="utf-8"?>
<sst xmlns="http://schemas.openxmlformats.org/spreadsheetml/2006/main" count="254" uniqueCount="129">
  <si>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</si>
  <si>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</si>
  <si>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</si>
  <si>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</si>
  <si>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</si>
  <si>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</si>
  <si>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</si>
  <si>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</si>
  <si>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</si>
  <si>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</si>
  <si>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</si>
  <si>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App MMN</t>
  </si>
  <si>
    <t>Co-App MMN</t>
  </si>
  <si>
    <t>DealerTrack</t>
  </si>
  <si>
    <t>E Contract</t>
  </si>
  <si>
    <t>KOST, JANEL</t>
  </si>
  <si>
    <t>Planet Subaru</t>
  </si>
  <si>
    <t>Marlene Braganca</t>
  </si>
  <si>
    <t>JEKOST26@GMAIL.COM</t>
  </si>
  <si>
    <t>Love</t>
  </si>
  <si>
    <t>Route One</t>
  </si>
  <si>
    <t>PFUNDSTEIN, DWIGHT</t>
  </si>
  <si>
    <t>Wareham Ford</t>
  </si>
  <si>
    <t>dpfundst@yahoo.com</t>
  </si>
  <si>
    <t>Keller</t>
  </si>
  <si>
    <t>MCDERMOTT, ROBERT</t>
  </si>
  <si>
    <t>Mathieu Ford Sales, Inc</t>
  </si>
  <si>
    <t>Doucet</t>
  </si>
  <si>
    <t>REGAN, JENNA</t>
  </si>
  <si>
    <t>Patriot Auto Group Inc d/b/a</t>
  </si>
  <si>
    <t>jennaregan5@gmail.com</t>
  </si>
  <si>
    <t>Lawrence</t>
  </si>
  <si>
    <t>ELDER, ROBERT</t>
  </si>
  <si>
    <t>Lucchettis Service Center Inc</t>
  </si>
  <si>
    <t>Robbyelder@gmail.com</t>
  </si>
  <si>
    <t>Belanger</t>
  </si>
  <si>
    <t>151210011</t>
  </si>
  <si>
    <t>Paper</t>
  </si>
  <si>
    <t>FLETCHER, LUKE</t>
  </si>
  <si>
    <t>Volvo of Tiverton</t>
  </si>
  <si>
    <t>LUKECFLETCHER12@GMAIL.COM</t>
  </si>
  <si>
    <t>Clardy</t>
  </si>
  <si>
    <t>DUPUIS, BERNARD</t>
  </si>
  <si>
    <t>DUPUIS, MARY</t>
  </si>
  <si>
    <t>DUPUIS0007@YAHOO.COM</t>
  </si>
  <si>
    <t>Crean</t>
  </si>
  <si>
    <t>HOWE</t>
  </si>
  <si>
    <t>KELLEHER, TIMOTHY</t>
  </si>
  <si>
    <t>RAH FALL RIVER VW, LLC</t>
  </si>
  <si>
    <t>TIMOTHY.KELLEHER@COMCAST.NET</t>
  </si>
  <si>
    <t>OBRIEN</t>
  </si>
  <si>
    <t>151210061</t>
  </si>
  <si>
    <t>RIEL, MORGAN</t>
  </si>
  <si>
    <t>Gesner Auto Inc</t>
  </si>
  <si>
    <t>Neli Oliveira</t>
  </si>
  <si>
    <t>MRIELSOCCER@GMAIL.COM</t>
  </si>
  <si>
    <t>KING</t>
  </si>
  <si>
    <t>HARMON, JAMIE</t>
  </si>
  <si>
    <t>T F Murphy Enterprises Inc</t>
  </si>
  <si>
    <t>JAMIEHARMON@COMCAST.NET</t>
  </si>
  <si>
    <t>VLAHOS</t>
  </si>
  <si>
    <t>STPIERRE, PHYLLIS</t>
  </si>
  <si>
    <t>TERRY_PHYL@COMCAST.COM</t>
  </si>
  <si>
    <t>ROBERTS</t>
  </si>
  <si>
    <t>WRIGHT, BROGAN</t>
  </si>
  <si>
    <t>FULTON</t>
  </si>
  <si>
    <t>TETREAULT, CORY</t>
  </si>
  <si>
    <t>Alden Buick Pontiac GMC</t>
  </si>
  <si>
    <t>DELUCA</t>
  </si>
  <si>
    <t>151210144</t>
  </si>
  <si>
    <t>WILLDRIDGE, WILLIAM</t>
  </si>
  <si>
    <t>WILLDRIDGE, BONNIE</t>
  </si>
  <si>
    <t>S&amp;E Auto Services and Sales Inc</t>
  </si>
  <si>
    <t>BSWILLDRIDGE@HOTMAIL.COM</t>
  </si>
  <si>
    <t>EDDY</t>
  </si>
  <si>
    <t>ROSS</t>
  </si>
  <si>
    <t>WOOD, JESSICA</t>
  </si>
  <si>
    <t>Rachel Gorham</t>
  </si>
  <si>
    <t>IRON.JESS@YAHOO.COM</t>
  </si>
  <si>
    <t>GILMAN</t>
  </si>
  <si>
    <t>SPINNEY, NATHAN</t>
  </si>
  <si>
    <t>Tasca Ford</t>
  </si>
  <si>
    <t>NSPINNEY427@GMAIL.COM</t>
  </si>
  <si>
    <t>SPINNEY</t>
  </si>
  <si>
    <t>GRAY, ANDREW</t>
  </si>
  <si>
    <t>agary2227@gmail.com</t>
  </si>
  <si>
    <t>HOOVER, SARAH</t>
  </si>
  <si>
    <t>saga010@hotmail.com</t>
  </si>
  <si>
    <t>ACKLES</t>
  </si>
  <si>
    <t>BICKFORD, WILLIAM</t>
  </si>
  <si>
    <t>Battles Nissan, LLC</t>
  </si>
  <si>
    <t>33HOCKEYNUT@COMCAST.NET</t>
  </si>
  <si>
    <t>Romanelli</t>
  </si>
  <si>
    <t>151210235</t>
  </si>
  <si>
    <t>ALMEIDA, DAVID</t>
  </si>
  <si>
    <t>Saccucci Honda</t>
  </si>
  <si>
    <t>SCARLINP04@HOTMAIL.COM</t>
  </si>
  <si>
    <t>SIMAO</t>
  </si>
  <si>
    <t># 20</t>
  </si>
  <si>
    <t>Funding Worksheet - ACH Version</t>
  </si>
  <si>
    <t>Dealer Flat</t>
  </si>
  <si>
    <t>Dealer Split</t>
  </si>
  <si>
    <t>Net to Dealer</t>
  </si>
  <si>
    <t>Contracted Amount Financed</t>
  </si>
  <si>
    <t>Funding Worksheet - Signoff Version</t>
  </si>
  <si>
    <t>Column1</t>
  </si>
  <si>
    <t>Column2</t>
  </si>
  <si>
    <t>Hon-Patriot Auto Group Inc d/b/a</t>
  </si>
  <si>
    <t># 4</t>
  </si>
  <si>
    <t>151209783 E</t>
  </si>
  <si>
    <t>151209791 E</t>
  </si>
  <si>
    <t>151209882 E</t>
  </si>
  <si>
    <t>151209957 E</t>
  </si>
  <si>
    <t>151209981 E</t>
  </si>
  <si>
    <t>151210029 E</t>
  </si>
  <si>
    <t>151210037 E</t>
  </si>
  <si>
    <t>151210079 E</t>
  </si>
  <si>
    <t>151210095 E</t>
  </si>
  <si>
    <t>151210102 E</t>
  </si>
  <si>
    <t>151210136 E</t>
  </si>
  <si>
    <t>151210178 E</t>
  </si>
  <si>
    <t>151210186 E</t>
  </si>
  <si>
    <t>151210194 E</t>
  </si>
  <si>
    <t>151210219 E</t>
  </si>
  <si>
    <t>151210227 E</t>
  </si>
  <si>
    <t>Original Note Delivered</t>
  </si>
  <si>
    <t>Delivered by:</t>
  </si>
  <si>
    <t>Received by:</t>
  </si>
  <si>
    <t>Sined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</si>
</sst>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7" fontId="4" fillId="0" borderId="0" xfId="0" applyNumberFormat="1" applyFont="1"/>
    <xf numFmtId="0" fontId="0" fillId="0" borderId="1" xfId="0" applyBorder="1"/>
  </cellXfs>
  <cellStyles count="1">
    <cellStyle name="Normal" xfId="0" builtinId="0"/>
  </cellStyles>
  <dxfs count="11">
    <dxf>
      <font>
        <b/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K24">
  <tableColumns count="11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AA2252-B5AB-477F-943C-A35990149863}" name="Table_13" displayName="Table_13" ref="A3:H38" headerRowDxfId="5" dataDxfId="3" totalsRowDxfId="4">
  <tableColumns count="8">
    <tableColumn id="1" xr3:uid="{5EED0444-85BA-48AB-B4D1-4AFE360E3558}" name="Dealer Name" dataDxfId="10"/>
    <tableColumn id="7" xr3:uid="{847E796B-B86F-47CE-B467-E3811DE8A2A5}" name="Column1" dataDxfId="9"/>
    <tableColumn id="2" xr3:uid="{60EC1DBD-D007-4553-BC65-BAD17B9E00E8}" name="Funded by" dataDxfId="8"/>
    <tableColumn id="3" xr3:uid="{8B4E65D9-4311-4568-A8FF-DA2C638620D2}" name="Dealer Flat" dataDxfId="7"/>
    <tableColumn id="4" xr3:uid="{DA6CFE5A-510D-4852-8E69-5F7373940A43}" name="Dealer Split" dataDxfId="6"/>
    <tableColumn id="5" xr3:uid="{5E6337E1-DC94-4F6F-8AAA-F92016FCA9E0}" name="Net to Dealer" dataDxfId="2"/>
    <tableColumn id="8" xr3:uid="{B39554C8-CCA8-42EE-9151-6EDFA1447F47}" name="Column2" dataDxfId="0"/>
    <tableColumn id="6" xr3:uid="{3B459AFE-D11D-436F-A1B2-C9B006EDF64B}" name="Contracted Amount Financed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03B674-164F-4C00-A179-0A7987B9546A}" name="Table_14" displayName="Table_14" ref="A3:E8">
  <tableColumns count="5">
    <tableColumn id="1" xr3:uid="{171114FB-43BA-427F-8C01-6600F6547A54}" name="Account Number"/>
    <tableColumn id="2" xr3:uid="{9730555B-D2B3-444C-B730-7AF3B43A7467}" name="Contract Type"/>
    <tableColumn id="3" xr3:uid="{81153126-1147-400C-A7FE-3D20BF3FF5DE}" name="Applicant Name"/>
    <tableColumn id="4" xr3:uid="{B76132A8-573D-4CFB-B733-FD0562AC1805}" name="Co-Applicant Name"/>
    <tableColumn id="5" xr3:uid="{7A061408-7C2D-40AF-990A-3A23B77ED274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4"/>
  <sheetViews>
    <sheetView tabSelected="1" workbookViewId="0">
      <pane ySplit="3" topLeftCell="A13" activePane="bottomLeft" state="frozen"/>
      <selection pane="bottomLeft" activeCell="A20" sqref="A20"/>
    </sheetView>
  </sheetViews>
  <sheetFormatPr defaultRowHeight="15" x14ac:dyDescent="0.25"/>
  <cols>
    <col min="1" max="1" width="12.85546875" customWidth="1"/>
    <col min="2" max="2" width="12.140625" bestFit="1" customWidth="1"/>
    <col min="3" max="3" width="14" bestFit="1" customWidth="1"/>
    <col min="4" max="4" width="21.7109375" bestFit="1" customWidth="1"/>
    <col min="5" max="5" width="18.140625" customWidth="1"/>
    <col min="6" max="6" width="30.7109375" bestFit="1" customWidth="1"/>
    <col min="7" max="7" width="17.7109375" bestFit="1" customWidth="1"/>
    <col min="8" max="8" width="17.140625" bestFit="1" customWidth="1"/>
    <col min="9" max="9" width="34.42578125" bestFit="1" customWidth="1"/>
    <col min="10" max="10" width="15" bestFit="1" customWidth="1"/>
    <col min="11" max="11" width="9.140625" customWidth="1"/>
  </cols>
  <sheetData>
    <row r="1" spans="1:11" x14ac:dyDescent="0.25">
      <c r="J1" s="4">
        <v>45874</v>
      </c>
    </row>
    <row r="2" spans="1:11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</row>
    <row r="3" spans="1:11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</row>
    <row r="4" spans="1:11" ht="33" customHeight="1" x14ac:dyDescent="0.25">
      <c r="A4" t="s">
        <v>109</v>
      </c>
      <c r="B4" t="s">
        <v>13</v>
      </c>
      <c r="C4" t="s">
        <v>14</v>
      </c>
      <c r="D4" t="s">
        <v>15</v>
      </c>
      <c r="F4" t="s">
        <v>16</v>
      </c>
      <c r="G4" t="s">
        <v>17</v>
      </c>
      <c r="H4" s="2">
        <v>11435.75</v>
      </c>
      <c r="I4" t="s">
        <v>18</v>
      </c>
      <c r="J4" t="s">
        <v>19</v>
      </c>
    </row>
    <row r="5" spans="1:11" ht="33" customHeight="1" x14ac:dyDescent="0.25">
      <c r="A5" t="s">
        <v>110</v>
      </c>
      <c r="B5" t="s">
        <v>20</v>
      </c>
      <c r="C5" t="s">
        <v>14</v>
      </c>
      <c r="D5" t="s">
        <v>21</v>
      </c>
      <c r="F5" t="s">
        <v>22</v>
      </c>
      <c r="G5" t="s">
        <v>17</v>
      </c>
      <c r="H5" s="2">
        <v>30372.75</v>
      </c>
      <c r="I5" t="s">
        <v>23</v>
      </c>
      <c r="J5" t="s">
        <v>24</v>
      </c>
    </row>
    <row r="6" spans="1:11" ht="33" customHeight="1" x14ac:dyDescent="0.25">
      <c r="A6" t="s">
        <v>111</v>
      </c>
      <c r="B6" t="s">
        <v>20</v>
      </c>
      <c r="C6" t="s">
        <v>14</v>
      </c>
      <c r="D6" t="s">
        <v>25</v>
      </c>
      <c r="F6" t="s">
        <v>26</v>
      </c>
      <c r="G6" t="s">
        <v>17</v>
      </c>
      <c r="H6" s="2">
        <v>20425.38</v>
      </c>
      <c r="J6" t="s">
        <v>27</v>
      </c>
    </row>
    <row r="7" spans="1:11" ht="33" customHeight="1" x14ac:dyDescent="0.25">
      <c r="A7" t="s">
        <v>112</v>
      </c>
      <c r="B7" t="s">
        <v>20</v>
      </c>
      <c r="C7" t="s">
        <v>14</v>
      </c>
      <c r="D7" t="s">
        <v>28</v>
      </c>
      <c r="F7" t="s">
        <v>29</v>
      </c>
      <c r="G7" t="s">
        <v>17</v>
      </c>
      <c r="H7" s="2">
        <v>18091.38</v>
      </c>
      <c r="I7" t="s">
        <v>30</v>
      </c>
      <c r="J7" t="s">
        <v>31</v>
      </c>
    </row>
    <row r="8" spans="1:11" ht="33" customHeight="1" x14ac:dyDescent="0.25">
      <c r="A8" t="s">
        <v>113</v>
      </c>
      <c r="B8" t="s">
        <v>20</v>
      </c>
      <c r="C8" t="s">
        <v>14</v>
      </c>
      <c r="D8" t="s">
        <v>32</v>
      </c>
      <c r="F8" t="s">
        <v>33</v>
      </c>
      <c r="G8" t="s">
        <v>17</v>
      </c>
      <c r="H8" s="2">
        <v>14844.5</v>
      </c>
      <c r="I8" t="s">
        <v>34</v>
      </c>
      <c r="J8" t="s">
        <v>35</v>
      </c>
    </row>
    <row r="9" spans="1:11" ht="33" customHeight="1" x14ac:dyDescent="0.25">
      <c r="A9" t="s">
        <v>36</v>
      </c>
      <c r="B9" t="s">
        <v>13</v>
      </c>
      <c r="C9" t="s">
        <v>37</v>
      </c>
      <c r="D9" t="s">
        <v>38</v>
      </c>
      <c r="F9" t="s">
        <v>39</v>
      </c>
      <c r="G9" t="s">
        <v>17</v>
      </c>
      <c r="H9" s="2">
        <v>26279.27</v>
      </c>
      <c r="I9" t="s">
        <v>40</v>
      </c>
      <c r="J9" t="s">
        <v>41</v>
      </c>
    </row>
    <row r="10" spans="1:11" ht="33" customHeight="1" x14ac:dyDescent="0.25">
      <c r="A10" t="s">
        <v>114</v>
      </c>
      <c r="B10" t="s">
        <v>13</v>
      </c>
      <c r="C10" t="s">
        <v>14</v>
      </c>
      <c r="D10" t="s">
        <v>42</v>
      </c>
      <c r="E10" t="s">
        <v>43</v>
      </c>
      <c r="F10" t="s">
        <v>16</v>
      </c>
      <c r="G10" t="s">
        <v>17</v>
      </c>
      <c r="H10" s="2">
        <v>15198.88</v>
      </c>
      <c r="I10" t="s">
        <v>44</v>
      </c>
      <c r="J10" t="s">
        <v>45</v>
      </c>
      <c r="K10" t="s">
        <v>46</v>
      </c>
    </row>
    <row r="11" spans="1:11" ht="33" customHeight="1" x14ac:dyDescent="0.25">
      <c r="A11" t="s">
        <v>115</v>
      </c>
      <c r="B11" t="s">
        <v>13</v>
      </c>
      <c r="C11" t="s">
        <v>14</v>
      </c>
      <c r="D11" t="s">
        <v>47</v>
      </c>
      <c r="F11" t="s">
        <v>48</v>
      </c>
      <c r="G11" t="s">
        <v>17</v>
      </c>
      <c r="H11" s="2">
        <v>43387.38</v>
      </c>
      <c r="I11" t="s">
        <v>49</v>
      </c>
      <c r="J11" t="s">
        <v>50</v>
      </c>
    </row>
    <row r="12" spans="1:11" ht="33" customHeight="1" x14ac:dyDescent="0.25">
      <c r="A12" t="s">
        <v>51</v>
      </c>
      <c r="B12" t="s">
        <v>13</v>
      </c>
      <c r="C12" t="s">
        <v>37</v>
      </c>
      <c r="D12" t="s">
        <v>52</v>
      </c>
      <c r="F12" t="s">
        <v>53</v>
      </c>
      <c r="G12" t="s">
        <v>54</v>
      </c>
      <c r="H12" s="2">
        <v>32809</v>
      </c>
      <c r="I12" t="s">
        <v>55</v>
      </c>
      <c r="J12" t="s">
        <v>56</v>
      </c>
    </row>
    <row r="13" spans="1:11" ht="33" customHeight="1" x14ac:dyDescent="0.25">
      <c r="A13" t="s">
        <v>116</v>
      </c>
      <c r="B13" t="s">
        <v>20</v>
      </c>
      <c r="C13" t="s">
        <v>14</v>
      </c>
      <c r="D13" t="s">
        <v>57</v>
      </c>
      <c r="F13" t="s">
        <v>58</v>
      </c>
      <c r="G13" t="s">
        <v>54</v>
      </c>
      <c r="H13" s="2">
        <v>51872.06</v>
      </c>
      <c r="I13" t="s">
        <v>59</v>
      </c>
      <c r="J13" t="s">
        <v>60</v>
      </c>
    </row>
    <row r="14" spans="1:11" ht="33" customHeight="1" x14ac:dyDescent="0.25">
      <c r="A14" t="s">
        <v>117</v>
      </c>
      <c r="B14" t="s">
        <v>20</v>
      </c>
      <c r="C14" t="s">
        <v>14</v>
      </c>
      <c r="D14" t="s">
        <v>61</v>
      </c>
      <c r="F14" t="s">
        <v>26</v>
      </c>
      <c r="G14" t="s">
        <v>54</v>
      </c>
      <c r="H14" s="2">
        <v>13070.75</v>
      </c>
      <c r="I14" t="s">
        <v>62</v>
      </c>
      <c r="J14" t="s">
        <v>63</v>
      </c>
    </row>
    <row r="15" spans="1:11" ht="33" customHeight="1" x14ac:dyDescent="0.25">
      <c r="A15" t="s">
        <v>118</v>
      </c>
      <c r="B15" t="s">
        <v>20</v>
      </c>
      <c r="C15" t="s">
        <v>14</v>
      </c>
      <c r="D15" t="s">
        <v>64</v>
      </c>
      <c r="F15" t="s">
        <v>29</v>
      </c>
      <c r="G15" t="s">
        <v>54</v>
      </c>
      <c r="H15" s="2">
        <v>9352.6299999999992</v>
      </c>
      <c r="J15" t="s">
        <v>65</v>
      </c>
    </row>
    <row r="16" spans="1:11" ht="33" customHeight="1" x14ac:dyDescent="0.25">
      <c r="A16" t="s">
        <v>119</v>
      </c>
      <c r="B16" t="s">
        <v>20</v>
      </c>
      <c r="C16" t="s">
        <v>14</v>
      </c>
      <c r="D16" t="s">
        <v>66</v>
      </c>
      <c r="F16" t="s">
        <v>67</v>
      </c>
      <c r="G16" t="s">
        <v>54</v>
      </c>
      <c r="H16" s="2">
        <v>31591.43</v>
      </c>
      <c r="J16" t="s">
        <v>68</v>
      </c>
    </row>
    <row r="17" spans="1:11" ht="33" customHeight="1" x14ac:dyDescent="0.25">
      <c r="A17" t="s">
        <v>69</v>
      </c>
      <c r="B17" t="s">
        <v>13</v>
      </c>
      <c r="C17" t="s">
        <v>37</v>
      </c>
      <c r="D17" t="s">
        <v>70</v>
      </c>
      <c r="E17" t="s">
        <v>71</v>
      </c>
      <c r="F17" t="s">
        <v>72</v>
      </c>
      <c r="G17" t="s">
        <v>54</v>
      </c>
      <c r="H17" s="2">
        <v>19558.439999999999</v>
      </c>
      <c r="I17" t="s">
        <v>73</v>
      </c>
      <c r="J17" t="s">
        <v>74</v>
      </c>
      <c r="K17" t="s">
        <v>75</v>
      </c>
    </row>
    <row r="18" spans="1:11" ht="33" customHeight="1" x14ac:dyDescent="0.25">
      <c r="A18" t="s">
        <v>120</v>
      </c>
      <c r="B18" t="s">
        <v>20</v>
      </c>
      <c r="C18" t="s">
        <v>14</v>
      </c>
      <c r="D18" t="s">
        <v>76</v>
      </c>
      <c r="F18" t="s">
        <v>58</v>
      </c>
      <c r="G18" t="s">
        <v>77</v>
      </c>
      <c r="H18" s="2">
        <v>22370.32</v>
      </c>
      <c r="I18" t="s">
        <v>78</v>
      </c>
      <c r="J18" t="s">
        <v>79</v>
      </c>
    </row>
    <row r="19" spans="1:11" ht="33" customHeight="1" x14ac:dyDescent="0.25">
      <c r="A19" t="s">
        <v>121</v>
      </c>
      <c r="B19" t="s">
        <v>20</v>
      </c>
      <c r="C19" t="s">
        <v>14</v>
      </c>
      <c r="D19" t="s">
        <v>80</v>
      </c>
      <c r="F19" t="s">
        <v>81</v>
      </c>
      <c r="G19" t="s">
        <v>77</v>
      </c>
      <c r="H19" s="2">
        <v>19275.259999999998</v>
      </c>
      <c r="I19" t="s">
        <v>82</v>
      </c>
      <c r="J19" t="s">
        <v>83</v>
      </c>
    </row>
    <row r="20" spans="1:11" ht="33" customHeight="1" x14ac:dyDescent="0.25">
      <c r="A20" t="s">
        <v>122</v>
      </c>
      <c r="B20" t="s">
        <v>20</v>
      </c>
      <c r="C20" t="s">
        <v>14</v>
      </c>
      <c r="D20" t="s">
        <v>84</v>
      </c>
      <c r="F20" t="s">
        <v>29</v>
      </c>
      <c r="G20" t="s">
        <v>77</v>
      </c>
      <c r="H20" s="2">
        <v>40971.94</v>
      </c>
      <c r="I20" t="s">
        <v>85</v>
      </c>
      <c r="J20" t="s">
        <v>56</v>
      </c>
    </row>
    <row r="21" spans="1:11" ht="33" customHeight="1" x14ac:dyDescent="0.25">
      <c r="A21" t="s">
        <v>123</v>
      </c>
      <c r="B21" t="s">
        <v>20</v>
      </c>
      <c r="C21" t="s">
        <v>14</v>
      </c>
      <c r="D21" t="s">
        <v>86</v>
      </c>
      <c r="F21" t="s">
        <v>26</v>
      </c>
      <c r="G21" t="s">
        <v>77</v>
      </c>
      <c r="H21" s="2">
        <v>27129.31</v>
      </c>
      <c r="I21" t="s">
        <v>87</v>
      </c>
      <c r="J21" t="s">
        <v>88</v>
      </c>
    </row>
    <row r="22" spans="1:11" ht="33" customHeight="1" x14ac:dyDescent="0.25">
      <c r="A22" t="s">
        <v>124</v>
      </c>
      <c r="B22" t="s">
        <v>13</v>
      </c>
      <c r="C22" t="s">
        <v>14</v>
      </c>
      <c r="D22" t="s">
        <v>89</v>
      </c>
      <c r="F22" t="s">
        <v>90</v>
      </c>
      <c r="G22" t="s">
        <v>17</v>
      </c>
      <c r="H22" s="2">
        <v>37795.01</v>
      </c>
      <c r="I22" t="s">
        <v>91</v>
      </c>
      <c r="J22" t="s">
        <v>92</v>
      </c>
    </row>
    <row r="23" spans="1:11" ht="33" customHeight="1" x14ac:dyDescent="0.25">
      <c r="A23" t="s">
        <v>93</v>
      </c>
      <c r="B23" t="s">
        <v>13</v>
      </c>
      <c r="C23" t="s">
        <v>37</v>
      </c>
      <c r="D23" t="s">
        <v>94</v>
      </c>
      <c r="F23" t="s">
        <v>95</v>
      </c>
      <c r="G23" t="s">
        <v>77</v>
      </c>
      <c r="H23" s="2">
        <v>20132.060000000001</v>
      </c>
      <c r="I23" t="s">
        <v>96</v>
      </c>
      <c r="J23" t="s">
        <v>97</v>
      </c>
    </row>
    <row r="24" spans="1:11" x14ac:dyDescent="0.25">
      <c r="A24" s="1"/>
      <c r="B24" s="1"/>
      <c r="C24" s="1"/>
      <c r="D24" s="1" t="s">
        <v>98</v>
      </c>
      <c r="E24" s="1"/>
      <c r="F24" s="1"/>
      <c r="G24" s="1"/>
      <c r="H24" s="3">
        <f>SUM(H4:H23)</f>
        <v>505963.5</v>
      </c>
      <c r="I24" s="1"/>
      <c r="J24" s="1"/>
      <c r="K24" s="1"/>
    </row>
  </sheetData>
  <mergeCells count="2">
    <mergeCell ref="A2:F2"/>
    <mergeCell ref="G2:K2"/>
  </mergeCells>
  <pageMargins left="0.7" right="0.2" top="0.75" bottom="0.75" header="0.3" footer="0.3"/>
  <pageSetup paperSize="5" scale="78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5814-9E0D-4E4A-AD0C-57A31D077DB6}">
  <sheetPr>
    <pageSetUpPr fitToPage="1"/>
  </sheetPr>
  <dimension ref="A1:H38"/>
  <sheetViews>
    <sheetView workbookViewId="0">
      <selection activeCell="C41" sqref="C41"/>
    </sheetView>
  </sheetViews>
  <sheetFormatPr defaultRowHeight="15.75" x14ac:dyDescent="0.25"/>
  <cols>
    <col min="1" max="1" width="24.28515625" style="8" customWidth="1"/>
    <col min="2" max="2" width="12.42578125" style="8" customWidth="1"/>
    <col min="3" max="3" width="19.140625" style="8" customWidth="1"/>
    <col min="4" max="4" width="15.42578125" style="8" customWidth="1"/>
    <col min="5" max="5" width="22" style="8" customWidth="1"/>
    <col min="6" max="6" width="18.85546875" style="8" customWidth="1"/>
    <col min="7" max="7" width="15.140625" style="8" customWidth="1"/>
    <col min="8" max="8" width="16.28515625" style="8" customWidth="1"/>
    <col min="9" max="16384" width="9.140625" style="8"/>
  </cols>
  <sheetData>
    <row r="1" spans="1:8" x14ac:dyDescent="0.25">
      <c r="E1" s="9"/>
      <c r="H1" s="9">
        <v>45874.999988425923</v>
      </c>
    </row>
    <row r="2" spans="1:8" x14ac:dyDescent="0.25">
      <c r="A2" s="10" t="s">
        <v>0</v>
      </c>
      <c r="B2" s="10"/>
      <c r="C2" s="11"/>
      <c r="D2" s="11"/>
      <c r="E2" s="12" t="s">
        <v>99</v>
      </c>
      <c r="F2" s="11"/>
      <c r="G2" s="11"/>
      <c r="H2" s="11"/>
    </row>
    <row r="3" spans="1:8" x14ac:dyDescent="0.25">
      <c r="A3" s="8" t="s">
        <v>7</v>
      </c>
      <c r="B3" s="8" t="s">
        <v>105</v>
      </c>
      <c r="C3" s="8" t="s">
        <v>8</v>
      </c>
      <c r="D3" s="8" t="s">
        <v>100</v>
      </c>
      <c r="E3" s="8" t="s">
        <v>101</v>
      </c>
      <c r="F3" s="8" t="s">
        <v>102</v>
      </c>
      <c r="G3" s="8" t="s">
        <v>106</v>
      </c>
      <c r="H3" s="8" t="s">
        <v>103</v>
      </c>
    </row>
    <row r="4" spans="1:8" ht="27" customHeight="1" x14ac:dyDescent="0.25">
      <c r="A4" s="8" t="s">
        <v>67</v>
      </c>
      <c r="C4" s="8" t="s">
        <v>54</v>
      </c>
      <c r="D4" s="13">
        <v>850</v>
      </c>
      <c r="E4" s="13">
        <v>0</v>
      </c>
      <c r="F4" s="16">
        <v>31516.43</v>
      </c>
      <c r="G4" s="16"/>
      <c r="H4" s="13">
        <v>31591.43</v>
      </c>
    </row>
    <row r="5" spans="1:8" ht="27" customHeight="1" x14ac:dyDescent="0.25">
      <c r="D5" s="13"/>
      <c r="E5" s="13"/>
      <c r="F5" s="16"/>
      <c r="G5" s="16"/>
      <c r="H5" s="13"/>
    </row>
    <row r="6" spans="1:8" ht="27" customHeight="1" x14ac:dyDescent="0.25">
      <c r="A6" s="8" t="s">
        <v>90</v>
      </c>
      <c r="C6" s="8" t="s">
        <v>17</v>
      </c>
      <c r="D6" s="13">
        <v>950</v>
      </c>
      <c r="E6" s="13">
        <v>0</v>
      </c>
      <c r="F6" s="16">
        <v>37720.01</v>
      </c>
      <c r="G6" s="16"/>
      <c r="H6" s="13">
        <v>37795.01</v>
      </c>
    </row>
    <row r="7" spans="1:8" ht="27" customHeight="1" x14ac:dyDescent="0.25">
      <c r="D7" s="13"/>
      <c r="E7" s="13"/>
      <c r="F7" s="16"/>
      <c r="G7" s="16"/>
      <c r="H7" s="13"/>
    </row>
    <row r="8" spans="1:8" ht="27" customHeight="1" x14ac:dyDescent="0.25">
      <c r="A8" s="8" t="s">
        <v>53</v>
      </c>
      <c r="C8" s="8" t="s">
        <v>54</v>
      </c>
      <c r="D8" s="13">
        <v>850</v>
      </c>
      <c r="E8" s="13">
        <v>0</v>
      </c>
      <c r="F8" s="16">
        <v>32734</v>
      </c>
      <c r="G8" s="16"/>
      <c r="H8" s="13">
        <v>32809</v>
      </c>
    </row>
    <row r="9" spans="1:8" ht="27" customHeight="1" x14ac:dyDescent="0.25">
      <c r="D9" s="13"/>
      <c r="E9" s="13"/>
      <c r="F9" s="16"/>
      <c r="G9" s="16"/>
      <c r="H9" s="13"/>
    </row>
    <row r="10" spans="1:8" ht="27" customHeight="1" x14ac:dyDescent="0.25">
      <c r="A10" s="8" t="s">
        <v>33</v>
      </c>
      <c r="C10" s="8" t="s">
        <v>17</v>
      </c>
      <c r="D10" s="13">
        <v>300</v>
      </c>
      <c r="E10" s="13">
        <v>0</v>
      </c>
      <c r="F10" s="16">
        <v>14769.5</v>
      </c>
      <c r="G10" s="16"/>
      <c r="H10" s="13">
        <v>14844.5</v>
      </c>
    </row>
    <row r="11" spans="1:8" ht="27" customHeight="1" x14ac:dyDescent="0.25">
      <c r="D11" s="13"/>
      <c r="E11" s="13"/>
      <c r="F11" s="13"/>
      <c r="G11" s="16"/>
      <c r="H11" s="13"/>
    </row>
    <row r="12" spans="1:8" ht="27" customHeight="1" x14ac:dyDescent="0.25">
      <c r="A12" s="8" t="s">
        <v>26</v>
      </c>
      <c r="C12" s="8" t="s">
        <v>17</v>
      </c>
      <c r="D12" s="13">
        <v>650</v>
      </c>
      <c r="E12" s="13">
        <v>0</v>
      </c>
      <c r="F12" s="13">
        <v>20350.38</v>
      </c>
      <c r="G12" s="16"/>
      <c r="H12" s="13">
        <v>20425.38</v>
      </c>
    </row>
    <row r="13" spans="1:8" ht="27" customHeight="1" x14ac:dyDescent="0.25">
      <c r="A13" s="8" t="s">
        <v>26</v>
      </c>
      <c r="C13" s="8" t="s">
        <v>77</v>
      </c>
      <c r="D13" s="13">
        <v>750</v>
      </c>
      <c r="E13" s="13">
        <v>0</v>
      </c>
      <c r="F13" s="13">
        <v>27054.31</v>
      </c>
      <c r="G13" s="16"/>
      <c r="H13" s="13">
        <v>27129.31</v>
      </c>
    </row>
    <row r="14" spans="1:8" ht="27" customHeight="1" x14ac:dyDescent="0.25">
      <c r="A14" s="8" t="s">
        <v>26</v>
      </c>
      <c r="C14" s="8" t="s">
        <v>54</v>
      </c>
      <c r="D14" s="13">
        <v>300</v>
      </c>
      <c r="E14" s="13">
        <v>0</v>
      </c>
      <c r="F14" s="13">
        <v>12995.75</v>
      </c>
      <c r="G14" s="16">
        <f>SUM(F12:F14)</f>
        <v>60400.44</v>
      </c>
      <c r="H14" s="13">
        <v>13070.75</v>
      </c>
    </row>
    <row r="15" spans="1:8" ht="27" customHeight="1" x14ac:dyDescent="0.25">
      <c r="D15" s="13"/>
      <c r="E15" s="13"/>
      <c r="F15" s="13"/>
      <c r="G15" s="16"/>
      <c r="H15" s="13"/>
    </row>
    <row r="16" spans="1:8" ht="27" customHeight="1" x14ac:dyDescent="0.25">
      <c r="A16" s="8" t="s">
        <v>107</v>
      </c>
      <c r="C16" s="8" t="s">
        <v>17</v>
      </c>
      <c r="D16" s="13">
        <v>500</v>
      </c>
      <c r="E16" s="13">
        <v>0</v>
      </c>
      <c r="F16" s="13">
        <v>18016.38</v>
      </c>
      <c r="G16" s="16"/>
      <c r="H16" s="13">
        <v>18091.38</v>
      </c>
    </row>
    <row r="17" spans="1:8" ht="27" customHeight="1" x14ac:dyDescent="0.25">
      <c r="A17" s="8" t="s">
        <v>107</v>
      </c>
      <c r="C17" s="8" t="s">
        <v>77</v>
      </c>
      <c r="D17" s="13">
        <v>1050</v>
      </c>
      <c r="E17" s="13">
        <v>0</v>
      </c>
      <c r="F17" s="13">
        <v>40896.94</v>
      </c>
      <c r="G17" s="16"/>
      <c r="H17" s="13">
        <v>40971.94</v>
      </c>
    </row>
    <row r="18" spans="1:8" ht="27" customHeight="1" x14ac:dyDescent="0.25">
      <c r="A18" s="8" t="s">
        <v>107</v>
      </c>
      <c r="C18" s="8" t="s">
        <v>54</v>
      </c>
      <c r="D18" s="13">
        <v>150</v>
      </c>
      <c r="E18" s="13">
        <v>0</v>
      </c>
      <c r="F18" s="13">
        <v>9277.6299999999992</v>
      </c>
      <c r="G18" s="16">
        <f>SUM(F16:F18)</f>
        <v>68190.950000000012</v>
      </c>
      <c r="H18" s="13">
        <v>9352.6299999999992</v>
      </c>
    </row>
    <row r="19" spans="1:8" ht="27" customHeight="1" x14ac:dyDescent="0.25">
      <c r="D19" s="13"/>
      <c r="E19" s="13"/>
      <c r="F19" s="13"/>
      <c r="G19" s="16"/>
      <c r="H19" s="13"/>
    </row>
    <row r="20" spans="1:8" ht="27" customHeight="1" x14ac:dyDescent="0.25">
      <c r="A20" s="8" t="s">
        <v>16</v>
      </c>
      <c r="C20" s="8" t="s">
        <v>17</v>
      </c>
      <c r="D20" s="13">
        <v>500</v>
      </c>
      <c r="E20" s="13">
        <v>0</v>
      </c>
      <c r="F20" s="13">
        <v>15123.88</v>
      </c>
      <c r="G20" s="16"/>
      <c r="H20" s="13">
        <v>15198.88</v>
      </c>
    </row>
    <row r="21" spans="1:8" ht="27" customHeight="1" x14ac:dyDescent="0.25">
      <c r="A21" s="8" t="s">
        <v>16</v>
      </c>
      <c r="C21" s="8" t="s">
        <v>17</v>
      </c>
      <c r="D21" s="13">
        <v>300</v>
      </c>
      <c r="E21" s="13">
        <v>0</v>
      </c>
      <c r="F21" s="13">
        <v>11360.75</v>
      </c>
      <c r="G21" s="16">
        <f>SUM(F20:F21)</f>
        <v>26484.629999999997</v>
      </c>
      <c r="H21" s="13">
        <v>11435.75</v>
      </c>
    </row>
    <row r="22" spans="1:8" ht="27" customHeight="1" x14ac:dyDescent="0.25">
      <c r="D22" s="13"/>
      <c r="E22" s="13"/>
      <c r="F22" s="13"/>
      <c r="G22" s="16"/>
      <c r="H22" s="13"/>
    </row>
    <row r="23" spans="1:8" ht="27" customHeight="1" x14ac:dyDescent="0.25">
      <c r="A23" s="8" t="s">
        <v>48</v>
      </c>
      <c r="C23" s="8" t="s">
        <v>17</v>
      </c>
      <c r="D23" s="13">
        <v>1050</v>
      </c>
      <c r="E23" s="13">
        <v>0</v>
      </c>
      <c r="F23" s="16">
        <v>43312.38</v>
      </c>
      <c r="G23" s="16"/>
      <c r="H23" s="13">
        <v>43387.38</v>
      </c>
    </row>
    <row r="24" spans="1:8" ht="27" customHeight="1" x14ac:dyDescent="0.25">
      <c r="D24" s="13"/>
      <c r="E24" s="13"/>
      <c r="F24" s="16"/>
      <c r="G24" s="16"/>
      <c r="H24" s="13"/>
    </row>
    <row r="25" spans="1:8" ht="27" customHeight="1" x14ac:dyDescent="0.25">
      <c r="A25" s="8" t="s">
        <v>72</v>
      </c>
      <c r="C25" s="8" t="s">
        <v>54</v>
      </c>
      <c r="D25" s="13">
        <v>500</v>
      </c>
      <c r="E25" s="13">
        <v>0</v>
      </c>
      <c r="F25" s="16">
        <v>19483.439999999999</v>
      </c>
      <c r="G25" s="16"/>
      <c r="H25" s="13">
        <v>19558.439999999999</v>
      </c>
    </row>
    <row r="26" spans="1:8" ht="27" customHeight="1" x14ac:dyDescent="0.25">
      <c r="D26" s="13"/>
      <c r="E26" s="13"/>
      <c r="F26" s="16"/>
      <c r="G26" s="16"/>
      <c r="H26" s="13"/>
    </row>
    <row r="27" spans="1:8" ht="27" customHeight="1" x14ac:dyDescent="0.25">
      <c r="A27" s="8" t="s">
        <v>95</v>
      </c>
      <c r="C27" s="8" t="s">
        <v>77</v>
      </c>
      <c r="D27" s="13">
        <v>650</v>
      </c>
      <c r="E27" s="13">
        <v>0</v>
      </c>
      <c r="F27" s="16">
        <v>20057.060000000001</v>
      </c>
      <c r="G27" s="16"/>
      <c r="H27" s="13">
        <v>20132.060000000001</v>
      </c>
    </row>
    <row r="28" spans="1:8" ht="27" customHeight="1" x14ac:dyDescent="0.25">
      <c r="D28" s="13"/>
      <c r="E28" s="13"/>
      <c r="F28" s="13"/>
      <c r="G28" s="16"/>
      <c r="H28" s="13"/>
    </row>
    <row r="29" spans="1:8" ht="27" customHeight="1" x14ac:dyDescent="0.25">
      <c r="A29" s="8" t="s">
        <v>58</v>
      </c>
      <c r="C29" s="8" t="s">
        <v>77</v>
      </c>
      <c r="D29" s="13">
        <v>650</v>
      </c>
      <c r="E29" s="13">
        <v>0</v>
      </c>
      <c r="F29" s="13">
        <v>22295.32</v>
      </c>
      <c r="G29" s="16"/>
      <c r="H29" s="13">
        <v>22370.32</v>
      </c>
    </row>
    <row r="30" spans="1:8" ht="27" customHeight="1" x14ac:dyDescent="0.25">
      <c r="A30" s="8" t="s">
        <v>58</v>
      </c>
      <c r="C30" s="8" t="s">
        <v>54</v>
      </c>
      <c r="D30" s="13">
        <v>1350</v>
      </c>
      <c r="E30" s="13">
        <v>0</v>
      </c>
      <c r="F30" s="13">
        <v>51797.06</v>
      </c>
      <c r="G30" s="16">
        <f>SUM(F29:F30)</f>
        <v>74092.38</v>
      </c>
      <c r="H30" s="13">
        <v>51872.06</v>
      </c>
    </row>
    <row r="31" spans="1:8" ht="27" customHeight="1" x14ac:dyDescent="0.25">
      <c r="D31" s="13"/>
      <c r="E31" s="13"/>
      <c r="F31" s="13"/>
      <c r="G31" s="16"/>
      <c r="H31" s="13"/>
    </row>
    <row r="32" spans="1:8" ht="27" customHeight="1" x14ac:dyDescent="0.25">
      <c r="A32" s="8" t="s">
        <v>81</v>
      </c>
      <c r="C32" s="8" t="s">
        <v>77</v>
      </c>
      <c r="D32" s="13">
        <v>500</v>
      </c>
      <c r="E32" s="13">
        <v>0</v>
      </c>
      <c r="F32" s="16">
        <v>19200.259999999998</v>
      </c>
      <c r="G32" s="16"/>
      <c r="H32" s="13">
        <v>19275.259999999998</v>
      </c>
    </row>
    <row r="33" spans="1:8" ht="27" customHeight="1" x14ac:dyDescent="0.25">
      <c r="D33" s="13"/>
      <c r="E33" s="13"/>
      <c r="F33" s="16"/>
      <c r="G33" s="16"/>
      <c r="H33" s="13"/>
    </row>
    <row r="34" spans="1:8" ht="27" customHeight="1" x14ac:dyDescent="0.25">
      <c r="A34" s="8" t="s">
        <v>39</v>
      </c>
      <c r="C34" s="8" t="s">
        <v>17</v>
      </c>
      <c r="D34" s="13">
        <v>750</v>
      </c>
      <c r="E34" s="13">
        <v>0</v>
      </c>
      <c r="F34" s="16">
        <v>26204.27</v>
      </c>
      <c r="G34" s="16"/>
      <c r="H34" s="13">
        <v>26279.27</v>
      </c>
    </row>
    <row r="35" spans="1:8" ht="27" customHeight="1" x14ac:dyDescent="0.25">
      <c r="D35" s="13"/>
      <c r="E35" s="13"/>
      <c r="F35" s="16"/>
      <c r="G35" s="16"/>
      <c r="H35" s="13"/>
    </row>
    <row r="36" spans="1:8" ht="27" customHeight="1" x14ac:dyDescent="0.25">
      <c r="A36" s="8" t="s">
        <v>22</v>
      </c>
      <c r="C36" s="8" t="s">
        <v>17</v>
      </c>
      <c r="D36" s="13">
        <v>850</v>
      </c>
      <c r="E36" s="13">
        <v>0</v>
      </c>
      <c r="F36" s="16">
        <v>30297.75</v>
      </c>
      <c r="G36" s="16"/>
      <c r="H36" s="13">
        <v>30372.75</v>
      </c>
    </row>
    <row r="37" spans="1:8" ht="20.25" customHeight="1" x14ac:dyDescent="0.25">
      <c r="D37" s="13"/>
      <c r="E37" s="13"/>
      <c r="F37" s="13"/>
      <c r="G37" s="16"/>
      <c r="H37" s="13"/>
    </row>
    <row r="38" spans="1:8" x14ac:dyDescent="0.25">
      <c r="A38" s="14"/>
      <c r="B38" s="14"/>
      <c r="C38" s="14"/>
      <c r="D38" s="15">
        <f>SUM(D4:D36)</f>
        <v>13450</v>
      </c>
      <c r="E38" s="15">
        <f>SUM(E4:E36)</f>
        <v>0</v>
      </c>
      <c r="F38" s="15">
        <f>SUM(F4:F36)</f>
        <v>504463.50000000006</v>
      </c>
      <c r="G38" s="15"/>
      <c r="H38" s="15">
        <f>SUM(H4:H36)</f>
        <v>505963.50000000006</v>
      </c>
    </row>
  </sheetData>
  <mergeCells count="2">
    <mergeCell ref="A2:D2"/>
    <mergeCell ref="E2:H2"/>
  </mergeCells>
  <pageMargins left="0.7" right="0.2" top="0.75" bottom="0.75" header="0.3" footer="0.3"/>
  <pageSetup scale="79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72DB-9029-4302-B51B-E1E82C19A957}">
  <dimension ref="A1:E21"/>
  <sheetViews>
    <sheetView workbookViewId="0">
      <selection activeCell="L12" sqref="L12"/>
    </sheetView>
  </sheetViews>
  <sheetFormatPr defaultRowHeight="15" x14ac:dyDescent="0.25"/>
  <cols>
    <col min="1" max="1" width="13.5703125" customWidth="1"/>
    <col min="2" max="2" width="9.7109375" customWidth="1"/>
    <col min="3" max="3" width="17.85546875" customWidth="1"/>
    <col min="4" max="4" width="18.5703125" customWidth="1"/>
    <col min="5" max="5" width="23.7109375" customWidth="1"/>
  </cols>
  <sheetData>
    <row r="1" spans="1:5" x14ac:dyDescent="0.25">
      <c r="A1" t="s">
        <v>125</v>
      </c>
      <c r="D1" s="4"/>
      <c r="E1" s="4">
        <v>45874</v>
      </c>
    </row>
    <row r="2" spans="1:5" x14ac:dyDescent="0.25">
      <c r="A2" s="5" t="s">
        <v>0</v>
      </c>
      <c r="B2" s="6"/>
      <c r="C2" s="6"/>
      <c r="D2" s="7" t="s">
        <v>104</v>
      </c>
      <c r="E2" s="6"/>
    </row>
    <row r="3" spans="1:5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36</v>
      </c>
      <c r="B4" t="s">
        <v>37</v>
      </c>
      <c r="C4" t="s">
        <v>38</v>
      </c>
      <c r="E4" t="s">
        <v>39</v>
      </c>
    </row>
    <row r="5" spans="1:5" ht="24.95" customHeight="1" x14ac:dyDescent="0.25">
      <c r="A5" t="s">
        <v>51</v>
      </c>
      <c r="B5" t="s">
        <v>37</v>
      </c>
      <c r="C5" t="s">
        <v>52</v>
      </c>
      <c r="E5" t="s">
        <v>53</v>
      </c>
    </row>
    <row r="6" spans="1:5" ht="24.95" customHeight="1" x14ac:dyDescent="0.25">
      <c r="A6" t="s">
        <v>69</v>
      </c>
      <c r="B6" t="s">
        <v>37</v>
      </c>
      <c r="C6" t="s">
        <v>70</v>
      </c>
      <c r="D6" t="s">
        <v>71</v>
      </c>
      <c r="E6" t="s">
        <v>72</v>
      </c>
    </row>
    <row r="7" spans="1:5" ht="24.95" customHeight="1" x14ac:dyDescent="0.25">
      <c r="A7" t="s">
        <v>93</v>
      </c>
      <c r="B7" t="s">
        <v>37</v>
      </c>
      <c r="C7" t="s">
        <v>94</v>
      </c>
      <c r="E7" t="s">
        <v>95</v>
      </c>
    </row>
    <row r="8" spans="1:5" x14ac:dyDescent="0.25">
      <c r="A8" s="1"/>
      <c r="B8" s="1"/>
      <c r="C8" s="1" t="s">
        <v>108</v>
      </c>
      <c r="D8" s="1"/>
      <c r="E8" s="1"/>
    </row>
    <row r="14" spans="1:5" x14ac:dyDescent="0.25">
      <c r="A14" t="s">
        <v>126</v>
      </c>
      <c r="B14" s="17"/>
      <c r="C14" s="17"/>
      <c r="D14" s="17"/>
    </row>
    <row r="18" spans="1:4" x14ac:dyDescent="0.25">
      <c r="A18" t="s">
        <v>127</v>
      </c>
      <c r="B18" s="17"/>
      <c r="C18" s="17"/>
      <c r="D18" s="17"/>
    </row>
    <row r="21" spans="1:4" x14ac:dyDescent="0.25">
      <c r="A21" t="s">
        <v>128</v>
      </c>
      <c r="B21" s="17"/>
      <c r="C21" s="17"/>
    </row>
  </sheetData>
  <mergeCells count="2">
    <mergeCell ref="A2:C2"/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2025-08-05T19:19:59Z</cp:lastPrinted>
  <dcterms:created xsi:type="dcterms:W3CDTF">2025-08-05T18:38:04Z</dcterms:created>
  <dcterms:modified xsi:type="dcterms:W3CDTF">2025-08-05T19:20:15Z</dcterms:modified>
</cp:coreProperties>
</file>