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35A8DCF0-CE29-43D5-A477-D7558BE47C2E}" xr6:coauthVersionLast="47" xr6:coauthVersionMax="47" xr10:uidLastSave="{00000000-0000-0000-0000-000000000000}"/>
  <bookViews>
    <workbookView xWindow="31140" yWindow="2295" windowWidth="20355" windowHeight="1308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H19" i="2" l="1"/>
  <c r="F19" i="2"/>
  <c r="E19" i="2"/>
  <c r="D19" i="2"/>
  <c r="H13" i="1" l="1"/>
</calcChain>
</file>

<file path=xl/sharedStrings.xml><?xml version="1.0" encoding="utf-8"?>
<sst xmlns="http://schemas.openxmlformats.org/spreadsheetml/2006/main" count="126" uniqueCount="76">
  <si>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</si>
  <si>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</si>
  <si>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</si>
  <si>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</si>
  <si>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</si>
  <si>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</si>
  <si>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</si>
  <si>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</si>
  <si>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</si>
  <si>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</si>
  <si>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</si>
  <si>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</si>
  <si>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</si>
  <si>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</si>
  <si>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151141274</t>
  </si>
  <si>
    <t>DealerTrack</t>
  </si>
  <si>
    <t>Paper</t>
  </si>
  <si>
    <t>BANKS, GREGORY</t>
  </si>
  <si>
    <t>NARSA AMC LLC d/b/a</t>
  </si>
  <si>
    <t>Marlene Braganca</t>
  </si>
  <si>
    <t>banks.gregory@gmail.com</t>
  </si>
  <si>
    <t>Folkerts</t>
  </si>
  <si>
    <t>Route One</t>
  </si>
  <si>
    <t>E Contract</t>
  </si>
  <si>
    <t>FARLEY, CHRISTOPHER</t>
  </si>
  <si>
    <t>Wareham Ford</t>
  </si>
  <si>
    <t>Neli Oliveira</t>
  </si>
  <si>
    <t>hitdogg7@gmail.com</t>
  </si>
  <si>
    <t>EATON</t>
  </si>
  <si>
    <t>DEENEY, CAMDEN</t>
  </si>
  <si>
    <t>Lucchettis Service Center Inc</t>
  </si>
  <si>
    <t>CDD564@GMAIL.COM</t>
  </si>
  <si>
    <t>PLOURDE</t>
  </si>
  <si>
    <t>GOMES, EUNICE</t>
  </si>
  <si>
    <t>Herb Chambers Cadillac Inc</t>
  </si>
  <si>
    <t>Rachel Gorham</t>
  </si>
  <si>
    <t>MADALENA</t>
  </si>
  <si>
    <t>BATCHELDER, GREGORY</t>
  </si>
  <si>
    <t>New England Automax Inc (marlborough)</t>
  </si>
  <si>
    <t>DICHARD</t>
  </si>
  <si>
    <t>151141480</t>
  </si>
  <si>
    <t>DOWLING, MATTHEW</t>
  </si>
  <si>
    <t>matderesser@gmail.com</t>
  </si>
  <si>
    <t>CORRIGAN</t>
  </si>
  <si>
    <t>OLIVEIRA, JOSE</t>
  </si>
  <si>
    <t>Colonial Ford Inc</t>
  </si>
  <si>
    <t>JOSEOLIVEIRA7@COMCAST.NET</t>
  </si>
  <si>
    <t>DA COSTA</t>
  </si>
  <si>
    <t>CABRAL, TARYN</t>
  </si>
  <si>
    <t>CABRAL, JONATHAN</t>
  </si>
  <si>
    <t>Infiniti of Norwood</t>
  </si>
  <si>
    <t>TARYNC1984@GMAIL.COM</t>
  </si>
  <si>
    <t>JONCABRAL68@GMAIL.COM</t>
  </si>
  <si>
    <t>DE MASI</t>
  </si>
  <si>
    <t>BELANGER</t>
  </si>
  <si>
    <t># 8</t>
  </si>
  <si>
    <t>Funding Worksheet - ACH Version</t>
  </si>
  <si>
    <t>Column2</t>
  </si>
  <si>
    <t>Dealer Flat</t>
  </si>
  <si>
    <t>Dealer Split</t>
  </si>
  <si>
    <t>Net to Dealer</t>
  </si>
  <si>
    <t>Column1</t>
  </si>
  <si>
    <t>Contracted Amount Financed</t>
  </si>
  <si>
    <t>Auto mall-NARSA AMC LLC d/b/a</t>
  </si>
  <si>
    <t>151141307 E</t>
  </si>
  <si>
    <t>151141315 E</t>
  </si>
  <si>
    <t>151141323 E</t>
  </si>
  <si>
    <t>151141399 E</t>
  </si>
  <si>
    <t>151141498 E</t>
  </si>
  <si>
    <t>151141505 E</t>
  </si>
  <si>
    <t>Funding Worksheet - Signoff Version</t>
  </si>
  <si>
    <t># 2</t>
  </si>
  <si>
    <t>Original Notes Delivered</t>
  </si>
  <si>
    <t>Delivered by:</t>
  </si>
  <si>
    <t>Received by:</t>
  </si>
  <si>
    <t>Date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</si>
</sst>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[$-409]mmmm\ d\,\ yyyy;@"/>
    <numFmt numFmtId="167" formatCode="[$-F800]dddd\,\ mmmm\ dd\,\ yyyy"/>
  </numFmts>
  <fonts count="6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7" fontId="3" fillId="0" borderId="0" xfId="0" applyNumberFormat="1" applyFont="1"/>
    <xf numFmtId="7" fontId="5" fillId="0" borderId="0" xfId="0" applyNumberFormat="1" applyFont="1"/>
    <xf numFmtId="0" fontId="4" fillId="0" borderId="0" xfId="0" applyFont="1"/>
    <xf numFmtId="7" fontId="4" fillId="0" borderId="0" xfId="0" applyNumberFormat="1" applyFont="1"/>
    <xf numFmtId="164" fontId="5" fillId="0" borderId="0" xfId="0" applyNumberFormat="1" applyFont="1" applyAlignment="1">
      <alignment horizontal="right"/>
    </xf>
    <xf numFmtId="0" fontId="5" fillId="0" borderId="0" xfId="0" applyFont="1" applyAlignment="1"/>
    <xf numFmtId="14" fontId="5" fillId="0" borderId="0" xfId="0" applyNumberFormat="1" applyFont="1" applyAlignment="1">
      <alignment horizontal="left"/>
    </xf>
    <xf numFmtId="167" fontId="2" fillId="0" borderId="0" xfId="0" applyNumberFormat="1" applyFont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3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C536F6-9A5A-45F5-A073-660209F9BE0A}" name="Table_14" displayName="Table_14" ref="A3:H19" headerRowDxfId="17" dataDxfId="15" totalsRowDxfId="16">
  <sortState xmlns:xlrd2="http://schemas.microsoft.com/office/spreadsheetml/2017/richdata2" ref="A4:H19">
    <sortCondition ref="A4:A19"/>
  </sortState>
  <tableColumns count="8">
    <tableColumn id="1" xr3:uid="{89BFB415-C6C0-4450-8409-0668EF66647D}" name="Dealer Name" dataDxfId="25"/>
    <tableColumn id="8" xr3:uid="{2A309CEF-5E75-4377-A663-706E11F38BEC}" name="Column2" dataDxfId="24"/>
    <tableColumn id="2" xr3:uid="{ED291657-CE92-454E-B538-9135F433D277}" name="Funded by" dataDxfId="23"/>
    <tableColumn id="3" xr3:uid="{A9B17D8F-CA73-46ED-9F4F-D9BCE7D3B303}" name="Dealer Flat" dataDxfId="22"/>
    <tableColumn id="4" xr3:uid="{744EC919-9D96-477F-8444-3C3927CA6C4A}" name="Dealer Split" dataDxfId="21"/>
    <tableColumn id="5" xr3:uid="{8C036138-A500-4D04-9FCC-68FE92E9A792}" name="Net to Dealer" dataDxfId="20"/>
    <tableColumn id="7" xr3:uid="{4F15323C-7864-4440-A6FC-A8A9FF44E893}" name="Column1" dataDxfId="19"/>
    <tableColumn id="6" xr3:uid="{979E2EF8-FD63-4632-99C2-C9524C1324D6}" name="Contracted Amount Financed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285C00-0D3E-4836-BFBF-DD965567ADC5}" name="Table_16" displayName="Table_16" ref="A3:E6">
  <tableColumns count="5">
    <tableColumn id="1" xr3:uid="{BF7380A7-6610-4880-B51D-A1E4AF8E9DB1}" name="Account Number"/>
    <tableColumn id="2" xr3:uid="{818C1522-46C3-43EC-B3C2-3FED740C849A}" name="Contract Type"/>
    <tableColumn id="3" xr3:uid="{28BE0CF9-334D-4D06-849F-C8B5C83670FD}" name="Applicant Name"/>
    <tableColumn id="4" xr3:uid="{9B68E7A1-3412-4C76-A892-7D922F9C23AA}" name="Co-Applicant Name"/>
    <tableColumn id="5" xr3:uid="{D968A7B2-81DF-4D75-9FD5-775B1E37F91F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"/>
  <sheetViews>
    <sheetView tabSelected="1" workbookViewId="0">
      <pane ySplit="3" topLeftCell="A4" activePane="bottomLeft" state="frozen"/>
      <selection pane="bottomLeft" activeCell="E17" sqref="E17"/>
    </sheetView>
  </sheetViews>
  <sheetFormatPr defaultRowHeight="15.75" x14ac:dyDescent="0.25"/>
  <cols>
    <col min="1" max="1" width="12.5703125" style="6" customWidth="1"/>
    <col min="2" max="2" width="12.140625" style="6" bestFit="1" customWidth="1"/>
    <col min="3" max="3" width="11.140625" style="6" customWidth="1"/>
    <col min="4" max="4" width="20.85546875" style="6" customWidth="1"/>
    <col min="5" max="5" width="19.28515625" style="6" bestFit="1" customWidth="1"/>
    <col min="6" max="6" width="27.7109375" style="6" customWidth="1"/>
    <col min="7" max="7" width="17.7109375" style="6" bestFit="1" customWidth="1"/>
    <col min="8" max="8" width="17.140625" style="6" bestFit="1" customWidth="1"/>
    <col min="9" max="9" width="27" style="6" customWidth="1"/>
    <col min="10" max="10" width="26.5703125" style="6" bestFit="1" customWidth="1"/>
    <col min="11" max="11" width="11.28515625" style="6" customWidth="1"/>
    <col min="12" max="12" width="12.85546875" style="6" bestFit="1" customWidth="1"/>
    <col min="13" max="16384" width="9.140625" style="6"/>
  </cols>
  <sheetData>
    <row r="1" spans="1:12" x14ac:dyDescent="0.25">
      <c r="A1" s="17">
        <v>45680</v>
      </c>
      <c r="K1" s="15">
        <v>45680</v>
      </c>
      <c r="L1" s="16"/>
    </row>
    <row r="2" spans="1:12" x14ac:dyDescent="0.25">
      <c r="A2" s="8" t="s">
        <v>0</v>
      </c>
      <c r="B2" s="9"/>
      <c r="C2" s="9"/>
      <c r="D2" s="9"/>
      <c r="E2" s="9"/>
      <c r="F2" s="9"/>
      <c r="G2" s="10" t="s">
        <v>1</v>
      </c>
      <c r="H2" s="9"/>
      <c r="I2" s="9"/>
      <c r="J2" s="9"/>
      <c r="K2" s="9"/>
      <c r="L2" s="9"/>
    </row>
    <row r="3" spans="1:12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</row>
    <row r="4" spans="1:12" ht="30" customHeight="1" x14ac:dyDescent="0.25">
      <c r="A4" s="6" t="s">
        <v>14</v>
      </c>
      <c r="B4" s="6" t="s">
        <v>15</v>
      </c>
      <c r="C4" s="6" t="s">
        <v>16</v>
      </c>
      <c r="D4" s="6" t="s">
        <v>17</v>
      </c>
      <c r="F4" s="6" t="s">
        <v>18</v>
      </c>
      <c r="G4" s="6" t="s">
        <v>19</v>
      </c>
      <c r="H4" s="11">
        <v>11469.69</v>
      </c>
      <c r="I4" s="6" t="s">
        <v>20</v>
      </c>
      <c r="K4" s="6" t="s">
        <v>21</v>
      </c>
    </row>
    <row r="5" spans="1:12" ht="30" customHeight="1" x14ac:dyDescent="0.25">
      <c r="A5" s="6" t="s">
        <v>64</v>
      </c>
      <c r="B5" s="6" t="s">
        <v>22</v>
      </c>
      <c r="C5" s="6" t="s">
        <v>23</v>
      </c>
      <c r="D5" s="6" t="s">
        <v>24</v>
      </c>
      <c r="F5" s="6" t="s">
        <v>25</v>
      </c>
      <c r="G5" s="6" t="s">
        <v>26</v>
      </c>
      <c r="H5" s="11">
        <v>25001</v>
      </c>
      <c r="I5" s="6" t="s">
        <v>27</v>
      </c>
      <c r="K5" s="6" t="s">
        <v>28</v>
      </c>
    </row>
    <row r="6" spans="1:12" ht="30" customHeight="1" x14ac:dyDescent="0.25">
      <c r="A6" s="6" t="s">
        <v>65</v>
      </c>
      <c r="B6" s="6" t="s">
        <v>22</v>
      </c>
      <c r="C6" s="6" t="s">
        <v>23</v>
      </c>
      <c r="D6" s="6" t="s">
        <v>29</v>
      </c>
      <c r="F6" s="6" t="s">
        <v>30</v>
      </c>
      <c r="G6" s="6" t="s">
        <v>26</v>
      </c>
      <c r="H6" s="11">
        <v>24910.31</v>
      </c>
      <c r="I6" s="6" t="s">
        <v>31</v>
      </c>
      <c r="K6" s="6" t="s">
        <v>32</v>
      </c>
    </row>
    <row r="7" spans="1:12" ht="30" customHeight="1" x14ac:dyDescent="0.25">
      <c r="A7" s="6" t="s">
        <v>66</v>
      </c>
      <c r="B7" s="6" t="s">
        <v>22</v>
      </c>
      <c r="C7" s="6" t="s">
        <v>23</v>
      </c>
      <c r="D7" s="6" t="s">
        <v>33</v>
      </c>
      <c r="F7" s="6" t="s">
        <v>34</v>
      </c>
      <c r="G7" s="6" t="s">
        <v>35</v>
      </c>
      <c r="H7" s="11">
        <v>34040.26</v>
      </c>
      <c r="K7" s="6" t="s">
        <v>36</v>
      </c>
    </row>
    <row r="8" spans="1:12" ht="30" customHeight="1" x14ac:dyDescent="0.25">
      <c r="A8" s="6" t="s">
        <v>67</v>
      </c>
      <c r="B8" s="6" t="s">
        <v>15</v>
      </c>
      <c r="C8" s="6" t="s">
        <v>23</v>
      </c>
      <c r="D8" s="6" t="s">
        <v>37</v>
      </c>
      <c r="F8" s="6" t="s">
        <v>38</v>
      </c>
      <c r="G8" s="6" t="s">
        <v>26</v>
      </c>
      <c r="H8" s="11">
        <v>10172.94</v>
      </c>
      <c r="K8" s="6" t="s">
        <v>39</v>
      </c>
    </row>
    <row r="9" spans="1:12" ht="30" customHeight="1" x14ac:dyDescent="0.25">
      <c r="A9" s="6" t="s">
        <v>40</v>
      </c>
      <c r="B9" s="6" t="s">
        <v>22</v>
      </c>
      <c r="C9" s="6" t="s">
        <v>16</v>
      </c>
      <c r="D9" s="6" t="s">
        <v>41</v>
      </c>
      <c r="F9" s="6" t="s">
        <v>30</v>
      </c>
      <c r="G9" s="6" t="s">
        <v>35</v>
      </c>
      <c r="H9" s="11">
        <v>30317.69</v>
      </c>
      <c r="I9" s="6" t="s">
        <v>42</v>
      </c>
      <c r="K9" s="6" t="s">
        <v>43</v>
      </c>
    </row>
    <row r="10" spans="1:12" ht="30" customHeight="1" x14ac:dyDescent="0.25">
      <c r="A10" s="6" t="s">
        <v>68</v>
      </c>
      <c r="B10" s="6" t="s">
        <v>22</v>
      </c>
      <c r="C10" s="6" t="s">
        <v>23</v>
      </c>
      <c r="D10" s="6" t="s">
        <v>44</v>
      </c>
      <c r="F10" s="6" t="s">
        <v>45</v>
      </c>
      <c r="G10" s="6" t="s">
        <v>35</v>
      </c>
      <c r="H10" s="11">
        <v>29708.51</v>
      </c>
      <c r="I10" s="6" t="s">
        <v>46</v>
      </c>
      <c r="K10" s="6" t="s">
        <v>47</v>
      </c>
    </row>
    <row r="11" spans="1:12" ht="30" customHeight="1" x14ac:dyDescent="0.25">
      <c r="A11" s="6" t="s">
        <v>69</v>
      </c>
      <c r="B11" s="6" t="s">
        <v>15</v>
      </c>
      <c r="C11" s="6" t="s">
        <v>23</v>
      </c>
      <c r="D11" s="6" t="s">
        <v>48</v>
      </c>
      <c r="E11" s="6" t="s">
        <v>49</v>
      </c>
      <c r="F11" s="6" t="s">
        <v>50</v>
      </c>
      <c r="G11" s="6" t="s">
        <v>26</v>
      </c>
      <c r="H11" s="11">
        <v>62427.38</v>
      </c>
      <c r="I11" s="6" t="s">
        <v>51</v>
      </c>
      <c r="J11" s="6" t="s">
        <v>52</v>
      </c>
      <c r="K11" s="6" t="s">
        <v>53</v>
      </c>
      <c r="L11" s="6" t="s">
        <v>54</v>
      </c>
    </row>
    <row r="12" spans="1:12" ht="16.5" customHeight="1" x14ac:dyDescent="0.25">
      <c r="H12" s="11"/>
    </row>
    <row r="13" spans="1:12" x14ac:dyDescent="0.25">
      <c r="A13" s="13"/>
      <c r="B13" s="13"/>
      <c r="C13" s="13"/>
      <c r="D13" s="13" t="s">
        <v>55</v>
      </c>
      <c r="E13" s="13"/>
      <c r="F13" s="13"/>
      <c r="G13" s="13"/>
      <c r="H13" s="14">
        <f>SUM(H4:H11)</f>
        <v>228047.78000000003</v>
      </c>
      <c r="I13" s="13"/>
      <c r="J13" s="13"/>
      <c r="K13" s="13"/>
      <c r="L13" s="13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7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4374-9F71-448B-A8E6-476E670974EA}">
  <dimension ref="A1:H19"/>
  <sheetViews>
    <sheetView workbookViewId="0">
      <selection activeCell="L9" sqref="L9"/>
    </sheetView>
  </sheetViews>
  <sheetFormatPr defaultRowHeight="15.75" x14ac:dyDescent="0.25"/>
  <cols>
    <col min="1" max="1" width="18" style="6" customWidth="1"/>
    <col min="2" max="2" width="9.5703125" style="6" customWidth="1"/>
    <col min="3" max="3" width="16.5703125" style="6" customWidth="1"/>
    <col min="4" max="4" width="15.5703125" style="6" customWidth="1"/>
    <col min="5" max="5" width="9.140625" style="6"/>
    <col min="6" max="6" width="13.140625" style="6" customWidth="1"/>
    <col min="7" max="7" width="12.85546875" style="6" customWidth="1"/>
    <col min="8" max="8" width="24.28515625" style="6" customWidth="1"/>
    <col min="9" max="16384" width="9.140625" style="6"/>
  </cols>
  <sheetData>
    <row r="1" spans="1:8" x14ac:dyDescent="0.25">
      <c r="E1" s="7"/>
      <c r="H1" s="7">
        <v>45680.999988425923</v>
      </c>
    </row>
    <row r="2" spans="1:8" x14ac:dyDescent="0.25">
      <c r="A2" s="8" t="s">
        <v>0</v>
      </c>
      <c r="B2" s="8"/>
      <c r="C2" s="9"/>
      <c r="D2" s="9"/>
      <c r="E2" s="10" t="s">
        <v>56</v>
      </c>
      <c r="F2" s="9"/>
      <c r="G2" s="9"/>
      <c r="H2" s="9"/>
    </row>
    <row r="3" spans="1:8" x14ac:dyDescent="0.25">
      <c r="A3" s="6" t="s">
        <v>7</v>
      </c>
      <c r="B3" s="6" t="s">
        <v>57</v>
      </c>
      <c r="C3" s="6" t="s">
        <v>8</v>
      </c>
      <c r="D3" s="6" t="s">
        <v>58</v>
      </c>
      <c r="E3" s="6" t="s">
        <v>59</v>
      </c>
      <c r="F3" s="6" t="s">
        <v>60</v>
      </c>
      <c r="G3" s="6" t="s">
        <v>61</v>
      </c>
      <c r="H3" s="6" t="s">
        <v>62</v>
      </c>
    </row>
    <row r="4" spans="1:8" ht="27" customHeight="1" x14ac:dyDescent="0.25">
      <c r="A4" s="6" t="s">
        <v>63</v>
      </c>
      <c r="C4" s="6" t="s">
        <v>19</v>
      </c>
      <c r="D4" s="11">
        <v>200</v>
      </c>
      <c r="E4" s="11">
        <v>0</v>
      </c>
      <c r="F4" s="12">
        <v>11394.69</v>
      </c>
      <c r="G4" s="11"/>
      <c r="H4" s="11">
        <v>11469.69</v>
      </c>
    </row>
    <row r="5" spans="1:8" ht="27" customHeight="1" x14ac:dyDescent="0.25">
      <c r="D5" s="11"/>
      <c r="E5" s="11"/>
      <c r="F5" s="12"/>
      <c r="G5" s="11"/>
      <c r="H5" s="11"/>
    </row>
    <row r="6" spans="1:8" ht="27" customHeight="1" x14ac:dyDescent="0.25">
      <c r="A6" s="6" t="s">
        <v>45</v>
      </c>
      <c r="C6" s="6" t="s">
        <v>35</v>
      </c>
      <c r="D6" s="11">
        <v>500</v>
      </c>
      <c r="E6" s="11">
        <v>0</v>
      </c>
      <c r="F6" s="12">
        <v>29633.51</v>
      </c>
      <c r="G6" s="11"/>
      <c r="H6" s="11">
        <v>29708.51</v>
      </c>
    </row>
    <row r="7" spans="1:8" ht="27" customHeight="1" x14ac:dyDescent="0.25">
      <c r="D7" s="11"/>
      <c r="E7" s="11"/>
      <c r="F7" s="12"/>
      <c r="G7" s="11"/>
      <c r="H7" s="11"/>
    </row>
    <row r="8" spans="1:8" ht="27" customHeight="1" x14ac:dyDescent="0.25">
      <c r="A8" s="6" t="s">
        <v>34</v>
      </c>
      <c r="C8" s="6" t="s">
        <v>35</v>
      </c>
      <c r="D8" s="11">
        <v>600</v>
      </c>
      <c r="E8" s="11">
        <v>0</v>
      </c>
      <c r="F8" s="12">
        <v>33965.26</v>
      </c>
      <c r="G8" s="11"/>
      <c r="H8" s="11">
        <v>34040.26</v>
      </c>
    </row>
    <row r="9" spans="1:8" ht="27" customHeight="1" x14ac:dyDescent="0.25">
      <c r="D9" s="11"/>
      <c r="E9" s="11"/>
      <c r="F9" s="12"/>
      <c r="G9" s="11"/>
      <c r="H9" s="11"/>
    </row>
    <row r="10" spans="1:8" ht="27" customHeight="1" x14ac:dyDescent="0.25">
      <c r="A10" s="6" t="s">
        <v>50</v>
      </c>
      <c r="C10" s="6" t="s">
        <v>26</v>
      </c>
      <c r="D10" s="11">
        <v>1000</v>
      </c>
      <c r="E10" s="11">
        <v>0</v>
      </c>
      <c r="F10" s="12">
        <v>62352.38</v>
      </c>
      <c r="G10" s="11"/>
      <c r="H10" s="11">
        <v>62427.38</v>
      </c>
    </row>
    <row r="11" spans="1:8" ht="27" customHeight="1" x14ac:dyDescent="0.25">
      <c r="D11" s="11"/>
      <c r="E11" s="11"/>
      <c r="F11" s="11"/>
      <c r="G11" s="11"/>
      <c r="H11" s="11"/>
    </row>
    <row r="12" spans="1:8" ht="27" customHeight="1" x14ac:dyDescent="0.25">
      <c r="A12" s="6" t="s">
        <v>30</v>
      </c>
      <c r="C12" s="6" t="s">
        <v>35</v>
      </c>
      <c r="D12" s="11">
        <v>600</v>
      </c>
      <c r="E12" s="11">
        <v>0</v>
      </c>
      <c r="F12" s="11">
        <v>30242.69</v>
      </c>
      <c r="G12" s="11"/>
      <c r="H12" s="11">
        <v>30317.69</v>
      </c>
    </row>
    <row r="13" spans="1:8" ht="27" customHeight="1" x14ac:dyDescent="0.25">
      <c r="A13" s="6" t="s">
        <v>30</v>
      </c>
      <c r="C13" s="6" t="s">
        <v>26</v>
      </c>
      <c r="D13" s="11">
        <v>450</v>
      </c>
      <c r="E13" s="11">
        <v>0</v>
      </c>
      <c r="F13" s="11">
        <v>24835.31</v>
      </c>
      <c r="G13" s="12">
        <f>SUM(F12:F13)</f>
        <v>55078</v>
      </c>
      <c r="H13" s="11">
        <v>24910.31</v>
      </c>
    </row>
    <row r="14" spans="1:8" ht="27" customHeight="1" x14ac:dyDescent="0.25">
      <c r="D14" s="11"/>
      <c r="E14" s="11"/>
      <c r="F14" s="11"/>
      <c r="G14" s="11"/>
      <c r="H14" s="11"/>
    </row>
    <row r="15" spans="1:8" ht="27" customHeight="1" x14ac:dyDescent="0.25">
      <c r="A15" s="6" t="s">
        <v>38</v>
      </c>
      <c r="C15" s="6" t="s">
        <v>26</v>
      </c>
      <c r="D15" s="11">
        <v>200</v>
      </c>
      <c r="E15" s="11">
        <v>0</v>
      </c>
      <c r="F15" s="12">
        <v>10097.94</v>
      </c>
      <c r="G15" s="11"/>
      <c r="H15" s="11">
        <v>10172.94</v>
      </c>
    </row>
    <row r="16" spans="1:8" ht="27" customHeight="1" x14ac:dyDescent="0.25">
      <c r="D16" s="11"/>
      <c r="E16" s="11"/>
      <c r="F16" s="12"/>
      <c r="G16" s="11"/>
      <c r="H16" s="11"/>
    </row>
    <row r="17" spans="1:8" ht="27" customHeight="1" x14ac:dyDescent="0.25">
      <c r="A17" s="6" t="s">
        <v>25</v>
      </c>
      <c r="C17" s="6" t="s">
        <v>26</v>
      </c>
      <c r="D17" s="11">
        <v>500</v>
      </c>
      <c r="E17" s="11">
        <v>0</v>
      </c>
      <c r="F17" s="12">
        <v>24926</v>
      </c>
      <c r="G17" s="11"/>
      <c r="H17" s="11">
        <v>25001</v>
      </c>
    </row>
    <row r="18" spans="1:8" ht="17.25" customHeight="1" x14ac:dyDescent="0.25">
      <c r="D18" s="11"/>
      <c r="E18" s="11"/>
      <c r="F18" s="11"/>
      <c r="G18" s="11"/>
      <c r="H18" s="11"/>
    </row>
    <row r="19" spans="1:8" x14ac:dyDescent="0.25">
      <c r="A19" s="13"/>
      <c r="B19" s="13"/>
      <c r="C19" s="13"/>
      <c r="D19" s="14">
        <f>SUM(D4:D17)</f>
        <v>4050</v>
      </c>
      <c r="E19" s="14">
        <f>SUM(E4:E17)</f>
        <v>0</v>
      </c>
      <c r="F19" s="14">
        <f>SUM(F4:F17)</f>
        <v>227447.78</v>
      </c>
      <c r="G19" s="14"/>
      <c r="H19" s="14">
        <f>SUM(H4:H17)</f>
        <v>228047.78</v>
      </c>
    </row>
  </sheetData>
  <mergeCells count="2">
    <mergeCell ref="A2:D2"/>
    <mergeCell ref="E2:H2"/>
  </mergeCells>
  <pageMargins left="0.7" right="0.7" top="0.75" bottom="0.7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8B40-0CC0-44C3-8E9F-F9F4F5A9DF20}">
  <dimension ref="A1:E21"/>
  <sheetViews>
    <sheetView workbookViewId="0">
      <selection activeCell="L12" sqref="L12"/>
    </sheetView>
  </sheetViews>
  <sheetFormatPr defaultRowHeight="15" x14ac:dyDescent="0.25"/>
  <cols>
    <col min="1" max="2" width="14.7109375" customWidth="1"/>
    <col min="3" max="3" width="16.28515625" customWidth="1"/>
    <col min="4" max="4" width="7" customWidth="1"/>
    <col min="5" max="5" width="33.28515625" customWidth="1"/>
  </cols>
  <sheetData>
    <row r="1" spans="1:5" ht="27" customHeight="1" x14ac:dyDescent="0.25">
      <c r="A1" s="20" t="s">
        <v>72</v>
      </c>
      <c r="D1" s="2"/>
      <c r="E1" s="18">
        <v>45680</v>
      </c>
    </row>
    <row r="2" spans="1:5" ht="27" customHeight="1" x14ac:dyDescent="0.25">
      <c r="A2" s="3" t="s">
        <v>0</v>
      </c>
      <c r="B2" s="4"/>
      <c r="C2" s="4"/>
      <c r="D2" s="5" t="s">
        <v>70</v>
      </c>
      <c r="E2" s="4"/>
    </row>
    <row r="3" spans="1:5" ht="27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7" customHeight="1" x14ac:dyDescent="0.25">
      <c r="A4" t="s">
        <v>14</v>
      </c>
      <c r="B4" t="s">
        <v>16</v>
      </c>
      <c r="C4" t="s">
        <v>17</v>
      </c>
      <c r="E4" t="s">
        <v>18</v>
      </c>
    </row>
    <row r="5" spans="1:5" ht="27" customHeight="1" x14ac:dyDescent="0.25">
      <c r="A5" t="s">
        <v>40</v>
      </c>
      <c r="B5" t="s">
        <v>16</v>
      </c>
      <c r="C5" t="s">
        <v>41</v>
      </c>
      <c r="E5" t="s">
        <v>30</v>
      </c>
    </row>
    <row r="6" spans="1:5" ht="27" customHeight="1" x14ac:dyDescent="0.25">
      <c r="A6" s="1"/>
      <c r="B6" s="1"/>
      <c r="C6" s="1" t="s">
        <v>71</v>
      </c>
      <c r="D6" s="1"/>
      <c r="E6" s="1"/>
    </row>
    <row r="11" spans="1:5" x14ac:dyDescent="0.25">
      <c r="A11" t="s">
        <v>73</v>
      </c>
      <c r="B11" s="19"/>
      <c r="C11" s="19"/>
      <c r="D11" s="19"/>
    </row>
    <row r="16" spans="1:5" x14ac:dyDescent="0.25">
      <c r="A16" t="s">
        <v>74</v>
      </c>
      <c r="B16" s="19"/>
      <c r="C16" s="19"/>
      <c r="D16" s="19"/>
    </row>
    <row r="21" spans="1:2" x14ac:dyDescent="0.25">
      <c r="A21" t="s">
        <v>75</v>
      </c>
      <c r="B21" s="19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2025-01-23T19:14:46Z</cp:lastPrinted>
  <dcterms:created xsi:type="dcterms:W3CDTF">2025-01-23T18:47:33Z</dcterms:created>
  <dcterms:modified xsi:type="dcterms:W3CDTF">2025-01-23T19:27:28Z</dcterms:modified>
</cp:coreProperties>
</file>