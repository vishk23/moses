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64F6B89C-0FB2-4A0B-9DCD-FFFC6EC73507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 - Folder Vers" sheetId="1" r:id="rId1"/>
    <sheet name="Funding Worksheet - ACH" sheetId="2" r:id="rId2"/>
    <sheet name="Original Note Log " sheetId="3" r:id="rId3"/>
  </sheets>
  <definedNames>
    <definedName name="_xlnm.Print_Area" localSheetId="1">'Funding Worksheet - ACH'!$A$1:$H$25</definedName>
    <definedName name="_xlnm.Print_Area" localSheetId="2">'Original Note Log '!$A$1:$E$23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G19" i="2"/>
  <c r="G14" i="2"/>
  <c r="G7" i="2"/>
  <c r="H25" i="2"/>
  <c r="F25" i="2"/>
  <c r="E25" i="2"/>
  <c r="D25" i="2"/>
</calcChain>
</file>

<file path=xl/sharedStrings.xml><?xml version="1.0" encoding="utf-8"?>
<sst xmlns="http://schemas.openxmlformats.org/spreadsheetml/2006/main" count="183" uniqueCount="98">
  <si>
    <t>Bristol County Savings Bank</t>
  </si>
  <si>
    <t>Funding Worksheet - ACH Version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</si>
  <si>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</si>
  <si>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</si>
  <si>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</si>
  <si>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</si>
  <si>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</si>
  <si>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</si>
  <si>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</si>
  <si>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</si>
  <si>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Gesner Auto Inc</t>
  </si>
  <si>
    <t>Neli Oliveira</t>
  </si>
  <si>
    <t>NARSA AMC LLC d/b/a</t>
  </si>
  <si>
    <t>Paul Masse Buick GMC South, Inc</t>
  </si>
  <si>
    <t>Planet Automotive Sales LLC</t>
  </si>
  <si>
    <t>Rachel Gorham</t>
  </si>
  <si>
    <t>RAH FALL RIVER VW, LLC</t>
  </si>
  <si>
    <t>T F Murphy Enterprises Inc</t>
  </si>
  <si>
    <t>Viti Mercedes</t>
  </si>
  <si>
    <t>Wareham Ford</t>
  </si>
  <si>
    <t>Column1</t>
  </si>
  <si>
    <t>Column2</t>
  </si>
  <si>
    <t>Auto Mall-NARSA AMC LLC d/b/a</t>
  </si>
  <si>
    <t>Funding Worksheet - Signoff Version</t>
  </si>
  <si>
    <t>Account Number</t>
  </si>
  <si>
    <t>Contract Type</t>
  </si>
  <si>
    <t>Applicant Name</t>
  </si>
  <si>
    <t>Co-Applicant Name</t>
  </si>
  <si>
    <t>151202662</t>
  </si>
  <si>
    <t>Paper</t>
  </si>
  <si>
    <t>HOGAN, HEATHER</t>
  </si>
  <si>
    <t>151202729</t>
  </si>
  <si>
    <t>PERRINGTON, JAQUETA</t>
  </si>
  <si>
    <t>151202753</t>
  </si>
  <si>
    <t>PARRIOTT, JAMES</t>
  </si>
  <si>
    <t>151202761</t>
  </si>
  <si>
    <t>MACDONALD, STEPHEN</t>
  </si>
  <si>
    <t>MACDONALD, JESSICA</t>
  </si>
  <si>
    <t>151202787</t>
  </si>
  <si>
    <t>MCBRIDE, JESSE</t>
  </si>
  <si>
    <t># 5</t>
  </si>
  <si>
    <t>Original Notes Delivered</t>
  </si>
  <si>
    <t>Delivered by:</t>
  </si>
  <si>
    <t>Received by:</t>
  </si>
  <si>
    <t>Date Signed:</t>
  </si>
  <si>
    <t>Funding Worksheet - Folder Version</t>
  </si>
  <si>
    <t>Portal</t>
  </si>
  <si>
    <t>Amount Financed</t>
  </si>
  <si>
    <t>Applicant Email</t>
  </si>
  <si>
    <t>Co-Applicant Email</t>
  </si>
  <si>
    <t>App MMN</t>
  </si>
  <si>
    <t>Co-App MMN</t>
  </si>
  <si>
    <t>151202604 E</t>
  </si>
  <si>
    <t>Route One</t>
  </si>
  <si>
    <t>E Contract</t>
  </si>
  <si>
    <t>CARVALHO, ANTONIO</t>
  </si>
  <si>
    <t>chaves789@icloud.com</t>
  </si>
  <si>
    <t>BATISTA</t>
  </si>
  <si>
    <t>151202612 E</t>
  </si>
  <si>
    <t>DealerTrack</t>
  </si>
  <si>
    <t>LEE, DONG</t>
  </si>
  <si>
    <t>LEEDH777@HOTMAIL.COM</t>
  </si>
  <si>
    <t>Park</t>
  </si>
  <si>
    <t>151202620 E</t>
  </si>
  <si>
    <t>DAY, ALYSSA</t>
  </si>
  <si>
    <t>CABALLERO103119@GMAIL.COM</t>
  </si>
  <si>
    <t>MOURA</t>
  </si>
  <si>
    <t>151202638 E</t>
  </si>
  <si>
    <t>CLEVELAND, LEONA</t>
  </si>
  <si>
    <t>CLEVELAND, RICHARD</t>
  </si>
  <si>
    <t>cleveland6@verizon.net</t>
  </si>
  <si>
    <t>rickdog87@verizon.net</t>
  </si>
  <si>
    <t>YOUNG</t>
  </si>
  <si>
    <t>SOUZA</t>
  </si>
  <si>
    <t>151202646 E</t>
  </si>
  <si>
    <t>PETRAS, ERICA</t>
  </si>
  <si>
    <t>EPETRAS123@YAHOO.COM</t>
  </si>
  <si>
    <t>JONES</t>
  </si>
  <si>
    <t>HEATHERHOGAN68@GMAIL.COM</t>
  </si>
  <si>
    <t>FOX</t>
  </si>
  <si>
    <t>J.P.JAQUETA2025@GMAIL.COM</t>
  </si>
  <si>
    <t>PERRINGTON</t>
  </si>
  <si>
    <t>151202737 E</t>
  </si>
  <si>
    <t>SEMIAO, RACHEL</t>
  </si>
  <si>
    <t>MACHADO</t>
  </si>
  <si>
    <t>151202745 E</t>
  </si>
  <si>
    <t>HARRISON, DEANNE</t>
  </si>
  <si>
    <t>HARRISON, DAVID</t>
  </si>
  <si>
    <t>LAWRENCE</t>
  </si>
  <si>
    <t>TESSIER</t>
  </si>
  <si>
    <t>JPARRIOTT33@GMAIL.COM</t>
  </si>
  <si>
    <t>REZNIKOW</t>
  </si>
  <si>
    <t>STEPHEN.MACDONALD91@GMAIL.COM</t>
  </si>
  <si>
    <t>ROSS</t>
  </si>
  <si>
    <t>STATHAM</t>
  </si>
  <si>
    <t>JMCBRIDE87@GMAIL.COM</t>
  </si>
  <si>
    <t>SPELMAN</t>
  </si>
  <si>
    <t>#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</si>
</sst>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2" fillId="0" borderId="0" xfId="0" applyFont="1"/>
    <xf numFmtId="7" fontId="2" fillId="0" borderId="0" xfId="0" applyNumberFormat="1" applyFont="1"/>
    <xf numFmtId="7" fontId="3" fillId="0" borderId="0" xfId="0" applyNumberFormat="1" applyFont="1"/>
    <xf numFmtId="7" fontId="0" fillId="0" borderId="0" xfId="0" applyNumberFormat="1" applyAlignment="1">
      <alignment wrapText="1"/>
    </xf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"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5F5C7A-7A84-456D-A8CB-950A865410C1}" name="Table_1" displayName="Table_1" ref="A3:L16">
  <tableColumns count="12">
    <tableColumn id="1" xr3:uid="{F6F94212-9E61-48C1-8D1B-9EB48DE56558}" name="Account Number"/>
    <tableColumn id="2" xr3:uid="{80FBB114-7A06-4E66-B9A3-95CCC45A41D2}" name="Portal"/>
    <tableColumn id="3" xr3:uid="{6A657791-42CF-47BA-A627-71DF82F55A82}" name="Contract Type"/>
    <tableColumn id="4" xr3:uid="{F7112752-2836-43FB-B7BE-C4427A7453D9}" name="Applicant Name"/>
    <tableColumn id="5" xr3:uid="{599858F8-63AC-4C7F-B7EC-BC19860BEC51}" name="Co-Applicant Name"/>
    <tableColumn id="6" xr3:uid="{AE3B33A9-56E1-450C-8B81-52410F1657BD}" name="Dealer Name"/>
    <tableColumn id="7" xr3:uid="{7A7E0D61-242D-4EEA-9351-44C8158830CC}" name="Funded by"/>
    <tableColumn id="8" xr3:uid="{FA1524DA-CF95-41DB-87A1-E5D00438E036}" name="Amount Financed"/>
    <tableColumn id="9" xr3:uid="{0BBA1278-4972-4F25-92C9-8AFD7022FF6D}" name="Applicant Email"/>
    <tableColumn id="10" xr3:uid="{B37BA25B-DFFC-4EDC-9415-45CBDDFAA82B}" name="Co-Applicant Email"/>
    <tableColumn id="11" xr3:uid="{7B1A33DD-290B-49E2-80AC-1CD03787F2CF}" name="App MMN"/>
    <tableColumn id="12" xr3:uid="{10B2D62C-3E3C-45A7-B629-13F18F9468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05A0B1-CF70-4F0E-8AC5-73B9DD2015D0}" name="Table_15" displayName="Table_15" ref="A3:H25">
  <sortState xmlns:xlrd2="http://schemas.microsoft.com/office/spreadsheetml/2017/richdata2" ref="A4:H25">
    <sortCondition ref="A4:A25"/>
  </sortState>
  <tableColumns count="8">
    <tableColumn id="1" xr3:uid="{96198799-8015-4518-A0C8-07F873AA85AD}" name="Dealer Name"/>
    <tableColumn id="7" xr3:uid="{24258455-4160-4745-AB92-68FC1A62E6F9}" name="Column1"/>
    <tableColumn id="2" xr3:uid="{FCB00ABD-7A18-4940-923B-FC634BBD05A7}" name="Funded by"/>
    <tableColumn id="3" xr3:uid="{34EF6C67-0851-4912-B44D-4BFC92282F60}" name="Dealer Flat"/>
    <tableColumn id="4" xr3:uid="{25C948A6-57D9-4B50-ADA0-725536B2F715}" name="Dealer Split"/>
    <tableColumn id="5" xr3:uid="{AAF8B015-6F5C-42CA-99EB-10218F415B8D}" name="Net to Dealer"/>
    <tableColumn id="8" xr3:uid="{75D22F01-E54B-46B8-B782-F73C47035D23}" name="Column2" dataDxfId="0"/>
    <tableColumn id="6" xr3:uid="{AEB116ED-35AD-4DE1-9055-9AB7E6E183AB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E1F6EE-3F85-4EC4-A50C-3A5194EFEF72}" name="Table_16" displayName="Table_16" ref="A3:E9">
  <tableColumns count="5">
    <tableColumn id="1" xr3:uid="{9D6ECD56-CFF3-40B7-B57E-716CC4BD692B}" name="Account Number"/>
    <tableColumn id="2" xr3:uid="{061A3689-7812-4499-876F-79FD9BAE94B1}" name="Contract Type"/>
    <tableColumn id="3" xr3:uid="{B63A485B-406D-46F1-B7B9-E5C2A50BE96B}" name="Applicant Name"/>
    <tableColumn id="4" xr3:uid="{34A814DA-86B0-473A-B45C-01DC4C22795A}" name="Co-Applicant Name"/>
    <tableColumn id="5" xr3:uid="{CB43EE6E-F526-4135-B33C-EE227F3D248D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tabSelected="1" workbookViewId="0">
      <pane ySplit="3" topLeftCell="A4" activePane="bottomLeft" state="frozen"/>
      <selection pane="bottomLeft" activeCell="N9" sqref="N9"/>
    </sheetView>
  </sheetViews>
  <sheetFormatPr defaultRowHeight="15" x14ac:dyDescent="0.25"/>
  <cols>
    <col min="1" max="1" width="15.140625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6" width="27.85546875" bestFit="1" customWidth="1"/>
    <col min="7" max="7" width="17.42578125" customWidth="1"/>
    <col min="8" max="8" width="16" customWidth="1"/>
    <col min="9" max="9" width="19.7109375" customWidth="1"/>
    <col min="10" max="10" width="21.140625" customWidth="1"/>
    <col min="11" max="11" width="16.28515625" customWidth="1"/>
    <col min="12" max="12" width="12.28515625" customWidth="1"/>
  </cols>
  <sheetData>
    <row r="1" spans="1:12" x14ac:dyDescent="0.25">
      <c r="K1" s="12">
        <v>45853</v>
      </c>
      <c r="L1" s="13"/>
    </row>
    <row r="2" spans="1:12" x14ac:dyDescent="0.25">
      <c r="A2" s="14" t="s">
        <v>0</v>
      </c>
      <c r="B2" s="13"/>
      <c r="C2" s="13"/>
      <c r="D2" s="13"/>
      <c r="E2" s="13"/>
      <c r="F2" s="13"/>
      <c r="G2" s="15" t="s">
        <v>45</v>
      </c>
      <c r="H2" s="13"/>
      <c r="I2" s="13"/>
      <c r="J2" s="13"/>
      <c r="K2" s="13"/>
      <c r="L2" s="13"/>
    </row>
    <row r="3" spans="1:12" x14ac:dyDescent="0.25">
      <c r="A3" t="s">
        <v>24</v>
      </c>
      <c r="B3" t="s">
        <v>46</v>
      </c>
      <c r="C3" t="s">
        <v>25</v>
      </c>
      <c r="D3" t="s">
        <v>26</v>
      </c>
      <c r="E3" t="s">
        <v>27</v>
      </c>
      <c r="F3" t="s">
        <v>2</v>
      </c>
      <c r="G3" t="s">
        <v>3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</row>
    <row r="4" spans="1:12" ht="33" customHeight="1" x14ac:dyDescent="0.25">
      <c r="A4" t="s">
        <v>52</v>
      </c>
      <c r="B4" t="s">
        <v>53</v>
      </c>
      <c r="C4" t="s">
        <v>54</v>
      </c>
      <c r="D4" t="s">
        <v>55</v>
      </c>
      <c r="F4" t="s">
        <v>8</v>
      </c>
      <c r="G4" t="s">
        <v>9</v>
      </c>
      <c r="H4" s="2">
        <v>26173.94</v>
      </c>
      <c r="I4" t="s">
        <v>56</v>
      </c>
      <c r="K4" t="s">
        <v>57</v>
      </c>
    </row>
    <row r="5" spans="1:12" ht="33" customHeight="1" x14ac:dyDescent="0.25">
      <c r="A5" t="s">
        <v>58</v>
      </c>
      <c r="B5" t="s">
        <v>59</v>
      </c>
      <c r="C5" t="s">
        <v>54</v>
      </c>
      <c r="D5" t="s">
        <v>60</v>
      </c>
      <c r="F5" t="s">
        <v>18</v>
      </c>
      <c r="G5" t="s">
        <v>9</v>
      </c>
      <c r="H5" s="2">
        <v>14500.03</v>
      </c>
      <c r="I5" t="s">
        <v>61</v>
      </c>
      <c r="K5" t="s">
        <v>62</v>
      </c>
    </row>
    <row r="6" spans="1:12" ht="33" customHeight="1" x14ac:dyDescent="0.25">
      <c r="A6" t="s">
        <v>63</v>
      </c>
      <c r="B6" t="s">
        <v>59</v>
      </c>
      <c r="C6" t="s">
        <v>54</v>
      </c>
      <c r="D6" t="s">
        <v>64</v>
      </c>
      <c r="F6" t="s">
        <v>16</v>
      </c>
      <c r="G6" t="s">
        <v>11</v>
      </c>
      <c r="H6" s="2">
        <v>55735.39</v>
      </c>
      <c r="I6" t="s">
        <v>65</v>
      </c>
      <c r="K6" t="s">
        <v>66</v>
      </c>
    </row>
    <row r="7" spans="1:12" ht="33" customHeight="1" x14ac:dyDescent="0.25">
      <c r="A7" t="s">
        <v>67</v>
      </c>
      <c r="B7" t="s">
        <v>53</v>
      </c>
      <c r="C7" t="s">
        <v>54</v>
      </c>
      <c r="D7" t="s">
        <v>68</v>
      </c>
      <c r="E7" t="s">
        <v>69</v>
      </c>
      <c r="F7" t="s">
        <v>19</v>
      </c>
      <c r="G7" t="s">
        <v>11</v>
      </c>
      <c r="H7" s="2">
        <v>25103</v>
      </c>
      <c r="I7" t="s">
        <v>70</v>
      </c>
      <c r="J7" t="s">
        <v>71</v>
      </c>
      <c r="K7" t="s">
        <v>72</v>
      </c>
      <c r="L7" t="s">
        <v>73</v>
      </c>
    </row>
    <row r="8" spans="1:12" ht="33" customHeight="1" x14ac:dyDescent="0.25">
      <c r="A8" t="s">
        <v>74</v>
      </c>
      <c r="B8" t="s">
        <v>59</v>
      </c>
      <c r="C8" t="s">
        <v>54</v>
      </c>
      <c r="D8" t="s">
        <v>75</v>
      </c>
      <c r="F8" t="s">
        <v>10</v>
      </c>
      <c r="G8" t="s">
        <v>11</v>
      </c>
      <c r="H8" s="2">
        <v>21436.5</v>
      </c>
      <c r="I8" t="s">
        <v>76</v>
      </c>
      <c r="K8" t="s">
        <v>77</v>
      </c>
    </row>
    <row r="9" spans="1:12" ht="33" customHeight="1" x14ac:dyDescent="0.25">
      <c r="A9" t="s">
        <v>28</v>
      </c>
      <c r="B9" t="s">
        <v>59</v>
      </c>
      <c r="C9" t="s">
        <v>29</v>
      </c>
      <c r="D9" t="s">
        <v>30</v>
      </c>
      <c r="F9" t="s">
        <v>12</v>
      </c>
      <c r="G9" t="s">
        <v>11</v>
      </c>
      <c r="H9" s="2">
        <v>30330.94</v>
      </c>
      <c r="I9" t="s">
        <v>78</v>
      </c>
      <c r="K9" t="s">
        <v>79</v>
      </c>
    </row>
    <row r="10" spans="1:12" ht="33" customHeight="1" x14ac:dyDescent="0.25">
      <c r="A10" t="s">
        <v>31</v>
      </c>
      <c r="B10" t="s">
        <v>59</v>
      </c>
      <c r="C10" t="s">
        <v>29</v>
      </c>
      <c r="D10" t="s">
        <v>32</v>
      </c>
      <c r="F10" t="s">
        <v>12</v>
      </c>
      <c r="G10" t="s">
        <v>11</v>
      </c>
      <c r="H10" s="2">
        <v>9922.19</v>
      </c>
      <c r="I10" t="s">
        <v>80</v>
      </c>
      <c r="K10" t="s">
        <v>81</v>
      </c>
    </row>
    <row r="11" spans="1:12" ht="33" customHeight="1" x14ac:dyDescent="0.25">
      <c r="A11" t="s">
        <v>82</v>
      </c>
      <c r="B11" t="s">
        <v>53</v>
      </c>
      <c r="C11" t="s">
        <v>54</v>
      </c>
      <c r="D11" t="s">
        <v>83</v>
      </c>
      <c r="F11" t="s">
        <v>13</v>
      </c>
      <c r="G11" t="s">
        <v>11</v>
      </c>
      <c r="H11" s="2">
        <v>27107.69</v>
      </c>
      <c r="K11" t="s">
        <v>84</v>
      </c>
    </row>
    <row r="12" spans="1:12" ht="33" customHeight="1" x14ac:dyDescent="0.25">
      <c r="A12" t="s">
        <v>85</v>
      </c>
      <c r="B12" t="s">
        <v>53</v>
      </c>
      <c r="C12" t="s">
        <v>54</v>
      </c>
      <c r="D12" t="s">
        <v>86</v>
      </c>
      <c r="E12" t="s">
        <v>87</v>
      </c>
      <c r="F12" t="s">
        <v>17</v>
      </c>
      <c r="G12" t="s">
        <v>11</v>
      </c>
      <c r="H12" s="2">
        <v>31487.38</v>
      </c>
      <c r="K12" t="s">
        <v>88</v>
      </c>
      <c r="L12" t="s">
        <v>89</v>
      </c>
    </row>
    <row r="13" spans="1:12" ht="33" customHeight="1" x14ac:dyDescent="0.25">
      <c r="A13" t="s">
        <v>33</v>
      </c>
      <c r="B13" t="s">
        <v>59</v>
      </c>
      <c r="C13" t="s">
        <v>29</v>
      </c>
      <c r="D13" t="s">
        <v>34</v>
      </c>
      <c r="F13" t="s">
        <v>14</v>
      </c>
      <c r="G13" t="s">
        <v>15</v>
      </c>
      <c r="H13" s="2">
        <v>21257.61</v>
      </c>
      <c r="I13" t="s">
        <v>90</v>
      </c>
      <c r="K13" t="s">
        <v>91</v>
      </c>
    </row>
    <row r="14" spans="1:12" ht="33" customHeight="1" x14ac:dyDescent="0.25">
      <c r="A14" t="s">
        <v>35</v>
      </c>
      <c r="B14" t="s">
        <v>53</v>
      </c>
      <c r="C14" t="s">
        <v>29</v>
      </c>
      <c r="D14" s="6" t="s">
        <v>36</v>
      </c>
      <c r="E14" s="6" t="s">
        <v>37</v>
      </c>
      <c r="F14" s="6" t="s">
        <v>17</v>
      </c>
      <c r="G14" s="6" t="s">
        <v>15</v>
      </c>
      <c r="H14" s="11">
        <v>34700.35</v>
      </c>
      <c r="I14" s="6" t="s">
        <v>92</v>
      </c>
      <c r="J14" s="6"/>
      <c r="K14" t="s">
        <v>93</v>
      </c>
      <c r="L14" t="s">
        <v>94</v>
      </c>
    </row>
    <row r="15" spans="1:12" ht="33" customHeight="1" x14ac:dyDescent="0.25">
      <c r="A15" t="s">
        <v>38</v>
      </c>
      <c r="B15" t="s">
        <v>59</v>
      </c>
      <c r="C15" t="s">
        <v>29</v>
      </c>
      <c r="D15" t="s">
        <v>39</v>
      </c>
      <c r="F15" t="s">
        <v>14</v>
      </c>
      <c r="G15" t="s">
        <v>15</v>
      </c>
      <c r="H15" s="2">
        <v>27498.07</v>
      </c>
      <c r="I15" t="s">
        <v>95</v>
      </c>
      <c r="K15" t="s">
        <v>96</v>
      </c>
    </row>
    <row r="16" spans="1:12" x14ac:dyDescent="0.25">
      <c r="A16" s="1"/>
      <c r="B16" s="1"/>
      <c r="C16" s="1"/>
      <c r="D16" s="1" t="s">
        <v>97</v>
      </c>
      <c r="E16" s="1"/>
      <c r="F16" s="1"/>
      <c r="G16" s="1"/>
      <c r="H16" s="3">
        <f>SUM(H4:H15)</f>
        <v>325253.08999999997</v>
      </c>
      <c r="I16" s="1"/>
      <c r="J16" s="1"/>
      <c r="K16" s="1"/>
      <c r="L16" s="1"/>
    </row>
  </sheetData>
  <mergeCells count="3">
    <mergeCell ref="K1:L1"/>
    <mergeCell ref="A2:F2"/>
    <mergeCell ref="G2:L2"/>
  </mergeCells>
  <pageMargins left="0.7" right="0.2" top="0.75" bottom="0.75" header="0.3" footer="0.3"/>
  <pageSetup paperSize="5" scale="8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46CD-3CA1-43F3-9393-E819038A626D}">
  <sheetPr>
    <pageSetUpPr fitToPage="1"/>
  </sheetPr>
  <dimension ref="A1:H25"/>
  <sheetViews>
    <sheetView zoomScaleNormal="100" workbookViewId="0">
      <selection activeCell="K15" sqref="K15"/>
    </sheetView>
  </sheetViews>
  <sheetFormatPr defaultRowHeight="15" x14ac:dyDescent="0.25"/>
  <cols>
    <col min="1" max="1" width="19.28515625" customWidth="1"/>
    <col min="2" max="2" width="11" customWidth="1"/>
    <col min="3" max="4" width="14.42578125" customWidth="1"/>
    <col min="6" max="6" width="13.85546875" customWidth="1"/>
    <col min="7" max="7" width="15.5703125" customWidth="1"/>
    <col min="8" max="8" width="15.42578125" customWidth="1"/>
  </cols>
  <sheetData>
    <row r="1" spans="1:8" x14ac:dyDescent="0.25">
      <c r="E1" s="4"/>
      <c r="H1" s="4">
        <v>45853.999988425923</v>
      </c>
    </row>
    <row r="2" spans="1:8" x14ac:dyDescent="0.25">
      <c r="A2" s="14" t="s">
        <v>0</v>
      </c>
      <c r="B2" s="14"/>
      <c r="C2" s="13"/>
      <c r="D2" s="13"/>
      <c r="E2" s="15" t="s">
        <v>1</v>
      </c>
      <c r="F2" s="13"/>
      <c r="G2" s="13"/>
      <c r="H2" s="13"/>
    </row>
    <row r="3" spans="1:8" x14ac:dyDescent="0.25">
      <c r="A3" t="s">
        <v>2</v>
      </c>
      <c r="B3" t="s">
        <v>20</v>
      </c>
      <c r="C3" t="s">
        <v>3</v>
      </c>
      <c r="D3" t="s">
        <v>4</v>
      </c>
      <c r="E3" t="s">
        <v>5</v>
      </c>
      <c r="F3" t="s">
        <v>6</v>
      </c>
      <c r="G3" t="s">
        <v>21</v>
      </c>
      <c r="H3" t="s">
        <v>7</v>
      </c>
    </row>
    <row r="4" spans="1:8" ht="27" customHeight="1" x14ac:dyDescent="0.25">
      <c r="A4" s="8" t="s">
        <v>8</v>
      </c>
      <c r="B4" s="8"/>
      <c r="C4" s="8" t="s">
        <v>9</v>
      </c>
      <c r="D4" s="9">
        <v>750</v>
      </c>
      <c r="E4" s="9">
        <v>0</v>
      </c>
      <c r="F4" s="10">
        <v>26098.94</v>
      </c>
      <c r="G4" s="9"/>
      <c r="H4" s="9">
        <v>26173.94</v>
      </c>
    </row>
    <row r="5" spans="1:8" ht="27" customHeight="1" x14ac:dyDescent="0.25">
      <c r="A5" s="8"/>
      <c r="B5" s="8"/>
      <c r="C5" s="8"/>
      <c r="D5" s="9"/>
      <c r="E5" s="9"/>
      <c r="F5" s="9"/>
      <c r="G5" s="9"/>
      <c r="H5" s="9"/>
    </row>
    <row r="6" spans="1:8" ht="27" customHeight="1" x14ac:dyDescent="0.25">
      <c r="A6" s="8" t="s">
        <v>22</v>
      </c>
      <c r="B6" s="8"/>
      <c r="C6" s="8" t="s">
        <v>11</v>
      </c>
      <c r="D6" s="9">
        <v>850</v>
      </c>
      <c r="E6" s="9">
        <v>0</v>
      </c>
      <c r="F6" s="9">
        <v>30255.94</v>
      </c>
      <c r="G6" s="9"/>
      <c r="H6" s="9">
        <v>30330.94</v>
      </c>
    </row>
    <row r="7" spans="1:8" ht="27" customHeight="1" x14ac:dyDescent="0.25">
      <c r="A7" s="8" t="s">
        <v>22</v>
      </c>
      <c r="B7" s="8"/>
      <c r="C7" s="8" t="s">
        <v>11</v>
      </c>
      <c r="D7" s="9">
        <v>150</v>
      </c>
      <c r="E7" s="9">
        <v>0</v>
      </c>
      <c r="F7" s="9">
        <v>9847.19</v>
      </c>
      <c r="G7" s="10">
        <f>SUM(F6:F7)</f>
        <v>40103.129999999997</v>
      </c>
      <c r="H7" s="9">
        <v>9922.19</v>
      </c>
    </row>
    <row r="8" spans="1:8" ht="27" customHeight="1" x14ac:dyDescent="0.25">
      <c r="A8" s="8"/>
      <c r="B8" s="8"/>
      <c r="C8" s="8"/>
      <c r="D8" s="9"/>
      <c r="E8" s="9"/>
      <c r="F8" s="9"/>
      <c r="G8" s="9"/>
      <c r="H8" s="9"/>
    </row>
    <row r="9" spans="1:8" ht="27" customHeight="1" x14ac:dyDescent="0.25">
      <c r="A9" s="8" t="s">
        <v>10</v>
      </c>
      <c r="B9" s="8"/>
      <c r="C9" s="8" t="s">
        <v>11</v>
      </c>
      <c r="D9" s="9">
        <v>650</v>
      </c>
      <c r="E9" s="9">
        <v>0</v>
      </c>
      <c r="F9" s="10">
        <v>21361.5</v>
      </c>
      <c r="G9" s="9"/>
      <c r="H9" s="9">
        <v>21436.5</v>
      </c>
    </row>
    <row r="10" spans="1:8" ht="27" customHeight="1" x14ac:dyDescent="0.25">
      <c r="A10" s="8"/>
      <c r="B10" s="8"/>
      <c r="C10" s="8"/>
      <c r="D10" s="9"/>
      <c r="E10" s="9"/>
      <c r="F10" s="10"/>
      <c r="G10" s="9"/>
      <c r="H10" s="9"/>
    </row>
    <row r="11" spans="1:8" ht="27" customHeight="1" x14ac:dyDescent="0.25">
      <c r="A11" s="8" t="s">
        <v>13</v>
      </c>
      <c r="B11" s="8"/>
      <c r="C11" s="8" t="s">
        <v>11</v>
      </c>
      <c r="D11" s="9">
        <v>750</v>
      </c>
      <c r="E11" s="9">
        <v>0</v>
      </c>
      <c r="F11" s="10">
        <v>27032.69</v>
      </c>
      <c r="G11" s="9"/>
      <c r="H11" s="9">
        <v>27107.69</v>
      </c>
    </row>
    <row r="12" spans="1:8" ht="27" customHeight="1" x14ac:dyDescent="0.25">
      <c r="A12" s="8"/>
      <c r="B12" s="8"/>
      <c r="C12" s="8"/>
      <c r="D12" s="9"/>
      <c r="E12" s="9"/>
      <c r="F12" s="9"/>
      <c r="G12" s="9"/>
      <c r="H12" s="9"/>
    </row>
    <row r="13" spans="1:8" ht="27" customHeight="1" x14ac:dyDescent="0.25">
      <c r="A13" s="8" t="s">
        <v>14</v>
      </c>
      <c r="B13" s="8"/>
      <c r="C13" s="8" t="s">
        <v>15</v>
      </c>
      <c r="D13" s="9">
        <v>650</v>
      </c>
      <c r="E13" s="9">
        <v>0</v>
      </c>
      <c r="F13" s="9">
        <v>21182.61</v>
      </c>
      <c r="G13" s="9"/>
      <c r="H13" s="9">
        <v>21257.61</v>
      </c>
    </row>
    <row r="14" spans="1:8" ht="27" customHeight="1" x14ac:dyDescent="0.25">
      <c r="A14" s="8" t="s">
        <v>14</v>
      </c>
      <c r="B14" s="8"/>
      <c r="C14" s="8" t="s">
        <v>15</v>
      </c>
      <c r="D14" s="9">
        <v>750</v>
      </c>
      <c r="E14" s="9">
        <v>0</v>
      </c>
      <c r="F14" s="9">
        <v>27423.07</v>
      </c>
      <c r="G14" s="10">
        <f>SUM(F13:F14)</f>
        <v>48605.68</v>
      </c>
      <c r="H14" s="9">
        <v>27498.07</v>
      </c>
    </row>
    <row r="15" spans="1:8" ht="27" customHeight="1" x14ac:dyDescent="0.25">
      <c r="A15" s="8"/>
      <c r="B15" s="8"/>
      <c r="C15" s="8"/>
      <c r="D15" s="9"/>
      <c r="E15" s="9"/>
      <c r="F15" s="9"/>
      <c r="G15" s="9"/>
      <c r="H15" s="9"/>
    </row>
    <row r="16" spans="1:8" ht="27" customHeight="1" x14ac:dyDescent="0.25">
      <c r="A16" s="8" t="s">
        <v>16</v>
      </c>
      <c r="B16" s="8"/>
      <c r="C16" s="8" t="s">
        <v>11</v>
      </c>
      <c r="D16" s="9">
        <v>1350</v>
      </c>
      <c r="E16" s="9">
        <v>0</v>
      </c>
      <c r="F16" s="10">
        <v>55660.39</v>
      </c>
      <c r="G16" s="9"/>
      <c r="H16" s="9">
        <v>55735.39</v>
      </c>
    </row>
    <row r="17" spans="1:8" ht="27" customHeight="1" x14ac:dyDescent="0.25">
      <c r="A17" s="8"/>
      <c r="B17" s="8"/>
      <c r="C17" s="8"/>
      <c r="D17" s="9"/>
      <c r="E17" s="9"/>
      <c r="F17" s="9"/>
      <c r="G17" s="9"/>
      <c r="H17" s="9"/>
    </row>
    <row r="18" spans="1:8" ht="27" customHeight="1" x14ac:dyDescent="0.25">
      <c r="A18" s="8" t="s">
        <v>17</v>
      </c>
      <c r="B18" s="8"/>
      <c r="C18" s="8" t="s">
        <v>15</v>
      </c>
      <c r="D18" s="9">
        <v>850</v>
      </c>
      <c r="E18" s="9">
        <v>0</v>
      </c>
      <c r="F18" s="9">
        <v>34625.35</v>
      </c>
      <c r="G18" s="9"/>
      <c r="H18" s="9">
        <v>34700.35</v>
      </c>
    </row>
    <row r="19" spans="1:8" ht="27" customHeight="1" x14ac:dyDescent="0.25">
      <c r="A19" s="8" t="s">
        <v>17</v>
      </c>
      <c r="B19" s="8"/>
      <c r="C19" s="8" t="s">
        <v>11</v>
      </c>
      <c r="D19" s="9">
        <v>850</v>
      </c>
      <c r="E19" s="9">
        <v>0</v>
      </c>
      <c r="F19" s="9">
        <v>31412.38</v>
      </c>
      <c r="G19" s="10">
        <f>SUM(F18:F19)</f>
        <v>66037.73</v>
      </c>
      <c r="H19" s="9">
        <v>31487.38</v>
      </c>
    </row>
    <row r="20" spans="1:8" ht="27" customHeight="1" x14ac:dyDescent="0.25">
      <c r="A20" s="8"/>
      <c r="B20" s="8"/>
      <c r="C20" s="8"/>
      <c r="D20" s="9"/>
      <c r="E20" s="9"/>
      <c r="F20" s="9"/>
      <c r="G20" s="9"/>
      <c r="H20" s="9"/>
    </row>
    <row r="21" spans="1:8" ht="27" customHeight="1" x14ac:dyDescent="0.25">
      <c r="A21" s="8" t="s">
        <v>18</v>
      </c>
      <c r="B21" s="8"/>
      <c r="C21" s="8" t="s">
        <v>9</v>
      </c>
      <c r="D21" s="9">
        <v>300</v>
      </c>
      <c r="E21" s="9">
        <v>0</v>
      </c>
      <c r="F21" s="10">
        <v>14425.03</v>
      </c>
      <c r="G21" s="9"/>
      <c r="H21" s="9">
        <v>14500.03</v>
      </c>
    </row>
    <row r="22" spans="1:8" ht="27" customHeight="1" x14ac:dyDescent="0.25">
      <c r="A22" s="8"/>
      <c r="B22" s="8"/>
      <c r="C22" s="8"/>
      <c r="D22" s="9"/>
      <c r="E22" s="9"/>
      <c r="F22" s="10"/>
      <c r="G22" s="9"/>
      <c r="H22" s="9"/>
    </row>
    <row r="23" spans="1:8" ht="27" customHeight="1" x14ac:dyDescent="0.25">
      <c r="A23" s="8" t="s">
        <v>19</v>
      </c>
      <c r="B23" s="8"/>
      <c r="C23" s="8" t="s">
        <v>11</v>
      </c>
      <c r="D23" s="9">
        <v>750</v>
      </c>
      <c r="E23" s="9">
        <v>0</v>
      </c>
      <c r="F23" s="10">
        <v>25028</v>
      </c>
      <c r="G23" s="9"/>
      <c r="H23" s="9">
        <v>25103</v>
      </c>
    </row>
    <row r="24" spans="1:8" x14ac:dyDescent="0.25">
      <c r="D24" s="2"/>
      <c r="E24" s="2"/>
      <c r="F24" s="2"/>
      <c r="G24" s="2"/>
      <c r="H24" s="2"/>
    </row>
    <row r="25" spans="1:8" x14ac:dyDescent="0.25">
      <c r="A25" s="1"/>
      <c r="B25" s="1"/>
      <c r="C25" s="1"/>
      <c r="D25" s="3">
        <f>SUM(D4:D23)</f>
        <v>8650</v>
      </c>
      <c r="E25" s="3">
        <f>SUM(E4:E23)</f>
        <v>0</v>
      </c>
      <c r="F25" s="3">
        <f>SUM(F4:F23)</f>
        <v>324353.09000000003</v>
      </c>
      <c r="G25" s="3"/>
      <c r="H25" s="3">
        <f>SUM(H4:H23)</f>
        <v>325253.09000000003</v>
      </c>
    </row>
  </sheetData>
  <mergeCells count="2">
    <mergeCell ref="A2:D2"/>
    <mergeCell ref="E2:H2"/>
  </mergeCells>
  <pageMargins left="0.7" right="0.2" top="0.75" bottom="0.75" header="0.3" footer="0.3"/>
  <pageSetup fitToHeight="0" orientation="landscape" r:id="rId1"/>
  <headerFooter>
    <oddFooter>Page &amp;P of &amp;N</oddFooter>
  </headerFooter>
  <colBreaks count="1" manualBreakCount="1">
    <brk id="8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1D12-776E-4720-97CA-E3460589F1FE}">
  <sheetPr>
    <pageSetUpPr fitToPage="1"/>
  </sheetPr>
  <dimension ref="A1:E23"/>
  <sheetViews>
    <sheetView zoomScaleNormal="100" workbookViewId="0">
      <selection activeCell="K14" sqref="K14"/>
    </sheetView>
  </sheetViews>
  <sheetFormatPr defaultRowHeight="15" x14ac:dyDescent="0.25"/>
  <cols>
    <col min="1" max="1" width="16" customWidth="1"/>
    <col min="3" max="3" width="15.140625" customWidth="1"/>
    <col min="4" max="4" width="12.85546875" customWidth="1"/>
    <col min="5" max="5" width="32.42578125" customWidth="1"/>
  </cols>
  <sheetData>
    <row r="1" spans="1:5" x14ac:dyDescent="0.25">
      <c r="A1" t="s">
        <v>41</v>
      </c>
      <c r="D1" s="4"/>
      <c r="E1" s="5">
        <v>45853</v>
      </c>
    </row>
    <row r="2" spans="1:5" x14ac:dyDescent="0.25">
      <c r="A2" s="14" t="s">
        <v>0</v>
      </c>
      <c r="B2" s="13"/>
      <c r="C2" s="13"/>
      <c r="D2" s="15" t="s">
        <v>23</v>
      </c>
      <c r="E2" s="13"/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</v>
      </c>
    </row>
    <row r="4" spans="1:5" ht="24.95" customHeight="1" x14ac:dyDescent="0.25">
      <c r="A4" t="s">
        <v>28</v>
      </c>
      <c r="B4" t="s">
        <v>29</v>
      </c>
      <c r="C4" t="s">
        <v>30</v>
      </c>
      <c r="E4" t="s">
        <v>12</v>
      </c>
    </row>
    <row r="5" spans="1:5" ht="24.95" customHeight="1" x14ac:dyDescent="0.25">
      <c r="A5" t="s">
        <v>31</v>
      </c>
      <c r="B5" t="s">
        <v>29</v>
      </c>
      <c r="C5" t="s">
        <v>32</v>
      </c>
      <c r="E5" t="s">
        <v>12</v>
      </c>
    </row>
    <row r="6" spans="1:5" ht="24.95" customHeight="1" x14ac:dyDescent="0.25">
      <c r="A6" t="s">
        <v>33</v>
      </c>
      <c r="B6" t="s">
        <v>29</v>
      </c>
      <c r="C6" t="s">
        <v>34</v>
      </c>
      <c r="E6" t="s">
        <v>14</v>
      </c>
    </row>
    <row r="7" spans="1:5" ht="38.25" customHeight="1" x14ac:dyDescent="0.25">
      <c r="A7" t="s">
        <v>35</v>
      </c>
      <c r="B7" t="s">
        <v>29</v>
      </c>
      <c r="C7" s="6" t="s">
        <v>36</v>
      </c>
      <c r="D7" s="6" t="s">
        <v>37</v>
      </c>
      <c r="E7" t="s">
        <v>17</v>
      </c>
    </row>
    <row r="8" spans="1:5" ht="24.95" customHeight="1" x14ac:dyDescent="0.25">
      <c r="A8" t="s">
        <v>38</v>
      </c>
      <c r="B8" t="s">
        <v>29</v>
      </c>
      <c r="C8" t="s">
        <v>39</v>
      </c>
      <c r="E8" t="s">
        <v>14</v>
      </c>
    </row>
    <row r="9" spans="1:5" x14ac:dyDescent="0.25">
      <c r="A9" s="1"/>
      <c r="B9" s="1"/>
      <c r="C9" s="1" t="s">
        <v>40</v>
      </c>
      <c r="D9" s="1"/>
      <c r="E9" s="1"/>
    </row>
    <row r="14" spans="1:5" x14ac:dyDescent="0.25">
      <c r="A14" t="s">
        <v>42</v>
      </c>
      <c r="B14" s="7"/>
      <c r="C14" s="7"/>
      <c r="D14" s="7"/>
    </row>
    <row r="18" spans="1:4" x14ac:dyDescent="0.25">
      <c r="A18" t="s">
        <v>43</v>
      </c>
      <c r="B18" s="7"/>
      <c r="C18" s="7"/>
      <c r="D18" s="7"/>
    </row>
    <row r="23" spans="1:4" x14ac:dyDescent="0.25">
      <c r="A23" t="s">
        <v>44</v>
      </c>
      <c r="B23" s="7"/>
      <c r="C23" s="7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Funding Worksheet - Folder Vers</vt:lpstr>
      <vt:lpstr>Funding Worksheet - ACH</vt:lpstr>
      <vt:lpstr>Original Note Log </vt:lpstr>
      <vt:lpstr>'Funding Worksheet - ACH'!Print_Area</vt:lpstr>
      <vt:lpstr>'Original Note Log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2025-07-15T18:33:00Z</cp:lastPrinted>
  <dcterms:created xsi:type="dcterms:W3CDTF">2025-07-15T18:15:36Z</dcterms:created>
  <dcterms:modified xsi:type="dcterms:W3CDTF">2025-07-15T18:56:15Z</dcterms:modified>
</cp:coreProperties>
</file>