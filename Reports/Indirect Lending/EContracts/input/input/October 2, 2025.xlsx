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8_{04D2A674-B267-4B18-A5C6-9C8F0B5201E3}" xr6:coauthVersionLast="47" xr6:coauthVersionMax="47" xr10:uidLastSave="{00000000-0000-0000-0000-000000000000}"/>
  <bookViews>
    <workbookView xWindow="32160" yWindow="795" windowWidth="20025" windowHeight="14280" xr2:uid="{00000000-000D-0000-FFFF-FFFF00000000}"/>
  </bookViews>
  <sheets>
    <sheet name="Funding Worksheet - Folder Vers" sheetId="1" r:id="rId1"/>
    <sheet name="Funding Worksheet - ACH" sheetId="2" r:id="rId2"/>
    <sheet name="Original Note Lo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G22" i="2"/>
  <c r="G10" i="2"/>
  <c r="G5" i="2"/>
  <c r="H26" i="2" l="1"/>
  <c r="F26" i="2"/>
  <c r="E26" i="2"/>
  <c r="D26" i="2"/>
  <c r="H17" i="1"/>
</calcChain>
</file>

<file path=xl/sharedStrings.xml><?xml version="1.0" encoding="utf-8"?>
<sst xmlns="http://schemas.openxmlformats.org/spreadsheetml/2006/main" count="184" uniqueCount="105">
  <si>
    <t>Bristol County Savings Bank</t>
  </si>
  <si>
    <t>Funding Worksheet - Folder Version</t>
  </si>
  <si>
    <t>Account Number</t>
  </si>
  <si>
    <t>Portal</t>
  </si>
  <si>
    <t>Contract Type</t>
  </si>
  <si>
    <t>Applicant Name</t>
  </si>
  <si>
    <t>Co-Applicant Name</t>
  </si>
  <si>
    <t>Dealer Name</t>
  </si>
  <si>
    <t>Funded by</t>
  </si>
  <si>
    <t>Amount Financed</t>
  </si>
  <si>
    <t>Applicant Email</t>
  </si>
  <si>
    <t>Co-Applicant Email</t>
  </si>
  <si>
    <t>App MMN</t>
  </si>
  <si>
    <t>Co-App MMN</t>
  </si>
  <si>
    <t>Business Name</t>
  </si>
  <si>
    <t>Route One</t>
  </si>
  <si>
    <t>E Contract</t>
  </si>
  <si>
    <t>NILSON, JOHN</t>
  </si>
  <si>
    <t>T F Murphy Enterprises Inc</t>
  </si>
  <si>
    <t>Rachel Gorham</t>
  </si>
  <si>
    <t>JNNILSON@GMAIL.COM</t>
  </si>
  <si>
    <t>DERWIN</t>
  </si>
  <si>
    <t>DealerTrack</t>
  </si>
  <si>
    <t>ARASZKIEWICZ, MACIEJ</t>
  </si>
  <si>
    <t>Richard Lundgren, Inc. d/b/a</t>
  </si>
  <si>
    <t>MACIEJ.RMSBOSTON@GMAIL.COM</t>
  </si>
  <si>
    <t>Wozniak</t>
  </si>
  <si>
    <t>HASKELL, HANA</t>
  </si>
  <si>
    <t>Alden Buick Pontiac GMC</t>
  </si>
  <si>
    <t>hana.haskell17@gmail.com</t>
  </si>
  <si>
    <t>DePRATO</t>
  </si>
  <si>
    <t>151231083</t>
  </si>
  <si>
    <t>Paper</t>
  </si>
  <si>
    <t>SULLIVAN, KELLEY</t>
  </si>
  <si>
    <t>NARSA AMC LLC d/b/a</t>
  </si>
  <si>
    <t>KSULLY3636@GMAIL.COM</t>
  </si>
  <si>
    <t>DUNN</t>
  </si>
  <si>
    <t>MOTTA, DENISE</t>
  </si>
  <si>
    <t>Alden Mazda</t>
  </si>
  <si>
    <t>GOT2LUV80S@GMAIL.COM</t>
  </si>
  <si>
    <t>THIBEAULT</t>
  </si>
  <si>
    <t>151231108</t>
  </si>
  <si>
    <t>WILLIAMS, DANIEL</t>
  </si>
  <si>
    <t>DWILLIAMS700@GMAIL.COM</t>
  </si>
  <si>
    <t>HIRT</t>
  </si>
  <si>
    <t>PENDRISS, MICHAEL</t>
  </si>
  <si>
    <t>Mathieu Ford Sales, Inc</t>
  </si>
  <si>
    <t>pendriss@yahoo.com</t>
  </si>
  <si>
    <t>MORSE</t>
  </si>
  <si>
    <t>RAPOZA, PAMELA</t>
  </si>
  <si>
    <t>KJRAPOZA@COMCAST.NET</t>
  </si>
  <si>
    <t>KEELEY</t>
  </si>
  <si>
    <t>CABRAL, JILL</t>
  </si>
  <si>
    <t>RAH FALL RIVER VW, LLC</t>
  </si>
  <si>
    <t>JILLCAB75@GMAIL.COM</t>
  </si>
  <si>
    <t>MIZHER</t>
  </si>
  <si>
    <t>BUFFONE, NANCY</t>
  </si>
  <si>
    <t>Neli Oliveira</t>
  </si>
  <si>
    <t>NBUFFONE@VERIZON.NET</t>
  </si>
  <si>
    <t>FINN</t>
  </si>
  <si>
    <t>PESSINI, SEBASTIAN</t>
  </si>
  <si>
    <t>Mastria Buick Pontiac</t>
  </si>
  <si>
    <t>SEBASTIAN.PESSINI1989@GMAIL.COM</t>
  </si>
  <si>
    <t>DUGAN</t>
  </si>
  <si>
    <t>PESSINI LANDSCAPING INC.</t>
  </si>
  <si>
    <t>VALATKEVICZ, GINA</t>
  </si>
  <si>
    <t>VALATKEVICZ, ISABELLA</t>
  </si>
  <si>
    <t>Hiller Co Inc</t>
  </si>
  <si>
    <t>bellasmom316@yahoo.com</t>
  </si>
  <si>
    <t>BELLAVALATKEVICZ316@ICLOUD.COM</t>
  </si>
  <si>
    <t>FLORESTIRO</t>
  </si>
  <si>
    <t>PHILLIPS, MICHAEL</t>
  </si>
  <si>
    <t>PHILLIPS, LINDSEY</t>
  </si>
  <si>
    <t>LANDM3234@ICLOUD.COM</t>
  </si>
  <si>
    <t>LEPHILLIPS24@ICLOUD.COM</t>
  </si>
  <si>
    <t>GRIFFITH</t>
  </si>
  <si>
    <t>AUDSLEY</t>
  </si>
  <si>
    <t># 13</t>
  </si>
  <si>
    <t>151231017 E</t>
  </si>
  <si>
    <t>151231033 E</t>
  </si>
  <si>
    <t>151231075 E</t>
  </si>
  <si>
    <t>151231091 E</t>
  </si>
  <si>
    <t>151231124 E</t>
  </si>
  <si>
    <t>151231140 E</t>
  </si>
  <si>
    <t>151231166 E</t>
  </si>
  <si>
    <t>151231182 E</t>
  </si>
  <si>
    <t>151231190 E</t>
  </si>
  <si>
    <t>151231207 E</t>
  </si>
  <si>
    <t>151231215 E</t>
  </si>
  <si>
    <t>Funding Worksheet - ACH Version</t>
  </si>
  <si>
    <t>Dealer Flat</t>
  </si>
  <si>
    <t>Dealer Split</t>
  </si>
  <si>
    <t>Net to Dealer</t>
  </si>
  <si>
    <t>Contracted Amount Financed</t>
  </si>
  <si>
    <t>Column1</t>
  </si>
  <si>
    <t>Lu-Richard Lundgren, Inc. d/b/a</t>
  </si>
  <si>
    <t>Auto mall-NARSA AMC LLC d/b/a</t>
  </si>
  <si>
    <t>4453-2150</t>
  </si>
  <si>
    <t>Column2</t>
  </si>
  <si>
    <t>Funding Worksheet - Signoff Version</t>
  </si>
  <si>
    <t># 2</t>
  </si>
  <si>
    <t>Delivered by:</t>
  </si>
  <si>
    <t>Received by:</t>
  </si>
  <si>
    <t>Date Signed:</t>
  </si>
  <si>
    <t>Original Notes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</si>
</sst>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7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2"/>
      <color indexed="8"/>
      <name val="Aptos Narrow"/>
      <family val="2"/>
      <scheme val="minor"/>
    </font>
    <font>
      <b/>
      <sz val="12"/>
      <name val="Calibri"/>
      <family val="2"/>
    </font>
    <font>
      <b/>
      <sz val="11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0" fontId="0" fillId="0" borderId="0" xfId="0" applyAlignment="1"/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/>
    </xf>
    <xf numFmtId="7" fontId="2" fillId="0" borderId="0" xfId="0" applyNumberFormat="1" applyFont="1"/>
    <xf numFmtId="0" fontId="3" fillId="0" borderId="0" xfId="0" applyFont="1"/>
    <xf numFmtId="7" fontId="3" fillId="0" borderId="0" xfId="0" applyNumberFormat="1" applyFont="1"/>
    <xf numFmtId="0" fontId="4" fillId="0" borderId="0" xfId="0" applyFont="1" applyAlignment="1">
      <alignment horizontal="center"/>
    </xf>
    <xf numFmtId="7" fontId="5" fillId="0" borderId="0" xfId="0" applyNumberFormat="1" applyFont="1"/>
    <xf numFmtId="14" fontId="0" fillId="0" borderId="0" xfId="0" applyNumberFormat="1"/>
    <xf numFmtId="0" fontId="6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0" borderId="0" xfId="0" applyFont="1"/>
    <xf numFmtId="0" fontId="0" fillId="0" borderId="1" xfId="0" applyBorder="1"/>
    <xf numFmtId="0" fontId="0" fillId="0" borderId="0" xfId="0" applyBorder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ptos Narrow"/>
        <family val="2"/>
        <scheme val="minor"/>
      </font>
      <numFmt numFmtId="11" formatCode="&quot;$&quot;#,##0.00_);\(&quot;$&quot;#,##0.00\)"/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  <dxf>
      <font>
        <strike val="0"/>
        <outline val="0"/>
        <shadow val="0"/>
        <u val="none"/>
        <vertAlign val="baseline"/>
        <sz val="1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M17">
  <tableColumns count="13">
    <tableColumn id="1" xr3:uid="{00000000-0010-0000-0000-000001000000}" name="Account Number"/>
    <tableColumn id="2" xr3:uid="{00000000-0010-0000-0000-000002000000}" name="Portal"/>
    <tableColumn id="3" xr3:uid="{00000000-0010-0000-0000-000003000000}" name="Contract Type"/>
    <tableColumn id="4" xr3:uid="{00000000-0010-0000-0000-000004000000}" name="Applicant Name"/>
    <tableColumn id="5" xr3:uid="{00000000-0010-0000-0000-000005000000}" name="Co-Applicant Name"/>
    <tableColumn id="6" xr3:uid="{00000000-0010-0000-0000-000006000000}" name="Dealer Name"/>
    <tableColumn id="7" xr3:uid="{00000000-0010-0000-0000-000007000000}" name="Funded by"/>
    <tableColumn id="8" xr3:uid="{00000000-0010-0000-0000-000008000000}" name="Amount Financed"/>
    <tableColumn id="9" xr3:uid="{00000000-0010-0000-0000-000009000000}" name="Applicant Email"/>
    <tableColumn id="10" xr3:uid="{00000000-0010-0000-0000-00000A000000}" name="Co-Applicant Email"/>
    <tableColumn id="11" xr3:uid="{00000000-0010-0000-0000-00000B000000}" name="App MMN"/>
    <tableColumn id="12" xr3:uid="{00000000-0010-0000-0000-00000C000000}" name="Co-App MMN"/>
    <tableColumn id="13" xr3:uid="{00000000-0010-0000-0000-00000D000000}" name="Business Nam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7B096A-32A4-48D9-BD1C-E94BFE7A4352}" name="Table_14" displayName="Table_14" ref="A3:H26" headerRowDxfId="3" dataDxfId="1" totalsRowDxfId="2">
  <tableColumns count="8">
    <tableColumn id="1" xr3:uid="{C61FF1F6-9C3D-46C1-B82D-5D2A5C87FB09}" name="Dealer Name" dataDxfId="10"/>
    <tableColumn id="7" xr3:uid="{3B857579-A0FD-4C3C-8ED3-4FA11E483A3F}" name="Column1" dataDxfId="9"/>
    <tableColumn id="2" xr3:uid="{A5D232F8-6748-4FE6-814D-BE56F1E38026}" name="Funded by" dataDxfId="8"/>
    <tableColumn id="3" xr3:uid="{4D808039-734E-48B5-A65A-7DDA7F8B8205}" name="Dealer Flat" dataDxfId="7"/>
    <tableColumn id="4" xr3:uid="{C7579C7A-2470-4708-871A-7593A84C664E}" name="Dealer Split" dataDxfId="6"/>
    <tableColumn id="5" xr3:uid="{AA1CC4F8-4EE7-46E6-86B0-3BEDA880F22B}" name="Net to Dealer" dataDxfId="5"/>
    <tableColumn id="8" xr3:uid="{041C84AA-8150-4D66-B99C-303D9184696B}" name="Column2" dataDxfId="0"/>
    <tableColumn id="6" xr3:uid="{89C83E09-F902-4761-944A-69764DCEF9D2}" name="Contracted Amount Financed" dataDxfId="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E2F4BD-CBC8-4BED-9883-BA9607F957AC}" name="Table_15" displayName="Table_15" ref="A3:E6">
  <tableColumns count="5">
    <tableColumn id="1" xr3:uid="{2518C378-33BC-4C75-8597-08F1F307BBFB}" name="Account Number"/>
    <tableColumn id="2" xr3:uid="{EFD5EFE9-B57A-4F80-BB52-C38F2DAE47D7}" name="Contract Type"/>
    <tableColumn id="3" xr3:uid="{078D557E-01C3-4F06-8FB5-AA0554BEC478}" name="Applicant Name"/>
    <tableColumn id="4" xr3:uid="{4D8B5AB8-071C-4526-95FD-95D1A025DACF}" name="Co-Applicant Name"/>
    <tableColumn id="5" xr3:uid="{AF629502-FFA4-4512-8844-111C4483F3D2}" name="Deal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"/>
  <sheetViews>
    <sheetView tabSelected="1" workbookViewId="0">
      <pane ySplit="3" topLeftCell="A12" activePane="bottomLeft" state="frozen"/>
      <selection pane="bottomLeft" activeCell="E21" sqref="E21"/>
    </sheetView>
  </sheetViews>
  <sheetFormatPr defaultRowHeight="15" x14ac:dyDescent="0.25"/>
  <cols>
    <col min="1" max="1" width="13.7109375" customWidth="1"/>
    <col min="2" max="2" width="12.140625" bestFit="1" customWidth="1"/>
    <col min="3" max="3" width="14" bestFit="1" customWidth="1"/>
    <col min="4" max="4" width="22.5703125" bestFit="1" customWidth="1"/>
    <col min="5" max="5" width="23.42578125" bestFit="1" customWidth="1"/>
    <col min="6" max="6" width="27" bestFit="1" customWidth="1"/>
    <col min="7" max="7" width="15.140625" bestFit="1" customWidth="1"/>
    <col min="8" max="8" width="17.140625" bestFit="1" customWidth="1"/>
    <col min="9" max="9" width="36.140625" bestFit="1" customWidth="1"/>
    <col min="10" max="10" width="32.7109375" customWidth="1"/>
    <col min="11" max="11" width="16" bestFit="1" customWidth="1"/>
    <col min="12" max="12" width="12.85546875" bestFit="1" customWidth="1"/>
    <col min="13" max="13" width="26.28515625" hidden="1" customWidth="1"/>
  </cols>
  <sheetData>
    <row r="1" spans="1:13" x14ac:dyDescent="0.25">
      <c r="K1" s="8">
        <v>45932</v>
      </c>
      <c r="L1" s="9"/>
      <c r="M1" s="4">
        <v>45932.999988425923</v>
      </c>
    </row>
    <row r="2" spans="1:13" x14ac:dyDescent="0.25">
      <c r="A2" s="5" t="s">
        <v>0</v>
      </c>
      <c r="B2" s="6"/>
      <c r="C2" s="6"/>
      <c r="D2" s="6"/>
      <c r="E2" s="6"/>
      <c r="F2" s="6"/>
      <c r="G2" s="7" t="s">
        <v>1</v>
      </c>
      <c r="H2" s="6"/>
      <c r="I2" s="6"/>
      <c r="J2" s="6"/>
      <c r="K2" s="6"/>
      <c r="L2" s="6"/>
      <c r="M2" s="6"/>
    </row>
    <row r="3" spans="1:13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 ht="30" customHeight="1" x14ac:dyDescent="0.25">
      <c r="A4" t="s">
        <v>78</v>
      </c>
      <c r="B4" t="s">
        <v>15</v>
      </c>
      <c r="C4" t="s">
        <v>16</v>
      </c>
      <c r="D4" t="s">
        <v>17</v>
      </c>
      <c r="F4" t="s">
        <v>18</v>
      </c>
      <c r="G4" t="s">
        <v>19</v>
      </c>
      <c r="H4" s="2">
        <v>20901</v>
      </c>
      <c r="I4" t="s">
        <v>20</v>
      </c>
      <c r="K4" t="s">
        <v>21</v>
      </c>
    </row>
    <row r="5" spans="1:13" ht="30" customHeight="1" x14ac:dyDescent="0.25">
      <c r="A5" t="s">
        <v>79</v>
      </c>
      <c r="B5" t="s">
        <v>22</v>
      </c>
      <c r="C5" t="s">
        <v>16</v>
      </c>
      <c r="D5" t="s">
        <v>23</v>
      </c>
      <c r="F5" t="s">
        <v>24</v>
      </c>
      <c r="G5" t="s">
        <v>19</v>
      </c>
      <c r="H5" s="2">
        <v>39938.94</v>
      </c>
      <c r="I5" t="s">
        <v>25</v>
      </c>
      <c r="K5" t="s">
        <v>26</v>
      </c>
    </row>
    <row r="6" spans="1:13" ht="30" customHeight="1" x14ac:dyDescent="0.25">
      <c r="A6" t="s">
        <v>80</v>
      </c>
      <c r="B6" t="s">
        <v>15</v>
      </c>
      <c r="C6" t="s">
        <v>16</v>
      </c>
      <c r="D6" t="s">
        <v>27</v>
      </c>
      <c r="F6" t="s">
        <v>28</v>
      </c>
      <c r="G6" t="s">
        <v>19</v>
      </c>
      <c r="H6" s="2">
        <v>30008</v>
      </c>
      <c r="I6" t="s">
        <v>29</v>
      </c>
      <c r="K6" t="s">
        <v>30</v>
      </c>
    </row>
    <row r="7" spans="1:13" ht="30" customHeight="1" x14ac:dyDescent="0.25">
      <c r="A7" t="s">
        <v>31</v>
      </c>
      <c r="B7" t="s">
        <v>22</v>
      </c>
      <c r="C7" t="s">
        <v>32</v>
      </c>
      <c r="D7" t="s">
        <v>33</v>
      </c>
      <c r="F7" t="s">
        <v>34</v>
      </c>
      <c r="G7" t="s">
        <v>19</v>
      </c>
      <c r="H7" s="2">
        <v>19340.939999999999</v>
      </c>
      <c r="I7" t="s">
        <v>35</v>
      </c>
      <c r="K7" t="s">
        <v>36</v>
      </c>
    </row>
    <row r="8" spans="1:13" ht="30" customHeight="1" x14ac:dyDescent="0.25">
      <c r="A8" t="s">
        <v>81</v>
      </c>
      <c r="B8" t="s">
        <v>15</v>
      </c>
      <c r="C8" t="s">
        <v>16</v>
      </c>
      <c r="D8" t="s">
        <v>37</v>
      </c>
      <c r="F8" t="s">
        <v>38</v>
      </c>
      <c r="G8" t="s">
        <v>19</v>
      </c>
      <c r="H8" s="2">
        <v>26700.5</v>
      </c>
      <c r="I8" t="s">
        <v>39</v>
      </c>
      <c r="K8" t="s">
        <v>40</v>
      </c>
    </row>
    <row r="9" spans="1:13" ht="30" customHeight="1" x14ac:dyDescent="0.25">
      <c r="A9" t="s">
        <v>41</v>
      </c>
      <c r="B9" t="s">
        <v>22</v>
      </c>
      <c r="C9" t="s">
        <v>32</v>
      </c>
      <c r="D9" t="s">
        <v>42</v>
      </c>
      <c r="F9" t="s">
        <v>34</v>
      </c>
      <c r="G9" t="s">
        <v>19</v>
      </c>
      <c r="H9" s="2">
        <v>27134.1</v>
      </c>
      <c r="I9" t="s">
        <v>43</v>
      </c>
      <c r="K9" t="s">
        <v>44</v>
      </c>
    </row>
    <row r="10" spans="1:13" ht="30" customHeight="1" x14ac:dyDescent="0.25">
      <c r="A10" t="s">
        <v>82</v>
      </c>
      <c r="B10" t="s">
        <v>15</v>
      </c>
      <c r="C10" t="s">
        <v>16</v>
      </c>
      <c r="D10" t="s">
        <v>45</v>
      </c>
      <c r="F10" t="s">
        <v>46</v>
      </c>
      <c r="G10" t="s">
        <v>19</v>
      </c>
      <c r="H10" s="2">
        <v>32937.629999999997</v>
      </c>
      <c r="I10" t="s">
        <v>47</v>
      </c>
      <c r="K10" t="s">
        <v>48</v>
      </c>
    </row>
    <row r="11" spans="1:13" ht="30" customHeight="1" x14ac:dyDescent="0.25">
      <c r="A11" t="s">
        <v>83</v>
      </c>
      <c r="B11" t="s">
        <v>15</v>
      </c>
      <c r="C11" t="s">
        <v>16</v>
      </c>
      <c r="D11" t="s">
        <v>49</v>
      </c>
      <c r="F11" t="s">
        <v>28</v>
      </c>
      <c r="G11" t="s">
        <v>19</v>
      </c>
      <c r="H11" s="2">
        <v>37751.72</v>
      </c>
      <c r="I11" t="s">
        <v>50</v>
      </c>
      <c r="K11" t="s">
        <v>51</v>
      </c>
    </row>
    <row r="12" spans="1:13" ht="30" customHeight="1" x14ac:dyDescent="0.25">
      <c r="A12" t="s">
        <v>84</v>
      </c>
      <c r="B12" t="s">
        <v>22</v>
      </c>
      <c r="C12" t="s">
        <v>16</v>
      </c>
      <c r="D12" t="s">
        <v>52</v>
      </c>
      <c r="F12" t="s">
        <v>53</v>
      </c>
      <c r="G12" t="s">
        <v>19</v>
      </c>
      <c r="H12" s="2">
        <v>77991.63</v>
      </c>
      <c r="I12" t="s">
        <v>54</v>
      </c>
      <c r="K12" t="s">
        <v>55</v>
      </c>
    </row>
    <row r="13" spans="1:13" ht="30" customHeight="1" x14ac:dyDescent="0.25">
      <c r="A13" t="s">
        <v>85</v>
      </c>
      <c r="B13" t="s">
        <v>22</v>
      </c>
      <c r="C13" t="s">
        <v>16</v>
      </c>
      <c r="D13" t="s">
        <v>56</v>
      </c>
      <c r="F13" t="s">
        <v>24</v>
      </c>
      <c r="G13" t="s">
        <v>57</v>
      </c>
      <c r="H13" s="2">
        <v>22272.880000000001</v>
      </c>
      <c r="I13" t="s">
        <v>58</v>
      </c>
      <c r="K13" t="s">
        <v>59</v>
      </c>
    </row>
    <row r="14" spans="1:13" ht="30" customHeight="1" x14ac:dyDescent="0.25">
      <c r="A14" t="s">
        <v>86</v>
      </c>
      <c r="B14" t="s">
        <v>15</v>
      </c>
      <c r="C14" t="s">
        <v>16</v>
      </c>
      <c r="D14" t="s">
        <v>60</v>
      </c>
      <c r="E14" t="s">
        <v>64</v>
      </c>
      <c r="F14" t="s">
        <v>61</v>
      </c>
      <c r="G14" t="s">
        <v>57</v>
      </c>
      <c r="H14" s="2">
        <v>50927.74</v>
      </c>
      <c r="I14" t="s">
        <v>62</v>
      </c>
      <c r="K14" t="s">
        <v>63</v>
      </c>
    </row>
    <row r="15" spans="1:13" ht="30" customHeight="1" x14ac:dyDescent="0.25">
      <c r="A15" t="s">
        <v>87</v>
      </c>
      <c r="B15" t="s">
        <v>15</v>
      </c>
      <c r="C15" t="s">
        <v>16</v>
      </c>
      <c r="D15" t="s">
        <v>65</v>
      </c>
      <c r="E15" t="s">
        <v>66</v>
      </c>
      <c r="F15" t="s">
        <v>67</v>
      </c>
      <c r="G15" t="s">
        <v>57</v>
      </c>
      <c r="H15" s="2">
        <v>21065.69</v>
      </c>
      <c r="I15" t="s">
        <v>68</v>
      </c>
      <c r="J15" t="s">
        <v>69</v>
      </c>
      <c r="K15" t="s">
        <v>70</v>
      </c>
      <c r="L15" t="s">
        <v>70</v>
      </c>
    </row>
    <row r="16" spans="1:13" ht="30" customHeight="1" x14ac:dyDescent="0.25">
      <c r="A16" t="s">
        <v>88</v>
      </c>
      <c r="B16" t="s">
        <v>22</v>
      </c>
      <c r="C16" t="s">
        <v>16</v>
      </c>
      <c r="D16" t="s">
        <v>71</v>
      </c>
      <c r="E16" t="s">
        <v>72</v>
      </c>
      <c r="F16" t="s">
        <v>53</v>
      </c>
      <c r="G16" t="s">
        <v>57</v>
      </c>
      <c r="H16" s="2">
        <v>60360.62</v>
      </c>
      <c r="I16" t="s">
        <v>73</v>
      </c>
      <c r="J16" t="s">
        <v>74</v>
      </c>
      <c r="K16" t="s">
        <v>75</v>
      </c>
      <c r="L16" t="s">
        <v>76</v>
      </c>
    </row>
    <row r="17" spans="1:13" x14ac:dyDescent="0.25">
      <c r="A17" s="1"/>
      <c r="B17" s="1"/>
      <c r="C17" s="1"/>
      <c r="D17" s="1" t="s">
        <v>77</v>
      </c>
      <c r="E17" s="1"/>
      <c r="F17" s="1"/>
      <c r="G17" s="1"/>
      <c r="H17" s="3">
        <f>SUM(H4:H16)</f>
        <v>467331.39</v>
      </c>
      <c r="I17" s="1"/>
      <c r="J17" s="1"/>
      <c r="K17" s="1"/>
      <c r="L17" s="1"/>
      <c r="M17" s="1"/>
    </row>
  </sheetData>
  <mergeCells count="3">
    <mergeCell ref="A2:F2"/>
    <mergeCell ref="G2:M2"/>
    <mergeCell ref="K1:L1"/>
  </mergeCells>
  <pageMargins left="0.7" right="0" top="0.75" bottom="0.75" header="0.3" footer="0.3"/>
  <pageSetup paperSize="5" scale="68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5FCEA-5904-4AED-8E96-3784EBD35A16}">
  <sheetPr>
    <pageSetUpPr fitToPage="1"/>
  </sheetPr>
  <dimension ref="A1:H26"/>
  <sheetViews>
    <sheetView topLeftCell="A12" workbookViewId="0">
      <selection activeCell="K29" sqref="K29"/>
    </sheetView>
  </sheetViews>
  <sheetFormatPr defaultRowHeight="15.75" x14ac:dyDescent="0.25"/>
  <cols>
    <col min="1" max="1" width="22.85546875" style="10" customWidth="1"/>
    <col min="2" max="2" width="12.28515625" style="10" customWidth="1"/>
    <col min="3" max="3" width="18.7109375" style="10" customWidth="1"/>
    <col min="4" max="4" width="17.5703125" style="10" customWidth="1"/>
    <col min="5" max="5" width="16" style="10" customWidth="1"/>
    <col min="6" max="7" width="16.7109375" style="10" customWidth="1"/>
    <col min="8" max="8" width="21.140625" style="10" customWidth="1"/>
    <col min="9" max="16384" width="9.140625" style="10"/>
  </cols>
  <sheetData>
    <row r="1" spans="1:8" x14ac:dyDescent="0.25">
      <c r="E1" s="11"/>
      <c r="H1" s="11">
        <v>45932.999988425923</v>
      </c>
    </row>
    <row r="2" spans="1:8" x14ac:dyDescent="0.25">
      <c r="A2" s="12" t="s">
        <v>0</v>
      </c>
      <c r="B2" s="12"/>
      <c r="C2" s="13"/>
      <c r="D2" s="13"/>
      <c r="E2" s="14" t="s">
        <v>89</v>
      </c>
      <c r="F2" s="13"/>
      <c r="G2" s="13"/>
      <c r="H2" s="13"/>
    </row>
    <row r="3" spans="1:8" x14ac:dyDescent="0.25">
      <c r="A3" s="10" t="s">
        <v>7</v>
      </c>
      <c r="B3" s="10" t="s">
        <v>94</v>
      </c>
      <c r="C3" s="10" t="s">
        <v>8</v>
      </c>
      <c r="D3" s="10" t="s">
        <v>90</v>
      </c>
      <c r="E3" s="10" t="s">
        <v>91</v>
      </c>
      <c r="F3" s="10" t="s">
        <v>92</v>
      </c>
      <c r="G3" s="10" t="s">
        <v>98</v>
      </c>
      <c r="H3" s="10" t="s">
        <v>93</v>
      </c>
    </row>
    <row r="4" spans="1:8" ht="27" customHeight="1" x14ac:dyDescent="0.25">
      <c r="A4" s="10" t="s">
        <v>28</v>
      </c>
      <c r="C4" s="10" t="s">
        <v>19</v>
      </c>
      <c r="D4" s="15">
        <v>950</v>
      </c>
      <c r="E4" s="15">
        <v>0</v>
      </c>
      <c r="F4" s="15">
        <v>37676.720000000001</v>
      </c>
      <c r="G4" s="15"/>
      <c r="H4" s="15">
        <v>37751.72</v>
      </c>
    </row>
    <row r="5" spans="1:8" ht="27" customHeight="1" x14ac:dyDescent="0.25">
      <c r="A5" s="10" t="s">
        <v>28</v>
      </c>
      <c r="C5" s="10" t="s">
        <v>19</v>
      </c>
      <c r="D5" s="15">
        <v>850</v>
      </c>
      <c r="E5" s="15">
        <v>0</v>
      </c>
      <c r="F5" s="15">
        <v>29933</v>
      </c>
      <c r="G5" s="19">
        <f>SUM(F4:F5)</f>
        <v>67609.72</v>
      </c>
      <c r="H5" s="15">
        <v>30008</v>
      </c>
    </row>
    <row r="6" spans="1:8" ht="27" customHeight="1" x14ac:dyDescent="0.25">
      <c r="D6" s="15"/>
      <c r="E6" s="15"/>
      <c r="F6" s="15"/>
      <c r="G6" s="15"/>
      <c r="H6" s="15"/>
    </row>
    <row r="7" spans="1:8" ht="27" customHeight="1" x14ac:dyDescent="0.25">
      <c r="A7" s="10" t="s">
        <v>38</v>
      </c>
      <c r="C7" s="10" t="s">
        <v>19</v>
      </c>
      <c r="D7" s="15">
        <v>750</v>
      </c>
      <c r="E7" s="15">
        <v>0</v>
      </c>
      <c r="F7" s="19">
        <v>26625.5</v>
      </c>
      <c r="G7" s="15"/>
      <c r="H7" s="15">
        <v>26700.5</v>
      </c>
    </row>
    <row r="8" spans="1:8" ht="27" customHeight="1" x14ac:dyDescent="0.25">
      <c r="D8" s="15"/>
      <c r="E8" s="15"/>
      <c r="F8" s="19"/>
      <c r="G8" s="15"/>
      <c r="H8" s="15"/>
    </row>
    <row r="9" spans="1:8" ht="27" customHeight="1" x14ac:dyDescent="0.25">
      <c r="A9" s="10" t="s">
        <v>96</v>
      </c>
      <c r="C9" s="10" t="s">
        <v>19</v>
      </c>
      <c r="D9" s="15">
        <v>750</v>
      </c>
      <c r="E9" s="15">
        <v>0</v>
      </c>
      <c r="F9" s="15">
        <v>27059.1</v>
      </c>
      <c r="G9" s="15"/>
      <c r="H9" s="15">
        <v>27134.1</v>
      </c>
    </row>
    <row r="10" spans="1:8" ht="27" customHeight="1" x14ac:dyDescent="0.25">
      <c r="A10" s="10" t="s">
        <v>96</v>
      </c>
      <c r="C10" s="10" t="s">
        <v>19</v>
      </c>
      <c r="D10" s="15">
        <v>500</v>
      </c>
      <c r="E10" s="15">
        <v>0</v>
      </c>
      <c r="F10" s="15">
        <v>19265.939999999999</v>
      </c>
      <c r="G10" s="19">
        <f>SUM(F9:F10)</f>
        <v>46325.039999999994</v>
      </c>
      <c r="H10" s="15">
        <v>19340.939999999999</v>
      </c>
    </row>
    <row r="11" spans="1:8" ht="27" customHeight="1" x14ac:dyDescent="0.25">
      <c r="D11" s="15"/>
      <c r="E11" s="15"/>
      <c r="F11" s="15"/>
      <c r="G11" s="15"/>
      <c r="H11" s="15"/>
    </row>
    <row r="12" spans="1:8" ht="27" customHeight="1" x14ac:dyDescent="0.25">
      <c r="A12" s="10" t="s">
        <v>67</v>
      </c>
      <c r="C12" s="10" t="s">
        <v>57</v>
      </c>
      <c r="D12" s="15">
        <v>650</v>
      </c>
      <c r="E12" s="15">
        <v>0</v>
      </c>
      <c r="F12" s="19">
        <v>20990.69</v>
      </c>
      <c r="G12" s="15"/>
      <c r="H12" s="15">
        <v>21065.69</v>
      </c>
    </row>
    <row r="13" spans="1:8" ht="27" customHeight="1" x14ac:dyDescent="0.25">
      <c r="D13" s="15"/>
      <c r="E13" s="15"/>
      <c r="F13" s="19"/>
      <c r="G13" s="15"/>
      <c r="H13" s="15"/>
    </row>
    <row r="14" spans="1:8" ht="27" customHeight="1" x14ac:dyDescent="0.25">
      <c r="A14" s="10" t="s">
        <v>95</v>
      </c>
      <c r="C14" s="10" t="s">
        <v>19</v>
      </c>
      <c r="D14" s="15">
        <v>950</v>
      </c>
      <c r="E14" s="15">
        <v>0</v>
      </c>
      <c r="F14" s="15">
        <v>39863.94</v>
      </c>
      <c r="G14" s="15"/>
      <c r="H14" s="15">
        <v>39938.94</v>
      </c>
    </row>
    <row r="15" spans="1:8" ht="27" customHeight="1" x14ac:dyDescent="0.25">
      <c r="A15" s="10" t="s">
        <v>95</v>
      </c>
      <c r="C15" s="10" t="s">
        <v>57</v>
      </c>
      <c r="D15" s="15">
        <v>650</v>
      </c>
      <c r="E15" s="15">
        <v>0</v>
      </c>
      <c r="F15" s="15">
        <v>22197.88</v>
      </c>
      <c r="G15" s="19">
        <f>SUM(F14:F15)</f>
        <v>62061.820000000007</v>
      </c>
      <c r="H15" s="15">
        <v>22272.880000000001</v>
      </c>
    </row>
    <row r="16" spans="1:8" ht="27" customHeight="1" x14ac:dyDescent="0.25">
      <c r="D16" s="15"/>
      <c r="E16" s="15"/>
      <c r="F16" s="15"/>
      <c r="G16" s="15"/>
      <c r="H16" s="15"/>
    </row>
    <row r="17" spans="1:8" ht="27" customHeight="1" x14ac:dyDescent="0.25">
      <c r="A17" s="10" t="s">
        <v>61</v>
      </c>
      <c r="B17" s="18" t="s">
        <v>97</v>
      </c>
      <c r="C17" s="10" t="s">
        <v>57</v>
      </c>
      <c r="D17" s="15">
        <v>1350</v>
      </c>
      <c r="E17" s="15">
        <v>0</v>
      </c>
      <c r="F17" s="19">
        <v>50852.74</v>
      </c>
      <c r="G17" s="15"/>
      <c r="H17" s="15">
        <v>50927.74</v>
      </c>
    </row>
    <row r="18" spans="1:8" ht="27" customHeight="1" x14ac:dyDescent="0.25">
      <c r="D18" s="15"/>
      <c r="E18" s="15"/>
      <c r="F18" s="19"/>
      <c r="G18" s="15"/>
      <c r="H18" s="15"/>
    </row>
    <row r="19" spans="1:8" ht="27" customHeight="1" x14ac:dyDescent="0.25">
      <c r="A19" s="10" t="s">
        <v>46</v>
      </c>
      <c r="C19" s="10" t="s">
        <v>19</v>
      </c>
      <c r="D19" s="15">
        <v>850</v>
      </c>
      <c r="E19" s="15">
        <v>0</v>
      </c>
      <c r="F19" s="19">
        <v>32862.629999999997</v>
      </c>
      <c r="G19" s="15"/>
      <c r="H19" s="15">
        <v>32937.629999999997</v>
      </c>
    </row>
    <row r="20" spans="1:8" ht="27" customHeight="1" x14ac:dyDescent="0.25">
      <c r="D20" s="15"/>
      <c r="E20" s="15"/>
      <c r="F20" s="15"/>
      <c r="G20" s="15"/>
      <c r="H20" s="15"/>
    </row>
    <row r="21" spans="1:8" ht="27" customHeight="1" x14ac:dyDescent="0.25">
      <c r="A21" s="10" t="s">
        <v>53</v>
      </c>
      <c r="C21" s="10" t="s">
        <v>19</v>
      </c>
      <c r="D21" s="15">
        <v>1500</v>
      </c>
      <c r="E21" s="15">
        <v>0</v>
      </c>
      <c r="F21" s="15">
        <v>77916.63</v>
      </c>
      <c r="G21" s="15"/>
      <c r="H21" s="15">
        <v>77991.63</v>
      </c>
    </row>
    <row r="22" spans="1:8" ht="27" customHeight="1" x14ac:dyDescent="0.25">
      <c r="A22" s="10" t="s">
        <v>53</v>
      </c>
      <c r="C22" s="10" t="s">
        <v>57</v>
      </c>
      <c r="D22" s="15">
        <v>1350</v>
      </c>
      <c r="E22" s="15">
        <v>0</v>
      </c>
      <c r="F22" s="15">
        <v>60285.62</v>
      </c>
      <c r="G22" s="19">
        <f>SUM(F21:F22)</f>
        <v>138202.25</v>
      </c>
      <c r="H22" s="15">
        <v>60360.62</v>
      </c>
    </row>
    <row r="23" spans="1:8" ht="27" customHeight="1" x14ac:dyDescent="0.25">
      <c r="D23" s="15"/>
      <c r="E23" s="15"/>
      <c r="F23" s="15"/>
      <c r="G23" s="15"/>
      <c r="H23" s="15"/>
    </row>
    <row r="24" spans="1:8" ht="27" customHeight="1" x14ac:dyDescent="0.25">
      <c r="A24" s="10" t="s">
        <v>18</v>
      </c>
      <c r="C24" s="10" t="s">
        <v>19</v>
      </c>
      <c r="D24" s="15">
        <v>650</v>
      </c>
      <c r="E24" s="15">
        <v>0</v>
      </c>
      <c r="F24" s="19">
        <v>20826</v>
      </c>
      <c r="G24" s="15"/>
      <c r="H24" s="15">
        <v>20901</v>
      </c>
    </row>
    <row r="25" spans="1:8" ht="27" customHeight="1" x14ac:dyDescent="0.25">
      <c r="D25" s="15"/>
      <c r="E25" s="15"/>
      <c r="F25" s="15"/>
      <c r="G25" s="15"/>
      <c r="H25" s="15"/>
    </row>
    <row r="26" spans="1:8" x14ac:dyDescent="0.25">
      <c r="A26" s="16"/>
      <c r="B26" s="16"/>
      <c r="C26" s="16"/>
      <c r="D26" s="17">
        <f>SUM(D4:D24)</f>
        <v>11750</v>
      </c>
      <c r="E26" s="17">
        <f>SUM(E4:E24)</f>
        <v>0</v>
      </c>
      <c r="F26" s="17">
        <f>SUM(F4:F24)</f>
        <v>466356.39</v>
      </c>
      <c r="G26" s="17"/>
      <c r="H26" s="17">
        <f>SUM(H4:H24)</f>
        <v>467331.39</v>
      </c>
    </row>
  </sheetData>
  <mergeCells count="2">
    <mergeCell ref="A2:D2"/>
    <mergeCell ref="E2:H2"/>
  </mergeCells>
  <pageMargins left="0.7" right="0.7" top="0.75" bottom="0.25" header="0.3" footer="0.3"/>
  <pageSetup scale="80" fitToHeight="0" orientation="landscape" r:id="rId1"/>
  <headerFooter>
    <oddHeader>Page &amp;P of &amp;N</oddHead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1E0E-C76C-469B-AAF6-5CD149862863}">
  <sheetPr>
    <pageSetUpPr fitToPage="1"/>
  </sheetPr>
  <dimension ref="A1:E19"/>
  <sheetViews>
    <sheetView workbookViewId="0">
      <selection activeCell="G14" sqref="G12:H14"/>
    </sheetView>
  </sheetViews>
  <sheetFormatPr defaultRowHeight="15" x14ac:dyDescent="0.25"/>
  <cols>
    <col min="1" max="1" width="15" customWidth="1"/>
    <col min="3" max="3" width="12.7109375" customWidth="1"/>
    <col min="4" max="4" width="13" customWidth="1"/>
    <col min="5" max="5" width="25.140625" customWidth="1"/>
  </cols>
  <sheetData>
    <row r="1" spans="1:5" ht="24.95" customHeight="1" x14ac:dyDescent="0.25">
      <c r="A1" t="s">
        <v>104</v>
      </c>
      <c r="D1" s="4"/>
      <c r="E1" s="20">
        <v>45932</v>
      </c>
    </row>
    <row r="2" spans="1:5" ht="24.95" customHeight="1" x14ac:dyDescent="0.25">
      <c r="A2" s="21" t="s">
        <v>0</v>
      </c>
      <c r="B2" s="6"/>
      <c r="C2" s="6"/>
      <c r="D2" s="22" t="s">
        <v>99</v>
      </c>
      <c r="E2" s="6"/>
    </row>
    <row r="3" spans="1:5" ht="24.95" customHeight="1" x14ac:dyDescent="0.25">
      <c r="A3" t="s">
        <v>2</v>
      </c>
      <c r="B3" t="s">
        <v>4</v>
      </c>
      <c r="C3" t="s">
        <v>5</v>
      </c>
      <c r="D3" t="s">
        <v>6</v>
      </c>
      <c r="E3" t="s">
        <v>7</v>
      </c>
    </row>
    <row r="4" spans="1:5" ht="24.95" customHeight="1" x14ac:dyDescent="0.25">
      <c r="A4" t="s">
        <v>31</v>
      </c>
      <c r="B4" t="s">
        <v>32</v>
      </c>
      <c r="C4" t="s">
        <v>33</v>
      </c>
      <c r="E4" t="s">
        <v>34</v>
      </c>
    </row>
    <row r="5" spans="1:5" ht="24.95" customHeight="1" x14ac:dyDescent="0.25">
      <c r="A5" t="s">
        <v>41</v>
      </c>
      <c r="B5" t="s">
        <v>32</v>
      </c>
      <c r="C5" t="s">
        <v>42</v>
      </c>
      <c r="E5" t="s">
        <v>34</v>
      </c>
    </row>
    <row r="6" spans="1:5" ht="24.95" customHeight="1" x14ac:dyDescent="0.25">
      <c r="A6" s="23"/>
      <c r="B6" s="23"/>
      <c r="C6" s="23" t="s">
        <v>100</v>
      </c>
      <c r="D6" s="23"/>
      <c r="E6" s="23"/>
    </row>
    <row r="7" spans="1:5" ht="24.95" customHeight="1" x14ac:dyDescent="0.25"/>
    <row r="9" spans="1:5" x14ac:dyDescent="0.25">
      <c r="E9" s="25"/>
    </row>
    <row r="10" spans="1:5" x14ac:dyDescent="0.25">
      <c r="A10" t="s">
        <v>101</v>
      </c>
      <c r="B10" s="24"/>
      <c r="C10" s="24"/>
      <c r="D10" s="24"/>
      <c r="E10" s="25"/>
    </row>
    <row r="11" spans="1:5" x14ac:dyDescent="0.25">
      <c r="E11" s="25"/>
    </row>
    <row r="12" spans="1:5" x14ac:dyDescent="0.25">
      <c r="E12" s="25"/>
    </row>
    <row r="13" spans="1:5" x14ac:dyDescent="0.25">
      <c r="E13" s="25"/>
    </row>
    <row r="14" spans="1:5" x14ac:dyDescent="0.25">
      <c r="E14" s="25"/>
    </row>
    <row r="15" spans="1:5" x14ac:dyDescent="0.25">
      <c r="A15" t="s">
        <v>102</v>
      </c>
      <c r="B15" s="24"/>
      <c r="C15" s="24"/>
      <c r="D15" s="24"/>
      <c r="E15" s="25"/>
    </row>
    <row r="16" spans="1:5" x14ac:dyDescent="0.25">
      <c r="E16" s="25"/>
    </row>
    <row r="17" spans="1:5" x14ac:dyDescent="0.25">
      <c r="E17" s="25"/>
    </row>
    <row r="19" spans="1:5" x14ac:dyDescent="0.25">
      <c r="A19" t="s">
        <v>103</v>
      </c>
      <c r="B19" s="24"/>
      <c r="C19" s="24"/>
    </row>
  </sheetData>
  <mergeCells count="2">
    <mergeCell ref="A2:C2"/>
    <mergeCell ref="D2:E2"/>
  </mergeCells>
  <pageMargins left="0.7" right="0.7" top="0.75" bottom="0.75" header="0.3" footer="0.3"/>
  <pageSetup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Folder Vers</vt:lpstr>
      <vt:lpstr>Funding Worksheet - ACH</vt:lpstr>
      <vt:lpstr>Original Note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Rachel Gorham</cp:lastModifiedBy>
  <cp:lastPrinted>2025-10-02T18:40:46Z</cp:lastPrinted>
  <dcterms:created xsi:type="dcterms:W3CDTF">2025-10-02T18:06:32Z</dcterms:created>
  <dcterms:modified xsi:type="dcterms:W3CDTF">2025-10-02T19:20:59Z</dcterms:modified>
</cp:coreProperties>
</file>