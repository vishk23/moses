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CB8E1891-D995-4E71-AF39-6FB87BC355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F13" i="1"/>
  <c r="F18" i="1"/>
  <c r="F21" i="1"/>
  <c r="H24" i="1"/>
  <c r="E24" i="1"/>
  <c r="D24" i="1"/>
  <c r="C24" i="1"/>
</calcChain>
</file>

<file path=xl/sharedStrings.xml><?xml version="1.0" encoding="utf-8"?>
<sst xmlns="http://schemas.openxmlformats.org/spreadsheetml/2006/main" count="180" uniqueCount="101">
  <si>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</si>
  <si>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</si>
  <si>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</si>
  <si>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</si>
  <si>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</si>
  <si>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</si>
  <si>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</si>
  <si>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</si>
  <si>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</si>
  <si>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</si>
  <si>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Bourne Enterprises Inc</t>
  </si>
  <si>
    <t>Neli Oliveira</t>
  </si>
  <si>
    <t>Coastal Volkswagon</t>
  </si>
  <si>
    <t>Marlene Braganca</t>
  </si>
  <si>
    <t>Grieco Enterprises, LLC d/b/a</t>
  </si>
  <si>
    <t>Lucchettis Service Center Inc</t>
  </si>
  <si>
    <t>Mastria Kia</t>
  </si>
  <si>
    <t>Mastria Mazda</t>
  </si>
  <si>
    <t>Priority Automotive LLC</t>
  </si>
  <si>
    <t>T F Murphy Enterprises Inc</t>
  </si>
  <si>
    <t>Wareham Ford</t>
  </si>
  <si>
    <t>Column1</t>
  </si>
  <si>
    <t>Column2</t>
  </si>
  <si>
    <t>5099      5689</t>
  </si>
  <si>
    <t>5900       6390</t>
  </si>
  <si>
    <t># 12</t>
  </si>
  <si>
    <t>FULLIN &amp; BETTENCOURT PLUMBING &amp; HEATING INC</t>
  </si>
  <si>
    <t>PACHICO</t>
  </si>
  <si>
    <t>keithfullin@yahoo.com</t>
  </si>
  <si>
    <t>FULLIN, KEITH</t>
  </si>
  <si>
    <t>E Contract</t>
  </si>
  <si>
    <t>Route One</t>
  </si>
  <si>
    <t>151156190e</t>
  </si>
  <si>
    <t>McNeil</t>
  </si>
  <si>
    <t>MAXMEDIAINTL@GMAIL.COM</t>
  </si>
  <si>
    <t>TEKAN, TARKAN</t>
  </si>
  <si>
    <t>DealerTrack</t>
  </si>
  <si>
    <t>151156174e</t>
  </si>
  <si>
    <t>WARD</t>
  </si>
  <si>
    <t>LUSSIER</t>
  </si>
  <si>
    <t>FAGAN, MIA</t>
  </si>
  <si>
    <t>FAGAN, MICHAEL</t>
  </si>
  <si>
    <t>Paper</t>
  </si>
  <si>
    <t>151156158</t>
  </si>
  <si>
    <t>GILL</t>
  </si>
  <si>
    <t>SHANNONM0917@COMCAST.NET</t>
  </si>
  <si>
    <t>MCLAUGHLIN, SHANNON</t>
  </si>
  <si>
    <t>151156140e</t>
  </si>
  <si>
    <t>PEAK</t>
  </si>
  <si>
    <t>JNINE1979@YAHOO.COM</t>
  </si>
  <si>
    <t>DUNN, JANINE</t>
  </si>
  <si>
    <t>151156116e</t>
  </si>
  <si>
    <t>TREAT</t>
  </si>
  <si>
    <t>DIMARZO</t>
  </si>
  <si>
    <t>CARLSONLAURA16@YAHOO.COM</t>
  </si>
  <si>
    <t>MCARLSO1@COMCAST.NET</t>
  </si>
  <si>
    <t>CARLSON, LAURA</t>
  </si>
  <si>
    <t>CARLSON, MARK</t>
  </si>
  <si>
    <t>151156108e</t>
  </si>
  <si>
    <t>HENRY</t>
  </si>
  <si>
    <t>stacyandelskamp@aol.com</t>
  </si>
  <si>
    <t>STACY, DEBORAH</t>
  </si>
  <si>
    <t>151156091</t>
  </si>
  <si>
    <t>YING</t>
  </si>
  <si>
    <t>JING</t>
  </si>
  <si>
    <t>GU, YVONNE</t>
  </si>
  <si>
    <t>TIAN, ROBERT</t>
  </si>
  <si>
    <t>151156083e</t>
  </si>
  <si>
    <t>RUBBICCO</t>
  </si>
  <si>
    <t>RAPOSO</t>
  </si>
  <si>
    <t>ONEIL, JAMIE</t>
  </si>
  <si>
    <t>RAPOSO, JOSE</t>
  </si>
  <si>
    <t>151156075e</t>
  </si>
  <si>
    <t>IRVIN</t>
  </si>
  <si>
    <t>shannon.r.quinn13@gmail.com</t>
  </si>
  <si>
    <t>Foley, Shannon</t>
  </si>
  <si>
    <t>151156025e</t>
  </si>
  <si>
    <t>Hall</t>
  </si>
  <si>
    <t>mfwien@gmail.com</t>
  </si>
  <si>
    <t>WIEN, MATTHEW</t>
  </si>
  <si>
    <t>151156017e</t>
  </si>
  <si>
    <t>Hurley</t>
  </si>
  <si>
    <t>dmdelucca@verizon.net</t>
  </si>
  <si>
    <t>DELUCCA, LOUIS</t>
  </si>
  <si>
    <t>151155796e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</si>
  <si>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</si>
  <si>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</si>
  <si>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</si>
  <si>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</si>
  <si>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</si>
  <si>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</si>
  <si>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</si>
  <si>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</si>
  <si>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</si>
  <si>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</si>
  <si>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</si>
  <si>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Funding Worksheet - Signoff Version</t>
  </si>
  <si>
    <t># 2</t>
  </si>
  <si>
    <t>Delivered By_____________________________________________________________________________</t>
  </si>
  <si>
    <t>Received By_____________________________________________________________________________</t>
  </si>
  <si>
    <t>Date Signed__________________________________________________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</si>
</sst>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33A81485-6A2F-4EEA-82F4-B1A4C6ECDEEF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4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3A838778-7222-4221-AA2E-8D85327C2C1C}" name="Column1" dataDxfId="23"/>
    <tableColumn id="8" xr3:uid="{3C5B6B03-4314-4668-BC2D-EAAFC4FBBCAA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F536ED-37C4-485D-B846-83EF1EE0410E}" name="Table_13" displayName="Table_13" ref="A3:L16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E65625-5C38-4D04-BBFB-06EB4A485D71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tabSelected="1" workbookViewId="0">
      <pane ySplit="3" topLeftCell="A4" activePane="bottomLeft" state="frozen"/>
      <selection pane="bottomLeft" activeCell="E23" sqref="E23"/>
    </sheetView>
  </sheetViews>
  <sheetFormatPr defaultRowHeight="15" x14ac:dyDescent="0.25"/>
  <cols>
    <col min="1" max="1" width="27.85546875" bestFit="1" customWidth="1"/>
    <col min="2" max="2" width="17.7109375" bestFit="1" customWidth="1"/>
    <col min="3" max="3" width="11.140625" bestFit="1" customWidth="1"/>
    <col min="4" max="4" width="15.425781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45728</v>
      </c>
      <c r="E1" t="s">
        <v>2</v>
      </c>
      <c r="H1" s="4">
        <v>45728.999988425923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21</v>
      </c>
      <c r="G3" t="s">
        <v>22</v>
      </c>
      <c r="H3" t="s">
        <v>9</v>
      </c>
    </row>
    <row r="4" spans="1:8" x14ac:dyDescent="0.25">
      <c r="A4" t="s">
        <v>10</v>
      </c>
      <c r="B4" t="s">
        <v>11</v>
      </c>
      <c r="C4" s="2">
        <v>1050</v>
      </c>
      <c r="D4" s="2">
        <v>0</v>
      </c>
      <c r="E4" s="2">
        <v>44834.879999999997</v>
      </c>
      <c r="F4" s="2"/>
      <c r="G4" s="2"/>
      <c r="H4" s="2">
        <v>44909.88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850</v>
      </c>
      <c r="D6" s="2">
        <v>0</v>
      </c>
      <c r="E6" s="2">
        <v>33257.97</v>
      </c>
      <c r="F6" s="2"/>
      <c r="G6" s="2"/>
      <c r="H6" s="2">
        <v>33332.97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850</v>
      </c>
      <c r="D8" s="2">
        <v>0</v>
      </c>
      <c r="E8" s="2">
        <v>31925</v>
      </c>
      <c r="F8" s="2"/>
      <c r="G8" s="2"/>
      <c r="H8" s="2">
        <v>32000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13</v>
      </c>
      <c r="C10" s="2">
        <v>750</v>
      </c>
      <c r="D10" s="2">
        <v>0</v>
      </c>
      <c r="E10" s="2">
        <v>25065</v>
      </c>
      <c r="F10" s="2"/>
      <c r="G10" s="2"/>
      <c r="H10" s="2">
        <v>25140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11</v>
      </c>
      <c r="C12" s="2">
        <v>850</v>
      </c>
      <c r="D12" s="2">
        <v>0</v>
      </c>
      <c r="E12" s="2">
        <v>33578.300000000003</v>
      </c>
      <c r="F12" s="2"/>
      <c r="G12" s="2" t="s">
        <v>23</v>
      </c>
      <c r="H12" s="2">
        <v>33653.300000000003</v>
      </c>
    </row>
    <row r="13" spans="1:8" x14ac:dyDescent="0.25">
      <c r="A13" t="s">
        <v>16</v>
      </c>
      <c r="B13" t="s">
        <v>11</v>
      </c>
      <c r="C13" s="2">
        <v>500</v>
      </c>
      <c r="D13" s="2">
        <v>0</v>
      </c>
      <c r="E13" s="2">
        <v>18475</v>
      </c>
      <c r="F13" s="2">
        <f>SUM(E12:E13)</f>
        <v>52053.3</v>
      </c>
      <c r="G13" s="2"/>
      <c r="H13" s="2">
        <v>18550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13</v>
      </c>
      <c r="C15" s="2">
        <v>850</v>
      </c>
      <c r="D15" s="2">
        <v>0</v>
      </c>
      <c r="E15" s="2">
        <v>33431.089999999997</v>
      </c>
      <c r="F15" s="2"/>
      <c r="G15" s="2" t="s">
        <v>24</v>
      </c>
      <c r="H15" s="2">
        <v>33506.089999999997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11</v>
      </c>
      <c r="C17" s="2">
        <v>650</v>
      </c>
      <c r="D17" s="2">
        <v>0</v>
      </c>
      <c r="E17" s="2">
        <v>23510</v>
      </c>
      <c r="F17" s="2"/>
      <c r="G17" s="2"/>
      <c r="H17" s="2">
        <v>23585</v>
      </c>
    </row>
    <row r="18" spans="1:8" x14ac:dyDescent="0.25">
      <c r="A18" t="s">
        <v>18</v>
      </c>
      <c r="B18" t="s">
        <v>11</v>
      </c>
      <c r="C18" s="2">
        <v>950</v>
      </c>
      <c r="D18" s="2">
        <v>0</v>
      </c>
      <c r="E18" s="2">
        <v>39618.129999999997</v>
      </c>
      <c r="F18" s="2">
        <f>SUM(E17:E18)</f>
        <v>63128.13</v>
      </c>
      <c r="G18" s="2"/>
      <c r="H18" s="2">
        <v>39693.129999999997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19</v>
      </c>
      <c r="B20" t="s">
        <v>11</v>
      </c>
      <c r="C20" s="2">
        <v>950</v>
      </c>
      <c r="D20" s="2">
        <v>0</v>
      </c>
      <c r="E20" s="2">
        <v>37801.56</v>
      </c>
      <c r="F20" s="2"/>
      <c r="G20" s="2"/>
      <c r="H20" s="2">
        <v>37876.559999999998</v>
      </c>
    </row>
    <row r="21" spans="1:8" x14ac:dyDescent="0.25">
      <c r="A21" t="s">
        <v>19</v>
      </c>
      <c r="B21" t="s">
        <v>11</v>
      </c>
      <c r="C21" s="2">
        <v>500</v>
      </c>
      <c r="D21" s="2">
        <v>0</v>
      </c>
      <c r="E21" s="2">
        <v>19645.47</v>
      </c>
      <c r="F21" s="2">
        <f>SUM(E20:E21)</f>
        <v>57447.03</v>
      </c>
      <c r="G21" s="2"/>
      <c r="H21" s="2">
        <v>19720.47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13</v>
      </c>
      <c r="C23" s="2">
        <v>1150</v>
      </c>
      <c r="D23" s="2">
        <v>0</v>
      </c>
      <c r="E23" s="2">
        <v>47349.56</v>
      </c>
      <c r="F23" s="2"/>
      <c r="G23" s="2"/>
      <c r="H23" s="2">
        <v>47424.56</v>
      </c>
    </row>
    <row r="24" spans="1:8" x14ac:dyDescent="0.25">
      <c r="A24" s="1"/>
      <c r="B24" s="1"/>
      <c r="C24" s="3">
        <f>SUM(C4:C23)</f>
        <v>9900</v>
      </c>
      <c r="D24" s="3">
        <f>SUM(D4:D23)</f>
        <v>0</v>
      </c>
      <c r="E24" s="3">
        <f>SUM(E4:E23)</f>
        <v>388491.96</v>
      </c>
      <c r="F24" s="3"/>
      <c r="G24" s="3"/>
      <c r="H24" s="3">
        <f>SUM(H4:H23)</f>
        <v>389391.96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44AE-3C83-4E95-9B86-C097F567B796}">
  <sheetPr>
    <pageSetUpPr fitToPage="1"/>
  </sheetPr>
  <dimension ref="A1:M20"/>
  <sheetViews>
    <sheetView workbookViewId="0">
      <pane ySplit="3" topLeftCell="A6" activePane="bottomLeft" state="frozen"/>
      <selection pane="bottomLeft" activeCell="H7" sqref="H7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7109375" style="8" bestFit="1" customWidth="1"/>
    <col min="5" max="5" width="18.7109375" style="8" bestFit="1" customWidth="1"/>
    <col min="6" max="6" width="27.85546875" style="8" bestFit="1" customWidth="1"/>
    <col min="7" max="7" width="17.7109375" style="8" bestFit="1" customWidth="1"/>
    <col min="8" max="8" width="17.140625" style="8" bestFit="1" customWidth="1"/>
    <col min="9" max="9" width="31.85546875" style="8" bestFit="1" customWidth="1"/>
    <col min="10" max="10" width="31.7109375" style="8" bestFit="1" customWidth="1"/>
    <col min="11" max="11" width="15.4257812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45728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95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94</v>
      </c>
      <c r="B3" s="9" t="s">
        <v>93</v>
      </c>
      <c r="C3" s="9" t="s">
        <v>92</v>
      </c>
      <c r="D3" s="9" t="s">
        <v>91</v>
      </c>
      <c r="E3" s="9" t="s">
        <v>90</v>
      </c>
      <c r="F3" s="9" t="s">
        <v>4</v>
      </c>
      <c r="G3" s="9" t="s">
        <v>5</v>
      </c>
      <c r="H3" s="9" t="s">
        <v>89</v>
      </c>
      <c r="I3" s="9" t="s">
        <v>88</v>
      </c>
      <c r="J3" s="9" t="s">
        <v>87</v>
      </c>
      <c r="K3" s="9" t="s">
        <v>86</v>
      </c>
      <c r="L3" s="9" t="s">
        <v>85</v>
      </c>
      <c r="M3" s="9"/>
    </row>
    <row r="4" spans="1:13" ht="35.1" customHeight="1" x14ac:dyDescent="0.25">
      <c r="A4" s="9" t="s">
        <v>84</v>
      </c>
      <c r="B4" s="9" t="s">
        <v>31</v>
      </c>
      <c r="C4" s="9" t="s">
        <v>30</v>
      </c>
      <c r="D4" s="9" t="s">
        <v>83</v>
      </c>
      <c r="E4" s="9"/>
      <c r="F4" s="9" t="s">
        <v>15</v>
      </c>
      <c r="G4" s="9" t="s">
        <v>13</v>
      </c>
      <c r="H4" s="14">
        <v>25140</v>
      </c>
      <c r="I4" s="9" t="s">
        <v>82</v>
      </c>
      <c r="J4" s="9"/>
      <c r="K4" s="9" t="s">
        <v>81</v>
      </c>
      <c r="L4" s="9"/>
      <c r="M4" s="9"/>
    </row>
    <row r="5" spans="1:13" ht="35.1" customHeight="1" x14ac:dyDescent="0.25">
      <c r="A5" s="9" t="s">
        <v>80</v>
      </c>
      <c r="B5" s="9" t="s">
        <v>31</v>
      </c>
      <c r="C5" s="9" t="s">
        <v>30</v>
      </c>
      <c r="D5" s="9" t="s">
        <v>79</v>
      </c>
      <c r="E5" s="9"/>
      <c r="F5" s="9" t="s">
        <v>20</v>
      </c>
      <c r="G5" s="9" t="s">
        <v>13</v>
      </c>
      <c r="H5" s="14">
        <v>47424.56</v>
      </c>
      <c r="I5" s="9" t="s">
        <v>78</v>
      </c>
      <c r="J5" s="9"/>
      <c r="K5" s="9" t="s">
        <v>77</v>
      </c>
      <c r="L5" s="9"/>
      <c r="M5" s="9"/>
    </row>
    <row r="6" spans="1:13" ht="35.1" customHeight="1" x14ac:dyDescent="0.25">
      <c r="A6" s="9" t="s">
        <v>76</v>
      </c>
      <c r="B6" s="9" t="s">
        <v>31</v>
      </c>
      <c r="C6" s="9" t="s">
        <v>30</v>
      </c>
      <c r="D6" s="9" t="s">
        <v>75</v>
      </c>
      <c r="E6" s="9"/>
      <c r="F6" s="9" t="s">
        <v>17</v>
      </c>
      <c r="G6" s="9" t="s">
        <v>13</v>
      </c>
      <c r="H6" s="14">
        <v>33506.089999999997</v>
      </c>
      <c r="I6" s="9" t="s">
        <v>74</v>
      </c>
      <c r="J6" s="9"/>
      <c r="K6" s="9" t="s">
        <v>73</v>
      </c>
      <c r="L6" s="9"/>
      <c r="M6" s="9"/>
    </row>
    <row r="7" spans="1:13" ht="35.1" customHeight="1" x14ac:dyDescent="0.25">
      <c r="A7" s="9" t="s">
        <v>72</v>
      </c>
      <c r="B7" s="9" t="s">
        <v>36</v>
      </c>
      <c r="C7" s="9" t="s">
        <v>30</v>
      </c>
      <c r="D7" s="9" t="s">
        <v>71</v>
      </c>
      <c r="E7" s="9" t="s">
        <v>70</v>
      </c>
      <c r="F7" s="9" t="s">
        <v>18</v>
      </c>
      <c r="G7" s="9" t="s">
        <v>11</v>
      </c>
      <c r="H7" s="14">
        <v>39693.129999999997</v>
      </c>
      <c r="I7" s="9"/>
      <c r="J7" s="9"/>
      <c r="K7" s="9" t="s">
        <v>69</v>
      </c>
      <c r="L7" s="9" t="s">
        <v>68</v>
      </c>
      <c r="M7" s="9"/>
    </row>
    <row r="8" spans="1:13" ht="35.1" customHeight="1" x14ac:dyDescent="0.25">
      <c r="A8" s="9" t="s">
        <v>67</v>
      </c>
      <c r="B8" s="9" t="s">
        <v>36</v>
      </c>
      <c r="C8" s="9" t="s">
        <v>30</v>
      </c>
      <c r="D8" s="9" t="s">
        <v>66</v>
      </c>
      <c r="E8" s="9" t="s">
        <v>65</v>
      </c>
      <c r="F8" s="9" t="s">
        <v>18</v>
      </c>
      <c r="G8" s="9" t="s">
        <v>11</v>
      </c>
      <c r="H8" s="14">
        <v>23585</v>
      </c>
      <c r="I8" s="9"/>
      <c r="J8" s="9"/>
      <c r="K8" s="9" t="s">
        <v>64</v>
      </c>
      <c r="L8" s="9" t="s">
        <v>63</v>
      </c>
      <c r="M8" s="9"/>
    </row>
    <row r="9" spans="1:13" ht="35.1" customHeight="1" x14ac:dyDescent="0.25">
      <c r="A9" s="9" t="s">
        <v>62</v>
      </c>
      <c r="B9" s="9" t="s">
        <v>31</v>
      </c>
      <c r="C9" s="9" t="s">
        <v>42</v>
      </c>
      <c r="D9" s="9" t="s">
        <v>61</v>
      </c>
      <c r="E9" s="9"/>
      <c r="F9" s="9" t="s">
        <v>19</v>
      </c>
      <c r="G9" s="9" t="s">
        <v>11</v>
      </c>
      <c r="H9" s="14">
        <v>37876.559999999998</v>
      </c>
      <c r="I9" s="9" t="s">
        <v>60</v>
      </c>
      <c r="J9" s="9"/>
      <c r="K9" s="9" t="s">
        <v>59</v>
      </c>
      <c r="L9" s="9"/>
      <c r="M9" s="9"/>
    </row>
    <row r="10" spans="1:13" ht="35.1" customHeight="1" x14ac:dyDescent="0.25">
      <c r="A10" s="9" t="s">
        <v>58</v>
      </c>
      <c r="B10" s="9" t="s">
        <v>36</v>
      </c>
      <c r="C10" s="9" t="s">
        <v>30</v>
      </c>
      <c r="D10" s="9" t="s">
        <v>57</v>
      </c>
      <c r="E10" s="9" t="s">
        <v>56</v>
      </c>
      <c r="F10" s="9" t="s">
        <v>16</v>
      </c>
      <c r="G10" s="9" t="s">
        <v>11</v>
      </c>
      <c r="H10" s="14">
        <v>18550</v>
      </c>
      <c r="I10" s="9" t="s">
        <v>55</v>
      </c>
      <c r="J10" s="9" t="s">
        <v>54</v>
      </c>
      <c r="K10" s="9" t="s">
        <v>53</v>
      </c>
      <c r="L10" s="9" t="s">
        <v>52</v>
      </c>
      <c r="M10" s="9"/>
    </row>
    <row r="11" spans="1:13" ht="35.1" customHeight="1" x14ac:dyDescent="0.25">
      <c r="A11" s="9" t="s">
        <v>51</v>
      </c>
      <c r="B11" s="9" t="s">
        <v>36</v>
      </c>
      <c r="C11" s="9" t="s">
        <v>30</v>
      </c>
      <c r="D11" s="9" t="s">
        <v>50</v>
      </c>
      <c r="E11" s="9"/>
      <c r="F11" s="9" t="s">
        <v>16</v>
      </c>
      <c r="G11" s="9" t="s">
        <v>11</v>
      </c>
      <c r="H11" s="14">
        <v>33653.300000000003</v>
      </c>
      <c r="I11" s="9" t="s">
        <v>49</v>
      </c>
      <c r="J11" s="9"/>
      <c r="K11" s="9" t="s">
        <v>48</v>
      </c>
      <c r="L11" s="9"/>
      <c r="M11" s="9"/>
    </row>
    <row r="12" spans="1:13" ht="35.1" customHeight="1" x14ac:dyDescent="0.25">
      <c r="A12" s="9" t="s">
        <v>47</v>
      </c>
      <c r="B12" s="9" t="s">
        <v>36</v>
      </c>
      <c r="C12" s="9" t="s">
        <v>30</v>
      </c>
      <c r="D12" s="9" t="s">
        <v>46</v>
      </c>
      <c r="E12" s="9"/>
      <c r="F12" s="9" t="s">
        <v>14</v>
      </c>
      <c r="G12" s="9" t="s">
        <v>11</v>
      </c>
      <c r="H12" s="14">
        <v>32000</v>
      </c>
      <c r="I12" s="9" t="s">
        <v>45</v>
      </c>
      <c r="J12" s="9"/>
      <c r="K12" s="9" t="s">
        <v>44</v>
      </c>
      <c r="L12" s="9"/>
      <c r="M12" s="9"/>
    </row>
    <row r="13" spans="1:13" ht="35.1" customHeight="1" x14ac:dyDescent="0.25">
      <c r="A13" s="9" t="s">
        <v>43</v>
      </c>
      <c r="B13" s="9" t="s">
        <v>36</v>
      </c>
      <c r="C13" s="9" t="s">
        <v>42</v>
      </c>
      <c r="D13" s="9" t="s">
        <v>41</v>
      </c>
      <c r="E13" s="9" t="s">
        <v>40</v>
      </c>
      <c r="F13" s="9" t="s">
        <v>10</v>
      </c>
      <c r="G13" s="9" t="s">
        <v>11</v>
      </c>
      <c r="H13" s="14">
        <v>44909.88</v>
      </c>
      <c r="I13" s="9"/>
      <c r="J13" s="9"/>
      <c r="K13" s="9" t="s">
        <v>39</v>
      </c>
      <c r="L13" s="9" t="s">
        <v>38</v>
      </c>
      <c r="M13" s="9"/>
    </row>
    <row r="14" spans="1:13" ht="35.1" customHeight="1" x14ac:dyDescent="0.25">
      <c r="A14" s="9" t="s">
        <v>37</v>
      </c>
      <c r="B14" s="9" t="s">
        <v>36</v>
      </c>
      <c r="C14" s="9" t="s">
        <v>30</v>
      </c>
      <c r="D14" s="9" t="s">
        <v>35</v>
      </c>
      <c r="E14" s="9"/>
      <c r="F14" s="9" t="s">
        <v>12</v>
      </c>
      <c r="G14" s="9" t="s">
        <v>13</v>
      </c>
      <c r="H14" s="14">
        <v>33332.97</v>
      </c>
      <c r="I14" s="9" t="s">
        <v>34</v>
      </c>
      <c r="J14" s="9"/>
      <c r="K14" s="9" t="s">
        <v>33</v>
      </c>
      <c r="L14" s="9"/>
      <c r="M14" s="9"/>
    </row>
    <row r="15" spans="1:13" ht="35.1" customHeight="1" x14ac:dyDescent="0.25">
      <c r="A15" s="9" t="s">
        <v>32</v>
      </c>
      <c r="B15" s="9" t="s">
        <v>31</v>
      </c>
      <c r="C15" s="9" t="s">
        <v>30</v>
      </c>
      <c r="D15" s="9" t="s">
        <v>26</v>
      </c>
      <c r="E15" s="9" t="s">
        <v>29</v>
      </c>
      <c r="F15" s="9" t="s">
        <v>19</v>
      </c>
      <c r="G15" s="9" t="s">
        <v>11</v>
      </c>
      <c r="H15" s="14">
        <v>19720.47</v>
      </c>
      <c r="I15" s="9" t="s">
        <v>28</v>
      </c>
      <c r="J15" s="9"/>
      <c r="K15" s="9" t="s">
        <v>27</v>
      </c>
      <c r="L15" s="9"/>
      <c r="M15" s="9"/>
    </row>
    <row r="16" spans="1:13" ht="35.1" customHeight="1" x14ac:dyDescent="0.25">
      <c r="A16" s="15"/>
      <c r="B16" s="15"/>
      <c r="C16" s="15"/>
      <c r="D16" s="15" t="s">
        <v>25</v>
      </c>
      <c r="E16" s="15"/>
      <c r="F16" s="15"/>
      <c r="G16" s="15"/>
      <c r="H16" s="16">
        <f>SUM(H4:H15)</f>
        <v>389391.95999999996</v>
      </c>
      <c r="I16" s="15"/>
      <c r="J16" s="15"/>
      <c r="K16" s="15"/>
      <c r="L16" s="15"/>
      <c r="M16" s="9"/>
    </row>
    <row r="17" spans="1:13" ht="35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ht="35.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5.1" customHeight="1" x14ac:dyDescent="0.25"/>
    <row r="20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194C-F588-45AC-BBC3-46CB4ACC45B3}">
  <sheetPr>
    <pageSetUpPr fitToPage="1"/>
  </sheetPr>
  <dimension ref="A1:E15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3.7109375" style="8" bestFit="1" customWidth="1"/>
    <col min="4" max="4" width="18.7109375" style="8" bestFit="1" customWidth="1"/>
    <col min="5" max="5" width="27.855468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45728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96</v>
      </c>
      <c r="E2" s="12"/>
    </row>
    <row r="3" spans="1:5" x14ac:dyDescent="0.25">
      <c r="A3" s="9" t="s">
        <v>94</v>
      </c>
      <c r="B3" s="9" t="s">
        <v>92</v>
      </c>
      <c r="C3" s="9" t="s">
        <v>91</v>
      </c>
      <c r="D3" s="9" t="s">
        <v>90</v>
      </c>
      <c r="E3" s="9" t="s">
        <v>4</v>
      </c>
    </row>
    <row r="4" spans="1:5" x14ac:dyDescent="0.25">
      <c r="A4" s="9" t="s">
        <v>62</v>
      </c>
      <c r="B4" s="9" t="s">
        <v>42</v>
      </c>
      <c r="C4" s="9" t="s">
        <v>61</v>
      </c>
      <c r="D4" s="9"/>
      <c r="E4" s="9" t="s">
        <v>19</v>
      </c>
    </row>
    <row r="5" spans="1:5" x14ac:dyDescent="0.25">
      <c r="A5" s="9" t="s">
        <v>43</v>
      </c>
      <c r="B5" s="9" t="s">
        <v>42</v>
      </c>
      <c r="C5" s="9" t="s">
        <v>41</v>
      </c>
      <c r="D5" s="9" t="s">
        <v>40</v>
      </c>
      <c r="E5" s="9" t="s">
        <v>10</v>
      </c>
    </row>
    <row r="6" spans="1:5" x14ac:dyDescent="0.25">
      <c r="A6" s="15"/>
      <c r="B6" s="15"/>
      <c r="C6" s="15" t="s">
        <v>97</v>
      </c>
      <c r="D6" s="15"/>
      <c r="E6" s="15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 t="s">
        <v>98</v>
      </c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 t="s">
        <v>99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 t="s">
        <v>100</v>
      </c>
      <c r="B15" s="9"/>
      <c r="C15" s="9"/>
      <c r="D15" s="9"/>
      <c r="E15" s="9"/>
    </row>
  </sheetData>
  <mergeCells count="2">
    <mergeCell ref="A2:C2"/>
    <mergeCell ref="D2:E2"/>
  </mergeCells>
  <pageMargins left="0.7" right="0.7" top="0.75" bottom="0.75" header="0.3" footer="0.3"/>
  <pageSetup scale="8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2025-03-12T17:58:01Z</cp:lastPrinted>
  <dcterms:created xsi:type="dcterms:W3CDTF">2025-03-12T17:43:30Z</dcterms:created>
  <dcterms:modified xsi:type="dcterms:W3CDTF">2025-03-12T18:08:13Z</dcterms:modified>
</cp:coreProperties>
</file>