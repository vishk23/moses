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E1326608-E064-42F4-8A76-3403F1BFE3E9}" xr6:coauthVersionLast="47" xr6:coauthVersionMax="47" xr10:uidLastSave="{00000000-0000-0000-0000-000000000000}"/>
  <bookViews>
    <workbookView xWindow="31140" yWindow="600" windowWidth="22305" windowHeight="15600" activeTab="1" xr2:uid="{00000000-000D-0000-FFFF-FFFF00000000}"/>
  </bookViews>
  <sheets>
    <sheet name="Funding Worksheet - ACH Version" sheetId="1" r:id="rId1"/>
    <sheet name="Funding Worksheet - Folder Ve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2" l="1"/>
  <c r="F8" i="1"/>
  <c r="F31" i="1"/>
  <c r="F26" i="1"/>
  <c r="F17" i="1"/>
  <c r="H38" i="1"/>
  <c r="E38" i="1"/>
  <c r="D38" i="1"/>
  <c r="C38" i="1"/>
</calcChain>
</file>

<file path=xl/sharedStrings.xml><?xml version="1.0" encoding="utf-8"?>
<sst xmlns="http://schemas.openxmlformats.org/spreadsheetml/2006/main" count="233" uniqueCount="128">
  <si>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</si>
  <si>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</si>
  <si>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</si>
  <si>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</si>
  <si>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</si>
  <si>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</si>
  <si>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</si>
  <si>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</si>
  <si>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</si>
  <si>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</si>
  <si>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Alden Buick Pontiac GMC</t>
  </si>
  <si>
    <t>Marlene Braganca</t>
  </si>
  <si>
    <t>Alden Mazda</t>
  </si>
  <si>
    <t>Neli Oliveira</t>
  </si>
  <si>
    <t>AutoMax Preowned(Framingham)</t>
  </si>
  <si>
    <t>Bailey's Motor Sales Inc</t>
  </si>
  <si>
    <t>Battles Nissan, LLC</t>
  </si>
  <si>
    <t>Grieco Toyota</t>
  </si>
  <si>
    <t>Herb Chambers Lexus of Hingham</t>
  </si>
  <si>
    <t>Herb Chambers Lincoln</t>
  </si>
  <si>
    <t>Lucchettis Service Center Inc</t>
  </si>
  <si>
    <t>Rachel Gorham</t>
  </si>
  <si>
    <t>Mathieu Ford Sales, Inc</t>
  </si>
  <si>
    <t>New England Automax Inc (marlborough)</t>
  </si>
  <si>
    <t>Patriot Auto Group Inc d/b/a</t>
  </si>
  <si>
    <t>Paul Masse Buick GMC South, Inc</t>
  </si>
  <si>
    <t>Priority Automotive LLC</t>
  </si>
  <si>
    <t>Richard Lundgren, Inc. d/b/a</t>
  </si>
  <si>
    <t>Column1</t>
  </si>
  <si>
    <t>Column2</t>
  </si>
  <si>
    <t># 20</t>
  </si>
  <si>
    <t>HORGAN</t>
  </si>
  <si>
    <t>mjottavi@gmail.com</t>
  </si>
  <si>
    <t>OTTAVIANO, MARCUS</t>
  </si>
  <si>
    <t>E Contract</t>
  </si>
  <si>
    <t>Route One</t>
  </si>
  <si>
    <t>151198142e</t>
  </si>
  <si>
    <t>NIXON</t>
  </si>
  <si>
    <t>bowsprit49@yahoo.com</t>
  </si>
  <si>
    <t>GALVIN, ROBERT</t>
  </si>
  <si>
    <t>151198126e</t>
  </si>
  <si>
    <t>TABAKIN</t>
  </si>
  <si>
    <t>FERRARE</t>
  </si>
  <si>
    <t>RINALDI, RACHEL</t>
  </si>
  <si>
    <t>RINALDI, MATTHEW</t>
  </si>
  <si>
    <t>151198093e</t>
  </si>
  <si>
    <t>MERRICK</t>
  </si>
  <si>
    <t>CEMREPAIR@YAHOO.COM</t>
  </si>
  <si>
    <t>CONFALONE, BRIAN</t>
  </si>
  <si>
    <t>DealerTrack</t>
  </si>
  <si>
    <t>151198077e</t>
  </si>
  <si>
    <t>Brady</t>
  </si>
  <si>
    <t>BEACHBUM4ME@HOTMAIL.COM</t>
  </si>
  <si>
    <t>ROGERS, KAREN</t>
  </si>
  <si>
    <t>151198043e</t>
  </si>
  <si>
    <t>LELONG</t>
  </si>
  <si>
    <t>S.RONSEAUX@MAC.COM</t>
  </si>
  <si>
    <t>RONSEAUX, SEBASTIEN</t>
  </si>
  <si>
    <t>151198027e</t>
  </si>
  <si>
    <t>DiMascio</t>
  </si>
  <si>
    <t>ALEXANDRA.WALKER@SNHU.EDU</t>
  </si>
  <si>
    <t>WALKER, ALEXANDRA</t>
  </si>
  <si>
    <t>151198001e</t>
  </si>
  <si>
    <t>LAGASSE</t>
  </si>
  <si>
    <t>NATEFINCHER3@ICLOUD.COM</t>
  </si>
  <si>
    <t>FINCHER, NATHAN</t>
  </si>
  <si>
    <t>151197996e</t>
  </si>
  <si>
    <t>VITACOLLONA</t>
  </si>
  <si>
    <t>DONSAILS@YAHOO.COM</t>
  </si>
  <si>
    <t>SALVATORE, DONALD</t>
  </si>
  <si>
    <t>151197988e</t>
  </si>
  <si>
    <t>WARD</t>
  </si>
  <si>
    <t>LACHANCE</t>
  </si>
  <si>
    <t>JESSIELHEUREUX@ME.COM</t>
  </si>
  <si>
    <t>L'HEUREUX, JESSIE</t>
  </si>
  <si>
    <t>L'HEUREUX, DAVID</t>
  </si>
  <si>
    <t>151197970e</t>
  </si>
  <si>
    <t>SMYTH</t>
  </si>
  <si>
    <t>HART</t>
  </si>
  <si>
    <t>JIMRAYCROFT@GMAIL.COM</t>
  </si>
  <si>
    <t>FELSKE, AUDREY</t>
  </si>
  <si>
    <t>RAYCROFT, JAMES</t>
  </si>
  <si>
    <t>151197962e</t>
  </si>
  <si>
    <t>RUSZEL</t>
  </si>
  <si>
    <t>EVAN112704@YAHOO.COM</t>
  </si>
  <si>
    <t>AMARAL, SAMANTHA</t>
  </si>
  <si>
    <t>151197954e</t>
  </si>
  <si>
    <t>PALLOTTA</t>
  </si>
  <si>
    <t>justin.p.gelinas@gmail.com</t>
  </si>
  <si>
    <t>Gelinas, Justin</t>
  </si>
  <si>
    <t>151197938e</t>
  </si>
  <si>
    <t>BELLETETE</t>
  </si>
  <si>
    <t>devinspringfield21@gmail.com</t>
  </si>
  <si>
    <t>Springfield, Devin</t>
  </si>
  <si>
    <t>151197920e</t>
  </si>
  <si>
    <t>PELOQUIN</t>
  </si>
  <si>
    <t>JJMERCIER31@GMAIL.COM</t>
  </si>
  <si>
    <t>MERCIER, STEPHEN</t>
  </si>
  <si>
    <t>151197912e</t>
  </si>
  <si>
    <t>DIMAURO</t>
  </si>
  <si>
    <t>VMCDERMOTT@MGB.ORG</t>
  </si>
  <si>
    <t>MCDERMOTT, VINCENT</t>
  </si>
  <si>
    <t>151197904e</t>
  </si>
  <si>
    <t>FORTIN</t>
  </si>
  <si>
    <t>VALLEE, JUDITH</t>
  </si>
  <si>
    <t>151197871e</t>
  </si>
  <si>
    <t>DAUGHERTY</t>
  </si>
  <si>
    <t>CAHILL, CRISTIN</t>
  </si>
  <si>
    <t>151197855e</t>
  </si>
  <si>
    <t>FERREIRA</t>
  </si>
  <si>
    <t>NMOURA.808@GMAIL.COM</t>
  </si>
  <si>
    <t>MOURA, NEIL</t>
  </si>
  <si>
    <t>151197748e</t>
  </si>
  <si>
    <t>Kincaid</t>
  </si>
  <si>
    <t>LYONS, KRISTEN</t>
  </si>
  <si>
    <t>151197475e</t>
  </si>
  <si>
    <t>Business Name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</si>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</sst>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7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</cellXfs>
  <cellStyles count="2">
    <cellStyle name="Normal" xfId="0" builtinId="0"/>
    <cellStyle name="Normal 2" xfId="1" xr:uid="{8D5A31F7-2BA7-4BEE-82E9-E301450BFDD5}"/>
  </cellStyles>
  <dxfs count="18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38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AA984AF1-7ECA-46CF-AA1A-259B03C3BB39}" name="Column1" dataDxfId="17"/>
    <tableColumn id="8" xr3:uid="{077790F1-CE11-4C43-B9F7-ED8E281FC5BE}" name="Column2" dataDxfId="16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9DC680-2153-4240-B1E9-03EBD9565EEA}" name="Table_13" displayName="Table_13" ref="A3:M24" headerRowDxfId="15" dataDxfId="14" totalsRowDxfId="13">
  <tableColumns count="13">
    <tableColumn id="1" xr3:uid="{00000000-0010-0000-0000-000001000000}" name="Account Number" dataDxfId="12"/>
    <tableColumn id="2" xr3:uid="{00000000-0010-0000-0000-000002000000}" name="Portal" dataDxfId="11"/>
    <tableColumn id="3" xr3:uid="{00000000-0010-0000-0000-000003000000}" name="Contract Type" dataDxfId="10"/>
    <tableColumn id="4" xr3:uid="{00000000-0010-0000-0000-000004000000}" name="Applicant Name" dataDxfId="9"/>
    <tableColumn id="5" xr3:uid="{00000000-0010-0000-0000-000005000000}" name="Co-Applicant Name" dataDxfId="8"/>
    <tableColumn id="6" xr3:uid="{00000000-0010-0000-0000-000006000000}" name="Dealer Name" dataDxfId="7"/>
    <tableColumn id="7" xr3:uid="{00000000-0010-0000-0000-000007000000}" name="Funded by" dataDxfId="6"/>
    <tableColumn id="8" xr3:uid="{00000000-0010-0000-0000-000008000000}" name="Amount Financed" dataDxfId="5"/>
    <tableColumn id="9" xr3:uid="{00000000-0010-0000-0000-000009000000}" name="Applicant Email" dataDxfId="4"/>
    <tableColumn id="10" xr3:uid="{00000000-0010-0000-0000-00000A000000}" name="Co-Applicant Email" dataDxfId="3"/>
    <tableColumn id="11" xr3:uid="{00000000-0010-0000-0000-00000B000000}" name="App MMN" dataDxfId="2"/>
    <tableColumn id="12" xr3:uid="{00000000-0010-0000-0000-00000C000000}" name="Co-App MMN" dataDxfId="1"/>
    <tableColumn id="13" xr3:uid="{00000000-0010-0000-0000-00000D000000}" name="Business Nam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8"/>
  <sheetViews>
    <sheetView workbookViewId="0">
      <pane ySplit="3" topLeftCell="A19" activePane="bottomLeft" state="frozen"/>
      <selection pane="bottomLeft" activeCell="E37" sqref="E37"/>
    </sheetView>
  </sheetViews>
  <sheetFormatPr defaultRowHeight="15" x14ac:dyDescent="0.25"/>
  <cols>
    <col min="1" max="1" width="39" bestFit="1" customWidth="1"/>
    <col min="2" max="2" width="17.7109375" bestFit="1" customWidth="1"/>
    <col min="3" max="3" width="11.140625" bestFit="1" customWidth="1"/>
    <col min="4" max="4" width="13.710937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45838</v>
      </c>
      <c r="E1" t="s">
        <v>2</v>
      </c>
      <c r="H1" s="4">
        <v>45838.999988425923</v>
      </c>
    </row>
    <row r="2" spans="1:8" x14ac:dyDescent="0.25">
      <c r="A2" s="11" t="s">
        <v>0</v>
      </c>
      <c r="B2" s="12"/>
      <c r="C2" s="12"/>
      <c r="D2" s="13" t="s">
        <v>1</v>
      </c>
      <c r="E2" s="12"/>
      <c r="F2" s="12"/>
      <c r="G2" s="12"/>
      <c r="H2" s="12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28</v>
      </c>
      <c r="G3" t="s">
        <v>29</v>
      </c>
      <c r="H3" t="s">
        <v>9</v>
      </c>
    </row>
    <row r="4" spans="1:8" x14ac:dyDescent="0.25">
      <c r="A4" t="s">
        <v>10</v>
      </c>
      <c r="B4" t="s">
        <v>11</v>
      </c>
      <c r="C4" s="2">
        <v>1500</v>
      </c>
      <c r="D4" s="2">
        <v>0</v>
      </c>
      <c r="E4" s="2">
        <v>77407.06</v>
      </c>
      <c r="F4" s="2"/>
      <c r="G4" s="2"/>
      <c r="H4" s="2">
        <v>77482.06</v>
      </c>
    </row>
    <row r="5" spans="1:8" x14ac:dyDescent="0.25">
      <c r="C5" s="2"/>
      <c r="D5" s="2"/>
      <c r="E5" s="2"/>
      <c r="F5" s="2"/>
      <c r="G5" s="2"/>
      <c r="H5" s="2"/>
    </row>
    <row r="6" spans="1:8" x14ac:dyDescent="0.25">
      <c r="A6" t="s">
        <v>12</v>
      </c>
      <c r="B6" t="s">
        <v>13</v>
      </c>
      <c r="C6" s="2">
        <v>1050</v>
      </c>
      <c r="D6" s="2">
        <v>0</v>
      </c>
      <c r="E6" s="2">
        <v>44310.96</v>
      </c>
      <c r="F6" s="2"/>
      <c r="G6" s="2"/>
      <c r="H6" s="2">
        <v>44385.96</v>
      </c>
    </row>
    <row r="7" spans="1:8" x14ac:dyDescent="0.25">
      <c r="A7" t="s">
        <v>12</v>
      </c>
      <c r="B7" t="s">
        <v>13</v>
      </c>
      <c r="C7" s="2">
        <v>500</v>
      </c>
      <c r="D7" s="2">
        <v>0</v>
      </c>
      <c r="E7" s="2">
        <v>16781.93</v>
      </c>
      <c r="F7" s="2"/>
      <c r="G7" s="2"/>
      <c r="H7" s="2">
        <v>16856.93</v>
      </c>
    </row>
    <row r="8" spans="1:8" x14ac:dyDescent="0.25">
      <c r="A8" t="s">
        <v>12</v>
      </c>
      <c r="B8" t="s">
        <v>13</v>
      </c>
      <c r="C8" s="2">
        <v>850</v>
      </c>
      <c r="D8" s="2">
        <v>0</v>
      </c>
      <c r="E8" s="2">
        <v>30813.81</v>
      </c>
      <c r="F8" s="2">
        <f>SUM(E6:E8)</f>
        <v>91906.7</v>
      </c>
      <c r="G8" s="2"/>
      <c r="H8" s="2">
        <v>30888.81</v>
      </c>
    </row>
    <row r="9" spans="1:8" x14ac:dyDescent="0.25">
      <c r="C9" s="2"/>
      <c r="D9" s="2"/>
      <c r="E9" s="2"/>
      <c r="F9" s="2"/>
      <c r="G9" s="2"/>
      <c r="H9" s="2"/>
    </row>
    <row r="10" spans="1:8" x14ac:dyDescent="0.25">
      <c r="A10" t="s">
        <v>14</v>
      </c>
      <c r="B10" t="s">
        <v>13</v>
      </c>
      <c r="C10" s="2">
        <v>650</v>
      </c>
      <c r="D10" s="2">
        <v>0</v>
      </c>
      <c r="E10" s="2">
        <v>24457</v>
      </c>
      <c r="F10" s="2"/>
      <c r="G10" s="2"/>
      <c r="H10" s="2">
        <v>24532</v>
      </c>
    </row>
    <row r="11" spans="1:8" x14ac:dyDescent="0.25">
      <c r="C11" s="2"/>
      <c r="D11" s="2"/>
      <c r="E11" s="2"/>
      <c r="F11" s="2"/>
      <c r="G11" s="2"/>
      <c r="H11" s="2"/>
    </row>
    <row r="12" spans="1:8" x14ac:dyDescent="0.25">
      <c r="A12" t="s">
        <v>15</v>
      </c>
      <c r="B12" t="s">
        <v>11</v>
      </c>
      <c r="C12" s="2">
        <v>750</v>
      </c>
      <c r="D12" s="2">
        <v>0</v>
      </c>
      <c r="E12" s="2">
        <v>25657.200000000001</v>
      </c>
      <c r="F12" s="2"/>
      <c r="G12" s="2"/>
      <c r="H12" s="2">
        <v>25732.2</v>
      </c>
    </row>
    <row r="13" spans="1:8" x14ac:dyDescent="0.25">
      <c r="C13" s="2"/>
      <c r="D13" s="2"/>
      <c r="E13" s="2"/>
      <c r="F13" s="2"/>
      <c r="G13" s="2"/>
      <c r="H13" s="2"/>
    </row>
    <row r="14" spans="1:8" x14ac:dyDescent="0.25">
      <c r="A14" t="s">
        <v>16</v>
      </c>
      <c r="B14" t="s">
        <v>13</v>
      </c>
      <c r="C14" s="2">
        <v>150</v>
      </c>
      <c r="D14" s="2">
        <v>0</v>
      </c>
      <c r="E14" s="2">
        <v>7683.31</v>
      </c>
      <c r="F14" s="2"/>
      <c r="G14" s="2"/>
      <c r="H14" s="2">
        <v>7758.31</v>
      </c>
    </row>
    <row r="15" spans="1:8" x14ac:dyDescent="0.25">
      <c r="C15" s="2"/>
      <c r="D15" s="2"/>
      <c r="E15" s="2"/>
      <c r="F15" s="2"/>
      <c r="G15" s="2"/>
      <c r="H15" s="2"/>
    </row>
    <row r="16" spans="1:8" x14ac:dyDescent="0.25">
      <c r="A16" t="s">
        <v>17</v>
      </c>
      <c r="B16" t="s">
        <v>11</v>
      </c>
      <c r="C16" s="2">
        <v>850</v>
      </c>
      <c r="D16" s="2">
        <v>0</v>
      </c>
      <c r="E16" s="2">
        <v>32052.880000000001</v>
      </c>
      <c r="F16" s="2"/>
      <c r="G16" s="2"/>
      <c r="H16" s="2">
        <v>32127.88</v>
      </c>
    </row>
    <row r="17" spans="1:8" x14ac:dyDescent="0.25">
      <c r="A17" t="s">
        <v>17</v>
      </c>
      <c r="B17" t="s">
        <v>11</v>
      </c>
      <c r="C17" s="2">
        <v>1150</v>
      </c>
      <c r="D17" s="2">
        <v>0</v>
      </c>
      <c r="E17" s="2">
        <v>49487.5</v>
      </c>
      <c r="F17" s="2">
        <f>SUM(E16:E17)</f>
        <v>81540.38</v>
      </c>
      <c r="G17" s="2"/>
      <c r="H17" s="2">
        <v>49562.5</v>
      </c>
    </row>
    <row r="18" spans="1:8" x14ac:dyDescent="0.25">
      <c r="C18" s="2"/>
      <c r="D18" s="2"/>
      <c r="E18" s="2"/>
      <c r="F18" s="2"/>
      <c r="G18" s="2"/>
      <c r="H18" s="2"/>
    </row>
    <row r="19" spans="1:8" x14ac:dyDescent="0.25">
      <c r="A19" t="s">
        <v>18</v>
      </c>
      <c r="B19" t="s">
        <v>13</v>
      </c>
      <c r="C19" s="2">
        <v>1050</v>
      </c>
      <c r="D19" s="2">
        <v>0</v>
      </c>
      <c r="E19" s="2">
        <v>43480.88</v>
      </c>
      <c r="F19" s="2"/>
      <c r="G19" s="2"/>
      <c r="H19" s="2">
        <v>43555.88</v>
      </c>
    </row>
    <row r="20" spans="1:8" x14ac:dyDescent="0.25">
      <c r="C20" s="2"/>
      <c r="D20" s="2"/>
      <c r="E20" s="2"/>
      <c r="F20" s="2"/>
      <c r="G20" s="2"/>
      <c r="H20" s="2"/>
    </row>
    <row r="21" spans="1:8" x14ac:dyDescent="0.25">
      <c r="A21" t="s">
        <v>19</v>
      </c>
      <c r="B21" t="s">
        <v>13</v>
      </c>
      <c r="C21" s="2">
        <v>950</v>
      </c>
      <c r="D21" s="2">
        <v>0</v>
      </c>
      <c r="E21" s="2">
        <v>35086.04</v>
      </c>
      <c r="F21" s="2"/>
      <c r="G21" s="2"/>
      <c r="H21" s="2">
        <v>35161.040000000001</v>
      </c>
    </row>
    <row r="22" spans="1:8" x14ac:dyDescent="0.25">
      <c r="C22" s="2"/>
      <c r="D22" s="2"/>
      <c r="E22" s="2"/>
      <c r="F22" s="2"/>
      <c r="G22" s="2"/>
      <c r="H22" s="2"/>
    </row>
    <row r="23" spans="1:8" x14ac:dyDescent="0.25">
      <c r="A23" t="s">
        <v>20</v>
      </c>
      <c r="B23" t="s">
        <v>21</v>
      </c>
      <c r="C23" s="2">
        <v>300</v>
      </c>
      <c r="D23" s="2">
        <v>0</v>
      </c>
      <c r="E23" s="2">
        <v>11158.5</v>
      </c>
      <c r="F23" s="2"/>
      <c r="G23" s="2"/>
      <c r="H23" s="2">
        <v>11233.5</v>
      </c>
    </row>
    <row r="24" spans="1:8" x14ac:dyDescent="0.25">
      <c r="C24" s="2"/>
      <c r="D24" s="2"/>
      <c r="E24" s="2"/>
      <c r="F24" s="2"/>
      <c r="G24" s="2"/>
      <c r="H24" s="2"/>
    </row>
    <row r="25" spans="1:8" x14ac:dyDescent="0.25">
      <c r="A25" t="s">
        <v>22</v>
      </c>
      <c r="B25" t="s">
        <v>13</v>
      </c>
      <c r="C25" s="2">
        <v>1500</v>
      </c>
      <c r="D25" s="2">
        <v>0</v>
      </c>
      <c r="E25" s="2">
        <v>74460.25</v>
      </c>
      <c r="F25" s="2"/>
      <c r="G25" s="2"/>
      <c r="H25" s="2">
        <v>74535.25</v>
      </c>
    </row>
    <row r="26" spans="1:8" x14ac:dyDescent="0.25">
      <c r="A26" t="s">
        <v>22</v>
      </c>
      <c r="B26" t="s">
        <v>13</v>
      </c>
      <c r="C26" s="2">
        <v>850</v>
      </c>
      <c r="D26" s="2">
        <v>0</v>
      </c>
      <c r="E26" s="2">
        <v>32684.67</v>
      </c>
      <c r="F26" s="2">
        <f>SUM(E25:E26)</f>
        <v>107144.92</v>
      </c>
      <c r="G26" s="2"/>
      <c r="H26" s="2">
        <v>32759.67</v>
      </c>
    </row>
    <row r="27" spans="1:8" x14ac:dyDescent="0.25">
      <c r="C27" s="2"/>
      <c r="D27" s="2"/>
      <c r="E27" s="2"/>
      <c r="F27" s="2"/>
      <c r="G27" s="2"/>
      <c r="H27" s="2"/>
    </row>
    <row r="28" spans="1:8" x14ac:dyDescent="0.25">
      <c r="A28" t="s">
        <v>23</v>
      </c>
      <c r="B28" t="s">
        <v>13</v>
      </c>
      <c r="C28" s="2">
        <v>750</v>
      </c>
      <c r="D28" s="2">
        <v>0</v>
      </c>
      <c r="E28" s="2">
        <v>25532</v>
      </c>
      <c r="F28" s="2"/>
      <c r="G28" s="2"/>
      <c r="H28" s="2">
        <v>25607</v>
      </c>
    </row>
    <row r="29" spans="1:8" x14ac:dyDescent="0.25">
      <c r="C29" s="2"/>
      <c r="D29" s="2"/>
      <c r="E29" s="2"/>
      <c r="F29" s="2"/>
      <c r="G29" s="2"/>
      <c r="H29" s="2"/>
    </row>
    <row r="30" spans="1:8" x14ac:dyDescent="0.25">
      <c r="A30" t="s">
        <v>24</v>
      </c>
      <c r="B30" t="s">
        <v>11</v>
      </c>
      <c r="C30" s="2">
        <v>650</v>
      </c>
      <c r="D30" s="2">
        <v>0</v>
      </c>
      <c r="E30" s="2">
        <v>20406.38</v>
      </c>
      <c r="F30" s="2"/>
      <c r="G30" s="2"/>
      <c r="H30" s="2">
        <v>20481.38</v>
      </c>
    </row>
    <row r="31" spans="1:8" x14ac:dyDescent="0.25">
      <c r="A31" t="s">
        <v>24</v>
      </c>
      <c r="B31" t="s">
        <v>21</v>
      </c>
      <c r="C31" s="2">
        <v>750</v>
      </c>
      <c r="D31" s="2">
        <v>0</v>
      </c>
      <c r="E31" s="2">
        <v>28688.63</v>
      </c>
      <c r="F31" s="2">
        <f>SUM(E30:E31)</f>
        <v>49095.01</v>
      </c>
      <c r="G31" s="2"/>
      <c r="H31" s="2">
        <v>28763.63</v>
      </c>
    </row>
    <row r="32" spans="1:8" x14ac:dyDescent="0.25">
      <c r="C32" s="2"/>
      <c r="D32" s="2"/>
      <c r="E32" s="2"/>
      <c r="F32" s="2"/>
      <c r="G32" s="2"/>
      <c r="H32" s="2"/>
    </row>
    <row r="33" spans="1:8" x14ac:dyDescent="0.25">
      <c r="A33" t="s">
        <v>25</v>
      </c>
      <c r="B33" t="s">
        <v>13</v>
      </c>
      <c r="C33" s="2">
        <v>1500</v>
      </c>
      <c r="D33" s="2">
        <v>0</v>
      </c>
      <c r="E33" s="2">
        <v>99916.15</v>
      </c>
      <c r="F33" s="2"/>
      <c r="G33" s="2"/>
      <c r="H33" s="2">
        <v>99991.15</v>
      </c>
    </row>
    <row r="34" spans="1:8" x14ac:dyDescent="0.25">
      <c r="C34" s="2"/>
      <c r="D34" s="2"/>
      <c r="E34" s="2"/>
      <c r="F34" s="2"/>
      <c r="G34" s="2"/>
      <c r="H34" s="2"/>
    </row>
    <row r="35" spans="1:8" x14ac:dyDescent="0.25">
      <c r="A35" t="s">
        <v>26</v>
      </c>
      <c r="B35" t="s">
        <v>21</v>
      </c>
      <c r="C35" s="2">
        <v>1500</v>
      </c>
      <c r="D35" s="2">
        <v>0</v>
      </c>
      <c r="E35" s="2">
        <v>80275.259999999995</v>
      </c>
      <c r="F35" s="2"/>
      <c r="G35" s="2"/>
      <c r="H35" s="2">
        <v>80350.259999999995</v>
      </c>
    </row>
    <row r="36" spans="1:8" x14ac:dyDescent="0.25">
      <c r="C36" s="2"/>
      <c r="D36" s="2"/>
      <c r="E36" s="2"/>
      <c r="F36" s="2"/>
      <c r="G36" s="2"/>
      <c r="H36" s="2"/>
    </row>
    <row r="37" spans="1:8" x14ac:dyDescent="0.25">
      <c r="A37" t="s">
        <v>27</v>
      </c>
      <c r="B37" t="s">
        <v>11</v>
      </c>
      <c r="C37" s="2">
        <v>300</v>
      </c>
      <c r="D37" s="2">
        <v>0</v>
      </c>
      <c r="E37" s="2">
        <v>14913</v>
      </c>
      <c r="F37" s="2"/>
      <c r="G37" s="2"/>
      <c r="H37" s="2">
        <v>14988</v>
      </c>
    </row>
    <row r="38" spans="1:8" x14ac:dyDescent="0.25">
      <c r="A38" s="1"/>
      <c r="B38" s="1"/>
      <c r="C38" s="3">
        <f>SUM(C4:C37)</f>
        <v>17550</v>
      </c>
      <c r="D38" s="3">
        <f>SUM(D4:D37)</f>
        <v>0</v>
      </c>
      <c r="E38" s="3">
        <f>SUM(E4:E37)</f>
        <v>775253.41</v>
      </c>
      <c r="F38" s="3"/>
      <c r="G38" s="3"/>
      <c r="H38" s="3">
        <f>SUM(H4:H37)</f>
        <v>776753.41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808B8-698F-4065-B901-FE035428E59B}">
  <sheetPr>
    <pageSetUpPr fitToPage="1"/>
  </sheetPr>
  <dimension ref="A1:N28"/>
  <sheetViews>
    <sheetView tabSelected="1" workbookViewId="0">
      <pane ySplit="3" topLeftCell="A14" activePane="bottomLeft" state="frozen"/>
      <selection pane="bottomLeft" activeCell="F22" sqref="F22"/>
    </sheetView>
  </sheetViews>
  <sheetFormatPr defaultRowHeight="15" x14ac:dyDescent="0.25"/>
  <cols>
    <col min="1" max="1" width="16.42578125" style="5" bestFit="1" customWidth="1"/>
    <col min="2" max="2" width="12.140625" style="5" bestFit="1" customWidth="1"/>
    <col min="3" max="3" width="14" style="5" bestFit="1" customWidth="1"/>
    <col min="4" max="4" width="22.7109375" style="5" bestFit="1" customWidth="1"/>
    <col min="5" max="5" width="18.7109375" style="5" bestFit="1" customWidth="1"/>
    <col min="6" max="6" width="39" style="5" bestFit="1" customWidth="1"/>
    <col min="7" max="7" width="17.7109375" style="5" bestFit="1" customWidth="1"/>
    <col min="8" max="8" width="17.140625" style="5" bestFit="1" customWidth="1"/>
    <col min="9" max="9" width="32.140625" style="5" bestFit="1" customWidth="1"/>
    <col min="10" max="10" width="26" style="5" bestFit="1" customWidth="1"/>
    <col min="11" max="11" width="14" style="5" bestFit="1" customWidth="1"/>
    <col min="12" max="12" width="12.85546875" style="5" bestFit="1" customWidth="1"/>
    <col min="13" max="13" width="15.140625" style="5" bestFit="1" customWidth="1"/>
    <col min="14" max="16384" width="9.140625" style="5"/>
  </cols>
  <sheetData>
    <row r="1" spans="1:14" ht="35.1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 t="s">
        <v>3</v>
      </c>
      <c r="K1" s="7">
        <v>45838</v>
      </c>
      <c r="L1" s="6" t="s">
        <v>2</v>
      </c>
      <c r="M1" s="7">
        <v>45838.999988425923</v>
      </c>
      <c r="N1" s="6"/>
    </row>
    <row r="2" spans="1:14" ht="35.1" customHeight="1" x14ac:dyDescent="0.25">
      <c r="A2" s="14" t="s">
        <v>0</v>
      </c>
      <c r="B2" s="15"/>
      <c r="C2" s="15"/>
      <c r="D2" s="15"/>
      <c r="E2" s="15"/>
      <c r="F2" s="15"/>
      <c r="G2" s="16" t="s">
        <v>127</v>
      </c>
      <c r="H2" s="15"/>
      <c r="I2" s="15"/>
      <c r="J2" s="15"/>
      <c r="K2" s="15"/>
      <c r="L2" s="15"/>
      <c r="M2" s="15"/>
      <c r="N2" s="6"/>
    </row>
    <row r="3" spans="1:14" ht="35.1" customHeight="1" x14ac:dyDescent="0.25">
      <c r="A3" s="6" t="s">
        <v>126</v>
      </c>
      <c r="B3" s="6" t="s">
        <v>125</v>
      </c>
      <c r="C3" s="6" t="s">
        <v>124</v>
      </c>
      <c r="D3" s="6" t="s">
        <v>123</v>
      </c>
      <c r="E3" s="6" t="s">
        <v>122</v>
      </c>
      <c r="F3" s="6" t="s">
        <v>4</v>
      </c>
      <c r="G3" s="6" t="s">
        <v>5</v>
      </c>
      <c r="H3" s="6" t="s">
        <v>121</v>
      </c>
      <c r="I3" s="6" t="s">
        <v>120</v>
      </c>
      <c r="J3" s="6" t="s">
        <v>119</v>
      </c>
      <c r="K3" s="6" t="s">
        <v>118</v>
      </c>
      <c r="L3" s="6" t="s">
        <v>117</v>
      </c>
      <c r="M3" s="6" t="s">
        <v>116</v>
      </c>
      <c r="N3" s="6"/>
    </row>
    <row r="4" spans="1:14" ht="35.1" customHeight="1" x14ac:dyDescent="0.25">
      <c r="A4" s="6" t="s">
        <v>115</v>
      </c>
      <c r="B4" s="6" t="s">
        <v>35</v>
      </c>
      <c r="C4" s="6" t="s">
        <v>34</v>
      </c>
      <c r="D4" s="6" t="s">
        <v>114</v>
      </c>
      <c r="E4" s="6"/>
      <c r="F4" s="6" t="s">
        <v>17</v>
      </c>
      <c r="G4" s="6" t="s">
        <v>11</v>
      </c>
      <c r="H4" s="8">
        <v>32127.88</v>
      </c>
      <c r="I4" s="6"/>
      <c r="J4" s="6"/>
      <c r="K4" s="6" t="s">
        <v>113</v>
      </c>
      <c r="L4" s="6"/>
      <c r="M4" s="6"/>
      <c r="N4" s="6"/>
    </row>
    <row r="5" spans="1:14" ht="35.1" customHeight="1" x14ac:dyDescent="0.25">
      <c r="A5" s="6" t="s">
        <v>112</v>
      </c>
      <c r="B5" s="6" t="s">
        <v>35</v>
      </c>
      <c r="C5" s="6" t="s">
        <v>34</v>
      </c>
      <c r="D5" s="6" t="s">
        <v>111</v>
      </c>
      <c r="E5" s="6"/>
      <c r="F5" s="6" t="s">
        <v>17</v>
      </c>
      <c r="G5" s="6" t="s">
        <v>11</v>
      </c>
      <c r="H5" s="8">
        <v>49562.5</v>
      </c>
      <c r="I5" s="6" t="s">
        <v>110</v>
      </c>
      <c r="J5" s="6"/>
      <c r="K5" s="6" t="s">
        <v>109</v>
      </c>
      <c r="L5" s="6"/>
      <c r="M5" s="6"/>
      <c r="N5" s="6"/>
    </row>
    <row r="6" spans="1:14" ht="35.1" customHeight="1" x14ac:dyDescent="0.25">
      <c r="A6" s="6" t="s">
        <v>108</v>
      </c>
      <c r="B6" s="6" t="s">
        <v>49</v>
      </c>
      <c r="C6" s="6" t="s">
        <v>34</v>
      </c>
      <c r="D6" s="6" t="s">
        <v>107</v>
      </c>
      <c r="E6" s="6"/>
      <c r="F6" s="6" t="s">
        <v>23</v>
      </c>
      <c r="G6" s="6" t="s">
        <v>13</v>
      </c>
      <c r="H6" s="8">
        <v>25607</v>
      </c>
      <c r="I6" s="6"/>
      <c r="J6" s="6"/>
      <c r="K6" s="6" t="s">
        <v>106</v>
      </c>
      <c r="L6" s="6"/>
      <c r="M6" s="6"/>
      <c r="N6" s="6"/>
    </row>
    <row r="7" spans="1:14" ht="35.1" customHeight="1" x14ac:dyDescent="0.25">
      <c r="A7" s="6" t="s">
        <v>105</v>
      </c>
      <c r="B7" s="6" t="s">
        <v>49</v>
      </c>
      <c r="C7" s="6" t="s">
        <v>34</v>
      </c>
      <c r="D7" s="6" t="s">
        <v>104</v>
      </c>
      <c r="E7" s="6"/>
      <c r="F7" s="6" t="s">
        <v>14</v>
      </c>
      <c r="G7" s="6" t="s">
        <v>13</v>
      </c>
      <c r="H7" s="8">
        <v>24532</v>
      </c>
      <c r="I7" s="6"/>
      <c r="J7" s="6"/>
      <c r="K7" s="6" t="s">
        <v>103</v>
      </c>
      <c r="L7" s="6"/>
      <c r="M7" s="6"/>
      <c r="N7" s="6"/>
    </row>
    <row r="8" spans="1:14" ht="35.1" customHeight="1" x14ac:dyDescent="0.25">
      <c r="A8" s="6" t="s">
        <v>102</v>
      </c>
      <c r="B8" s="6" t="s">
        <v>35</v>
      </c>
      <c r="C8" s="6" t="s">
        <v>34</v>
      </c>
      <c r="D8" s="6" t="s">
        <v>101</v>
      </c>
      <c r="E8" s="6"/>
      <c r="F8" s="6" t="s">
        <v>18</v>
      </c>
      <c r="G8" s="6" t="s">
        <v>13</v>
      </c>
      <c r="H8" s="8">
        <v>43555.88</v>
      </c>
      <c r="I8" s="6" t="s">
        <v>100</v>
      </c>
      <c r="J8" s="6"/>
      <c r="K8" s="6" t="s">
        <v>99</v>
      </c>
      <c r="L8" s="6"/>
      <c r="M8" s="6"/>
      <c r="N8" s="6"/>
    </row>
    <row r="9" spans="1:14" ht="35.1" customHeight="1" x14ac:dyDescent="0.25">
      <c r="A9" s="6" t="s">
        <v>98</v>
      </c>
      <c r="B9" s="6" t="s">
        <v>35</v>
      </c>
      <c r="C9" s="6" t="s">
        <v>34</v>
      </c>
      <c r="D9" s="6" t="s">
        <v>97</v>
      </c>
      <c r="E9" s="6"/>
      <c r="F9" s="6" t="s">
        <v>19</v>
      </c>
      <c r="G9" s="6" t="s">
        <v>13</v>
      </c>
      <c r="H9" s="8">
        <v>35161.040000000001</v>
      </c>
      <c r="I9" s="6" t="s">
        <v>96</v>
      </c>
      <c r="J9" s="6"/>
      <c r="K9" s="6" t="s">
        <v>95</v>
      </c>
      <c r="L9" s="6"/>
      <c r="M9" s="6"/>
      <c r="N9" s="6"/>
    </row>
    <row r="10" spans="1:14" ht="35.1" customHeight="1" x14ac:dyDescent="0.25">
      <c r="A10" s="6" t="s">
        <v>94</v>
      </c>
      <c r="B10" s="6" t="s">
        <v>35</v>
      </c>
      <c r="C10" s="6" t="s">
        <v>34</v>
      </c>
      <c r="D10" s="6" t="s">
        <v>93</v>
      </c>
      <c r="E10" s="6"/>
      <c r="F10" s="6" t="s">
        <v>22</v>
      </c>
      <c r="G10" s="6" t="s">
        <v>13</v>
      </c>
      <c r="H10" s="8">
        <v>74535.25</v>
      </c>
      <c r="I10" s="6" t="s">
        <v>92</v>
      </c>
      <c r="J10" s="6"/>
      <c r="K10" s="6" t="s">
        <v>91</v>
      </c>
      <c r="L10" s="6"/>
      <c r="M10" s="6"/>
      <c r="N10" s="6"/>
    </row>
    <row r="11" spans="1:14" ht="35.1" customHeight="1" x14ac:dyDescent="0.25">
      <c r="A11" s="6" t="s">
        <v>90</v>
      </c>
      <c r="B11" s="6" t="s">
        <v>35</v>
      </c>
      <c r="C11" s="6" t="s">
        <v>34</v>
      </c>
      <c r="D11" s="6" t="s">
        <v>89</v>
      </c>
      <c r="E11" s="6"/>
      <c r="F11" s="6" t="s">
        <v>22</v>
      </c>
      <c r="G11" s="6" t="s">
        <v>13</v>
      </c>
      <c r="H11" s="8">
        <v>32759.67</v>
      </c>
      <c r="I11" s="6" t="s">
        <v>88</v>
      </c>
      <c r="J11" s="6"/>
      <c r="K11" s="6" t="s">
        <v>87</v>
      </c>
      <c r="L11" s="6"/>
      <c r="M11" s="6"/>
      <c r="N11" s="6"/>
    </row>
    <row r="12" spans="1:14" ht="35.1" customHeight="1" x14ac:dyDescent="0.25">
      <c r="A12" s="6" t="s">
        <v>86</v>
      </c>
      <c r="B12" s="6" t="s">
        <v>35</v>
      </c>
      <c r="C12" s="6" t="s">
        <v>34</v>
      </c>
      <c r="D12" s="6" t="s">
        <v>85</v>
      </c>
      <c r="E12" s="6"/>
      <c r="F12" s="6" t="s">
        <v>12</v>
      </c>
      <c r="G12" s="6" t="s">
        <v>13</v>
      </c>
      <c r="H12" s="8">
        <v>44385.96</v>
      </c>
      <c r="I12" s="6" t="s">
        <v>84</v>
      </c>
      <c r="J12" s="6"/>
      <c r="K12" s="6" t="s">
        <v>83</v>
      </c>
      <c r="L12" s="6"/>
      <c r="M12" s="6"/>
      <c r="N12" s="6"/>
    </row>
    <row r="13" spans="1:14" ht="35.1" customHeight="1" x14ac:dyDescent="0.25">
      <c r="A13" s="6" t="s">
        <v>82</v>
      </c>
      <c r="B13" s="6" t="s">
        <v>35</v>
      </c>
      <c r="C13" s="6" t="s">
        <v>34</v>
      </c>
      <c r="D13" s="6" t="s">
        <v>81</v>
      </c>
      <c r="E13" s="6" t="s">
        <v>80</v>
      </c>
      <c r="F13" s="6" t="s">
        <v>12</v>
      </c>
      <c r="G13" s="6" t="s">
        <v>13</v>
      </c>
      <c r="H13" s="8">
        <v>16856.93</v>
      </c>
      <c r="I13" s="6" t="s">
        <v>79</v>
      </c>
      <c r="J13" s="6" t="s">
        <v>79</v>
      </c>
      <c r="K13" s="6" t="s">
        <v>78</v>
      </c>
      <c r="L13" s="6" t="s">
        <v>77</v>
      </c>
      <c r="M13" s="6"/>
      <c r="N13" s="6"/>
    </row>
    <row r="14" spans="1:14" ht="35.1" customHeight="1" x14ac:dyDescent="0.25">
      <c r="A14" s="6" t="s">
        <v>76</v>
      </c>
      <c r="B14" s="6" t="s">
        <v>49</v>
      </c>
      <c r="C14" s="6" t="s">
        <v>34</v>
      </c>
      <c r="D14" s="6" t="s">
        <v>75</v>
      </c>
      <c r="E14" s="6" t="s">
        <v>74</v>
      </c>
      <c r="F14" s="6" t="s">
        <v>27</v>
      </c>
      <c r="G14" s="6" t="s">
        <v>11</v>
      </c>
      <c r="H14" s="8">
        <v>14988</v>
      </c>
      <c r="I14" s="6" t="s">
        <v>73</v>
      </c>
      <c r="J14" s="6"/>
      <c r="K14" s="6" t="s">
        <v>72</v>
      </c>
      <c r="L14" s="6" t="s">
        <v>71</v>
      </c>
      <c r="M14" s="6"/>
      <c r="N14" s="6"/>
    </row>
    <row r="15" spans="1:14" ht="35.1" customHeight="1" x14ac:dyDescent="0.25">
      <c r="A15" s="6" t="s">
        <v>70</v>
      </c>
      <c r="B15" s="6" t="s">
        <v>35</v>
      </c>
      <c r="C15" s="6" t="s">
        <v>34</v>
      </c>
      <c r="D15" s="6" t="s">
        <v>69</v>
      </c>
      <c r="E15" s="6"/>
      <c r="F15" s="6" t="s">
        <v>12</v>
      </c>
      <c r="G15" s="6" t="s">
        <v>13</v>
      </c>
      <c r="H15" s="8">
        <v>30888.81</v>
      </c>
      <c r="I15" s="6" t="s">
        <v>68</v>
      </c>
      <c r="J15" s="6"/>
      <c r="K15" s="6" t="s">
        <v>67</v>
      </c>
      <c r="L15" s="6"/>
      <c r="M15" s="6"/>
      <c r="N15" s="6"/>
    </row>
    <row r="16" spans="1:14" ht="35.1" customHeight="1" x14ac:dyDescent="0.25">
      <c r="A16" s="6" t="s">
        <v>66</v>
      </c>
      <c r="B16" s="6" t="s">
        <v>35</v>
      </c>
      <c r="C16" s="6" t="s">
        <v>34</v>
      </c>
      <c r="D16" s="6" t="s">
        <v>65</v>
      </c>
      <c r="E16" s="6"/>
      <c r="F16" s="6" t="s">
        <v>10</v>
      </c>
      <c r="G16" s="6" t="s">
        <v>11</v>
      </c>
      <c r="H16" s="8">
        <v>77482.06</v>
      </c>
      <c r="I16" s="6" t="s">
        <v>64</v>
      </c>
      <c r="J16" s="6"/>
      <c r="K16" s="6" t="s">
        <v>63</v>
      </c>
      <c r="L16" s="6"/>
      <c r="M16" s="6"/>
      <c r="N16" s="6"/>
    </row>
    <row r="17" spans="1:14" ht="35.1" customHeight="1" x14ac:dyDescent="0.25">
      <c r="A17" s="6" t="s">
        <v>62</v>
      </c>
      <c r="B17" s="6" t="s">
        <v>35</v>
      </c>
      <c r="C17" s="6" t="s">
        <v>34</v>
      </c>
      <c r="D17" s="6" t="s">
        <v>61</v>
      </c>
      <c r="E17" s="6"/>
      <c r="F17" s="6" t="s">
        <v>15</v>
      </c>
      <c r="G17" s="6" t="s">
        <v>11</v>
      </c>
      <c r="H17" s="8">
        <v>25732.2</v>
      </c>
      <c r="I17" s="6" t="s">
        <v>60</v>
      </c>
      <c r="J17" s="6"/>
      <c r="K17" s="6" t="s">
        <v>59</v>
      </c>
      <c r="L17" s="6"/>
      <c r="M17" s="6"/>
      <c r="N17" s="6"/>
    </row>
    <row r="18" spans="1:14" ht="35.1" customHeight="1" x14ac:dyDescent="0.25">
      <c r="A18" s="6" t="s">
        <v>58</v>
      </c>
      <c r="B18" s="6" t="s">
        <v>49</v>
      </c>
      <c r="C18" s="6" t="s">
        <v>34</v>
      </c>
      <c r="D18" s="6" t="s">
        <v>57</v>
      </c>
      <c r="E18" s="6"/>
      <c r="F18" s="6" t="s">
        <v>26</v>
      </c>
      <c r="G18" s="6" t="s">
        <v>21</v>
      </c>
      <c r="H18" s="8">
        <v>80350.259999999995</v>
      </c>
      <c r="I18" s="6" t="s">
        <v>56</v>
      </c>
      <c r="J18" s="6"/>
      <c r="K18" s="6" t="s">
        <v>55</v>
      </c>
      <c r="L18" s="6"/>
      <c r="M18" s="6"/>
      <c r="N18" s="6"/>
    </row>
    <row r="19" spans="1:14" ht="35.1" customHeight="1" x14ac:dyDescent="0.25">
      <c r="A19" s="6" t="s">
        <v>54</v>
      </c>
      <c r="B19" s="6" t="s">
        <v>35</v>
      </c>
      <c r="C19" s="6" t="s">
        <v>34</v>
      </c>
      <c r="D19" s="6" t="s">
        <v>53</v>
      </c>
      <c r="E19" s="6"/>
      <c r="F19" s="6" t="s">
        <v>24</v>
      </c>
      <c r="G19" s="6" t="s">
        <v>11</v>
      </c>
      <c r="H19" s="8">
        <v>20481.38</v>
      </c>
      <c r="I19" s="6" t="s">
        <v>52</v>
      </c>
      <c r="J19" s="6"/>
      <c r="K19" s="6" t="s">
        <v>51</v>
      </c>
      <c r="L19" s="6"/>
      <c r="M19" s="6"/>
      <c r="N19" s="6"/>
    </row>
    <row r="20" spans="1:14" ht="35.1" customHeight="1" x14ac:dyDescent="0.25">
      <c r="A20" s="6" t="s">
        <v>50</v>
      </c>
      <c r="B20" s="6" t="s">
        <v>49</v>
      </c>
      <c r="C20" s="6" t="s">
        <v>34</v>
      </c>
      <c r="D20" s="6" t="s">
        <v>48</v>
      </c>
      <c r="E20" s="6"/>
      <c r="F20" s="6" t="s">
        <v>16</v>
      </c>
      <c r="G20" s="6" t="s">
        <v>13</v>
      </c>
      <c r="H20" s="8">
        <v>7758.31</v>
      </c>
      <c r="I20" s="6" t="s">
        <v>47</v>
      </c>
      <c r="J20" s="6"/>
      <c r="K20" s="6" t="s">
        <v>46</v>
      </c>
      <c r="L20" s="6"/>
      <c r="M20" s="6"/>
      <c r="N20" s="6"/>
    </row>
    <row r="21" spans="1:14" ht="35.1" customHeight="1" x14ac:dyDescent="0.25">
      <c r="A21" s="6" t="s">
        <v>45</v>
      </c>
      <c r="B21" s="6" t="s">
        <v>35</v>
      </c>
      <c r="C21" s="6" t="s">
        <v>34</v>
      </c>
      <c r="D21" s="6" t="s">
        <v>44</v>
      </c>
      <c r="E21" s="6" t="s">
        <v>43</v>
      </c>
      <c r="F21" s="6" t="s">
        <v>25</v>
      </c>
      <c r="G21" s="6" t="s">
        <v>13</v>
      </c>
      <c r="H21" s="8">
        <v>99991.15</v>
      </c>
      <c r="I21" s="6"/>
      <c r="J21" s="6"/>
      <c r="K21" s="6" t="s">
        <v>42</v>
      </c>
      <c r="L21" s="6" t="s">
        <v>41</v>
      </c>
      <c r="M21" s="6"/>
      <c r="N21" s="6"/>
    </row>
    <row r="22" spans="1:14" ht="35.1" customHeight="1" x14ac:dyDescent="0.25">
      <c r="A22" s="6" t="s">
        <v>40</v>
      </c>
      <c r="B22" s="6" t="s">
        <v>35</v>
      </c>
      <c r="C22" s="6" t="s">
        <v>34</v>
      </c>
      <c r="D22" s="6" t="s">
        <v>39</v>
      </c>
      <c r="E22" s="6"/>
      <c r="F22" s="6" t="s">
        <v>20</v>
      </c>
      <c r="G22" s="6" t="s">
        <v>21</v>
      </c>
      <c r="H22" s="8">
        <v>11233.5</v>
      </c>
      <c r="I22" s="6" t="s">
        <v>38</v>
      </c>
      <c r="J22" s="6"/>
      <c r="K22" s="6" t="s">
        <v>37</v>
      </c>
      <c r="L22" s="6"/>
      <c r="M22" s="6"/>
      <c r="N22" s="6"/>
    </row>
    <row r="23" spans="1:14" ht="35.1" customHeight="1" x14ac:dyDescent="0.25">
      <c r="A23" s="6" t="s">
        <v>36</v>
      </c>
      <c r="B23" s="6" t="s">
        <v>35</v>
      </c>
      <c r="C23" s="6" t="s">
        <v>34</v>
      </c>
      <c r="D23" s="6" t="s">
        <v>33</v>
      </c>
      <c r="E23" s="6"/>
      <c r="F23" s="6" t="s">
        <v>24</v>
      </c>
      <c r="G23" s="6" t="s">
        <v>21</v>
      </c>
      <c r="H23" s="8">
        <v>28763.63</v>
      </c>
      <c r="I23" s="6" t="s">
        <v>32</v>
      </c>
      <c r="J23" s="6"/>
      <c r="K23" s="6" t="s">
        <v>31</v>
      </c>
      <c r="L23" s="6"/>
      <c r="M23" s="6"/>
      <c r="N23" s="6"/>
    </row>
    <row r="24" spans="1:14" ht="35.1" customHeight="1" x14ac:dyDescent="0.25">
      <c r="A24" s="9"/>
      <c r="B24" s="9"/>
      <c r="C24" s="9"/>
      <c r="D24" s="9" t="s">
        <v>30</v>
      </c>
      <c r="E24" s="9"/>
      <c r="F24" s="9"/>
      <c r="G24" s="9"/>
      <c r="H24" s="10">
        <f>SUM(H4:H23)</f>
        <v>776753.41000000015</v>
      </c>
      <c r="I24" s="9"/>
      <c r="J24" s="9"/>
      <c r="K24" s="9"/>
      <c r="L24" s="9"/>
      <c r="M24" s="9"/>
      <c r="N24" s="6"/>
    </row>
    <row r="25" spans="1:14" ht="35.1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1:14" ht="35.1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ht="35.1" customHeight="1" x14ac:dyDescent="0.25"/>
    <row r="28" spans="1:14" ht="35.1" customHeight="1" x14ac:dyDescent="0.25"/>
  </sheetData>
  <mergeCells count="2">
    <mergeCell ref="A2:F2"/>
    <mergeCell ref="G2:M2"/>
  </mergeCells>
  <pageMargins left="0.7" right="0.7" top="0.75" bottom="0.75" header="0.3" footer="0.3"/>
  <pageSetup paperSize="5" scale="60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Funding Worksheet - ACH Version</vt:lpstr>
      <vt:lpstr>Funding Worksheet - Folder Vers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2025-06-30T18:42:45Z</cp:lastPrinted>
  <dcterms:created xsi:type="dcterms:W3CDTF">2025-06-30T18:36:46Z</dcterms:created>
  <dcterms:modified xsi:type="dcterms:W3CDTF">2025-07-01T19:11:13Z</dcterms:modified>
</cp:coreProperties>
</file>