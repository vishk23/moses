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0DDE3EE9-D5C0-43BA-9D8D-D2B4CB6C1F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H21" i="2"/>
  <c r="F9" i="1"/>
  <c r="F12" i="1"/>
  <c r="F30" i="1"/>
  <c r="H33" i="1"/>
  <c r="E33" i="1"/>
  <c r="D33" i="1"/>
  <c r="C33" i="1"/>
</calcChain>
</file>

<file path=xl/sharedStrings.xml><?xml version="1.0" encoding="utf-8"?>
<sst xmlns="http://schemas.openxmlformats.org/spreadsheetml/2006/main" count="224" uniqueCount="119">
  <si>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</si>
  <si>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</si>
  <si>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</si>
  <si>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</si>
  <si>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</si>
  <si>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</si>
  <si>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</si>
  <si>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</si>
  <si>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</si>
  <si>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</si>
  <si>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Adao Automotive Group Inc d/b/a</t>
  </si>
  <si>
    <t>Marlene Braganca</t>
  </si>
  <si>
    <t>Alden Mazda</t>
  </si>
  <si>
    <t>Bourne Enterprises Inc</t>
  </si>
  <si>
    <t>First Hyundai</t>
  </si>
  <si>
    <t>Grieco Toyota</t>
  </si>
  <si>
    <t>Mastria Buick Pontiac</t>
  </si>
  <si>
    <t>Mastria Kia</t>
  </si>
  <si>
    <t>Neli Oliveira</t>
  </si>
  <si>
    <t>Paul Masse Buick GMC South, Inc</t>
  </si>
  <si>
    <t>Planet Automotive Sales LLC</t>
  </si>
  <si>
    <t>Priority Automotive LLC</t>
  </si>
  <si>
    <t>T F Murphy Enterprises Inc</t>
  </si>
  <si>
    <t>Tasca Automotive Group Rt 6 One Inc</t>
  </si>
  <si>
    <t>Wareham Ford</t>
  </si>
  <si>
    <t>Column1</t>
  </si>
  <si>
    <t>Column2</t>
  </si>
  <si>
    <t># 17</t>
  </si>
  <si>
    <t>LAPORTE</t>
  </si>
  <si>
    <t>STUBAS25@YAHOO.COM</t>
  </si>
  <si>
    <t>SENERCHIA, SCOTT</t>
  </si>
  <si>
    <t>E Contract</t>
  </si>
  <si>
    <t>Route One</t>
  </si>
  <si>
    <t>151236603E</t>
  </si>
  <si>
    <t>GARDNER</t>
  </si>
  <si>
    <t>HAGGERTY</t>
  </si>
  <si>
    <t>SHEA.CUNNINHAM@MARINE.EDU</t>
  </si>
  <si>
    <t>cunninghamhealthere@gmail.com</t>
  </si>
  <si>
    <t>CUNNINGHAM, SHEA</t>
  </si>
  <si>
    <t>CUNNINGHAM, HEATHER</t>
  </si>
  <si>
    <t>Paper</t>
  </si>
  <si>
    <t>DealerTrack</t>
  </si>
  <si>
    <t>151236546</t>
  </si>
  <si>
    <t>Tanner</t>
  </si>
  <si>
    <t>RANCTILJR@YAHOO.COM</t>
  </si>
  <si>
    <t>ANCTIL, RICHARD</t>
  </si>
  <si>
    <t>151236538E</t>
  </si>
  <si>
    <t>LAMBERT</t>
  </si>
  <si>
    <t>ABARONE81@YAHOO.COM</t>
  </si>
  <si>
    <t>SCHAEFER, ASHLEY</t>
  </si>
  <si>
    <t>151236520</t>
  </si>
  <si>
    <t>JOHNSON</t>
  </si>
  <si>
    <t>EDSA51@YAHOO.COM</t>
  </si>
  <si>
    <t>CHURCHILL, EDWARD</t>
  </si>
  <si>
    <t>151236497E</t>
  </si>
  <si>
    <t>Holley</t>
  </si>
  <si>
    <t>chubert1850@gmail.com</t>
  </si>
  <si>
    <t>HUBERT, CHRISTOPHER</t>
  </si>
  <si>
    <t>151236471E</t>
  </si>
  <si>
    <t>Coderre</t>
  </si>
  <si>
    <t>CHORTON771@YAHOO.COM</t>
  </si>
  <si>
    <t>HORTON, CRAIG</t>
  </si>
  <si>
    <t>151236439E</t>
  </si>
  <si>
    <t>Bethune</t>
  </si>
  <si>
    <t>kpk1120@comcast.net</t>
  </si>
  <si>
    <t>LEGAULT, KIMBERLY</t>
  </si>
  <si>
    <t>151236372E</t>
  </si>
  <si>
    <t>FLAVIN</t>
  </si>
  <si>
    <t>FAIELLA, NICHOLAS</t>
  </si>
  <si>
    <t>151236364E</t>
  </si>
  <si>
    <t>MELLO</t>
  </si>
  <si>
    <t>MONIQUEKUDO24@GMAIL.COM</t>
  </si>
  <si>
    <t>ARRUDA, DOUGLAS</t>
  </si>
  <si>
    <t>151236356E</t>
  </si>
  <si>
    <t>COLLINS</t>
  </si>
  <si>
    <t>DAWNSTEENSTRA@GMAIL.COM</t>
  </si>
  <si>
    <t>STEENSTRA, DAWN</t>
  </si>
  <si>
    <t>151236348E</t>
  </si>
  <si>
    <t>JU</t>
  </si>
  <si>
    <t>tang, chao</t>
  </si>
  <si>
    <t>151236330E</t>
  </si>
  <si>
    <t>MILLER</t>
  </si>
  <si>
    <t>DEBHEON443@GMAIL.COM</t>
  </si>
  <si>
    <t>HEON, DEBORAH</t>
  </si>
  <si>
    <t>151236314E</t>
  </si>
  <si>
    <t>TAYLOR</t>
  </si>
  <si>
    <t>COURTNEYBRANCO@GMAIL.COM</t>
  </si>
  <si>
    <t>BRANCO, COURTNEY</t>
  </si>
  <si>
    <t>151236306E</t>
  </si>
  <si>
    <t>DAWSON</t>
  </si>
  <si>
    <t>MIDURA, PETER</t>
  </si>
  <si>
    <t>151236299E</t>
  </si>
  <si>
    <t>BUETTNER</t>
  </si>
  <si>
    <t>MATTHEWJKELE@GMAIL.COM</t>
  </si>
  <si>
    <t>KELE, MATTHEW</t>
  </si>
  <si>
    <t>151236281E</t>
  </si>
  <si>
    <t>GIUSTI</t>
  </si>
  <si>
    <t>JESSECZ3@YAHOO.COM</t>
  </si>
  <si>
    <t>CZERWEIN, JESSE</t>
  </si>
  <si>
    <t>151235986E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</si>
  <si>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</si>
  <si>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</si>
  <si>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</si>
  <si>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</si>
  <si>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</si>
  <si>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</si>
  <si>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</si>
  <si>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</si>
  <si>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</si>
  <si>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</si>
  <si>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</si>
  <si>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Signed_________________________________________________________________</t>
  </si>
  <si>
    <t>Received By___________________________________________________________________________</t>
  </si>
  <si>
    <t>Delivered By___________________________________________________________________________</t>
  </si>
  <si>
    <t># 2</t>
  </si>
  <si>
    <t>Funding Worksheet - Signoff Version</t>
  </si>
  <si>
    <t>2330     8209</t>
  </si>
  <si>
    <t>4453     2150</t>
  </si>
  <si>
    <t>5099    5689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</si>
</sst>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4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  <xf numFmtId="0" fontId="2" fillId="2" borderId="0" xfId="2"/>
    <xf numFmtId="0" fontId="2" fillId="0" borderId="0" xfId="2" applyFill="1"/>
    <xf numFmtId="164" fontId="2" fillId="0" borderId="0" xfId="2" applyNumberFormat="1" applyFill="1" applyAlignment="1">
      <alignment horizontal="right"/>
    </xf>
    <xf numFmtId="0" fontId="1" fillId="0" borderId="0" xfId="2" applyFont="1" applyFill="1" applyAlignment="1">
      <alignment horizontal="left"/>
    </xf>
    <xf numFmtId="0" fontId="2" fillId="0" borderId="0" xfId="2" applyFill="1"/>
    <xf numFmtId="0" fontId="1" fillId="0" borderId="0" xfId="2" applyFont="1" applyFill="1" applyAlignment="1">
      <alignment horizontal="right"/>
    </xf>
    <xf numFmtId="0" fontId="1" fillId="0" borderId="0" xfId="2" applyFont="1" applyFill="1"/>
  </cellXfs>
  <cellStyles count="3">
    <cellStyle name="Normal" xfId="0" builtinId="0"/>
    <cellStyle name="Normal 2" xfId="1" xr:uid="{205C83B9-EC59-4990-85C5-11DA992753FE}"/>
    <cellStyle name="Normal 3" xfId="2" xr:uid="{E542784F-63A3-47BC-A7F9-79207FF2FBA2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33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BC9BB403-5CFE-430F-87EB-71A49D6C4CCC}" name="Column1" dataDxfId="23"/>
    <tableColumn id="8" xr3:uid="{D2F47CA6-298F-4FD8-A7A3-53EA1263C723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B4E0CB-5840-49DB-AF0A-60A6FC2DA4BB}" name="Table_13" displayName="Table_13" ref="A3:L21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9E459C-5E3E-45C7-BADA-F810C401D3DF}" name="Table_14" displayName="Table_14" ref="A3:E6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3"/>
  <sheetViews>
    <sheetView tabSelected="1" workbookViewId="0">
      <pane ySplit="3" topLeftCell="A4" activePane="bottomLeft" state="frozen"/>
      <selection pane="bottomLeft" activeCell="E32" sqref="E32"/>
    </sheetView>
  </sheetViews>
  <sheetFormatPr defaultRowHeight="15" x14ac:dyDescent="0.25"/>
  <cols>
    <col min="1" max="1" width="35.7109375" bestFit="1" customWidth="1"/>
    <col min="2" max="2" width="17.7109375" bestFit="1" customWidth="1"/>
    <col min="3" max="3" width="11.140625" bestFit="1" customWidth="1"/>
    <col min="4" max="4" width="17.140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45946</v>
      </c>
      <c r="E1" t="s">
        <v>2</v>
      </c>
      <c r="H1" s="4">
        <v>45946.999988425923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25</v>
      </c>
      <c r="G3" t="s">
        <v>26</v>
      </c>
      <c r="H3" t="s">
        <v>9</v>
      </c>
    </row>
    <row r="4" spans="1:8" x14ac:dyDescent="0.25">
      <c r="A4" t="s">
        <v>10</v>
      </c>
      <c r="B4" t="s">
        <v>11</v>
      </c>
      <c r="C4" s="2">
        <v>1050</v>
      </c>
      <c r="D4" s="2">
        <v>0</v>
      </c>
      <c r="E4" s="2">
        <v>42006.81</v>
      </c>
      <c r="F4" s="2"/>
      <c r="G4" s="2"/>
      <c r="H4" s="2">
        <v>42081.81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11</v>
      </c>
      <c r="C6" s="2">
        <v>850</v>
      </c>
      <c r="D6" s="2">
        <v>0</v>
      </c>
      <c r="E6" s="2">
        <v>31611.040000000001</v>
      </c>
      <c r="F6" s="2"/>
      <c r="G6" s="2"/>
      <c r="H6" s="2">
        <v>31686.04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13</v>
      </c>
      <c r="B8" t="s">
        <v>11</v>
      </c>
      <c r="C8" s="2">
        <v>950</v>
      </c>
      <c r="D8" s="2">
        <v>0</v>
      </c>
      <c r="E8" s="2">
        <v>37743.629999999997</v>
      </c>
      <c r="F8" s="2"/>
      <c r="G8" s="2"/>
      <c r="H8" s="2">
        <v>37818.629999999997</v>
      </c>
    </row>
    <row r="9" spans="1:8" x14ac:dyDescent="0.25">
      <c r="A9" t="s">
        <v>13</v>
      </c>
      <c r="B9" t="s">
        <v>11</v>
      </c>
      <c r="C9" s="2">
        <v>650</v>
      </c>
      <c r="D9" s="2">
        <v>0</v>
      </c>
      <c r="E9" s="2">
        <v>21322.38</v>
      </c>
      <c r="F9" s="2">
        <f>SUM(E8:E9)</f>
        <v>59066.009999999995</v>
      </c>
      <c r="G9" s="2"/>
      <c r="H9" s="2">
        <v>21397.38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14</v>
      </c>
      <c r="B11" t="s">
        <v>11</v>
      </c>
      <c r="C11" s="2">
        <v>500</v>
      </c>
      <c r="D11" s="2">
        <v>0</v>
      </c>
      <c r="E11" s="2">
        <v>19511.5</v>
      </c>
      <c r="F11" s="2"/>
      <c r="G11" s="2"/>
      <c r="H11" s="2">
        <v>19586.5</v>
      </c>
    </row>
    <row r="12" spans="1:8" x14ac:dyDescent="0.25">
      <c r="A12" t="s">
        <v>14</v>
      </c>
      <c r="B12" t="s">
        <v>11</v>
      </c>
      <c r="C12" s="2">
        <v>500</v>
      </c>
      <c r="D12" s="2">
        <v>0</v>
      </c>
      <c r="E12" s="2">
        <v>17465.939999999999</v>
      </c>
      <c r="F12" s="2">
        <f>SUM(E11:E12)</f>
        <v>36977.440000000002</v>
      </c>
      <c r="G12" s="2" t="s">
        <v>116</v>
      </c>
      <c r="H12" s="2">
        <v>17540.939999999999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15</v>
      </c>
      <c r="B14" t="s">
        <v>11</v>
      </c>
      <c r="C14" s="2">
        <v>950</v>
      </c>
      <c r="D14" s="2">
        <v>0</v>
      </c>
      <c r="E14" s="2">
        <v>38957.06</v>
      </c>
      <c r="F14" s="2"/>
      <c r="G14" s="2"/>
      <c r="H14" s="2">
        <v>39032.06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16</v>
      </c>
      <c r="B16" t="s">
        <v>11</v>
      </c>
      <c r="C16" s="2">
        <v>650</v>
      </c>
      <c r="D16" s="2">
        <v>0</v>
      </c>
      <c r="E16" s="2">
        <v>23239.42</v>
      </c>
      <c r="F16" s="2"/>
      <c r="G16" s="2" t="s">
        <v>117</v>
      </c>
      <c r="H16" s="2">
        <v>23314.42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t="s">
        <v>17</v>
      </c>
      <c r="B18" t="s">
        <v>18</v>
      </c>
      <c r="C18" s="2">
        <v>300</v>
      </c>
      <c r="D18" s="2">
        <v>0</v>
      </c>
      <c r="E18" s="2">
        <v>9930.7999999999993</v>
      </c>
      <c r="F18" s="2"/>
      <c r="G18" s="2" t="s">
        <v>118</v>
      </c>
      <c r="H18" s="2">
        <v>10005.799999999999</v>
      </c>
    </row>
    <row r="19" spans="1:8" x14ac:dyDescent="0.25">
      <c r="C19" s="2"/>
      <c r="D19" s="2"/>
      <c r="E19" s="2"/>
      <c r="F19" s="2"/>
      <c r="G19" s="2"/>
      <c r="H19" s="2"/>
    </row>
    <row r="20" spans="1:8" x14ac:dyDescent="0.25">
      <c r="A20" t="s">
        <v>19</v>
      </c>
      <c r="B20" t="s">
        <v>11</v>
      </c>
      <c r="C20" s="2">
        <v>1350</v>
      </c>
      <c r="D20" s="2">
        <v>0</v>
      </c>
      <c r="E20" s="2">
        <v>58609.25</v>
      </c>
      <c r="F20" s="2"/>
      <c r="G20" s="2"/>
      <c r="H20" s="2">
        <v>58684.25</v>
      </c>
    </row>
    <row r="21" spans="1:8" x14ac:dyDescent="0.25">
      <c r="C21" s="2"/>
      <c r="D21" s="2"/>
      <c r="E21" s="2"/>
      <c r="F21" s="2"/>
      <c r="G21" s="2"/>
      <c r="H21" s="2"/>
    </row>
    <row r="22" spans="1:8" x14ac:dyDescent="0.25">
      <c r="A22" t="s">
        <v>20</v>
      </c>
      <c r="B22" t="s">
        <v>18</v>
      </c>
      <c r="C22" s="2">
        <v>1050</v>
      </c>
      <c r="D22" s="2">
        <v>0</v>
      </c>
      <c r="E22" s="2">
        <v>41999.44</v>
      </c>
      <c r="F22" s="2"/>
      <c r="G22" s="2"/>
      <c r="H22" s="2">
        <v>42074.44</v>
      </c>
    </row>
    <row r="23" spans="1:8" x14ac:dyDescent="0.25">
      <c r="A23" t="s">
        <v>20</v>
      </c>
      <c r="B23" t="s">
        <v>18</v>
      </c>
      <c r="C23" s="2">
        <v>750</v>
      </c>
      <c r="D23" s="2">
        <v>0</v>
      </c>
      <c r="E23" s="2">
        <v>27279.13</v>
      </c>
      <c r="F23" s="2">
        <f>SUM(E22:E23)</f>
        <v>69278.570000000007</v>
      </c>
      <c r="G23" s="2"/>
      <c r="H23" s="2">
        <v>27354.13</v>
      </c>
    </row>
    <row r="24" spans="1:8" x14ac:dyDescent="0.25">
      <c r="C24" s="2"/>
      <c r="D24" s="2"/>
      <c r="E24" s="2"/>
      <c r="F24" s="2"/>
      <c r="G24" s="2"/>
      <c r="H24" s="2"/>
    </row>
    <row r="25" spans="1:8" x14ac:dyDescent="0.25">
      <c r="A25" t="s">
        <v>21</v>
      </c>
      <c r="B25" t="s">
        <v>11</v>
      </c>
      <c r="C25" s="2">
        <v>1500</v>
      </c>
      <c r="D25" s="2">
        <v>0</v>
      </c>
      <c r="E25" s="2">
        <v>70242.320000000007</v>
      </c>
      <c r="F25" s="2"/>
      <c r="G25" s="2"/>
      <c r="H25" s="2">
        <v>70317.320000000007</v>
      </c>
    </row>
    <row r="26" spans="1:8" x14ac:dyDescent="0.25">
      <c r="C26" s="2"/>
      <c r="D26" s="2"/>
      <c r="E26" s="2"/>
      <c r="F26" s="2"/>
      <c r="G26" s="2"/>
      <c r="H26" s="2"/>
    </row>
    <row r="27" spans="1:8" x14ac:dyDescent="0.25">
      <c r="A27" t="s">
        <v>22</v>
      </c>
      <c r="B27" t="s">
        <v>11</v>
      </c>
      <c r="C27" s="2">
        <v>1050</v>
      </c>
      <c r="D27" s="2">
        <v>0</v>
      </c>
      <c r="E27" s="2">
        <v>40833.699999999997</v>
      </c>
      <c r="F27" s="2"/>
      <c r="G27" s="2"/>
      <c r="H27" s="2">
        <v>40908.699999999997</v>
      </c>
    </row>
    <row r="28" spans="1:8" x14ac:dyDescent="0.25">
      <c r="C28" s="2"/>
      <c r="D28" s="2"/>
      <c r="E28" s="2"/>
      <c r="F28" s="2"/>
      <c r="G28" s="2"/>
      <c r="H28" s="2"/>
    </row>
    <row r="29" spans="1:8" x14ac:dyDescent="0.25">
      <c r="A29" t="s">
        <v>23</v>
      </c>
      <c r="B29" t="s">
        <v>11</v>
      </c>
      <c r="C29" s="2">
        <v>500</v>
      </c>
      <c r="D29" s="2">
        <v>0</v>
      </c>
      <c r="E29" s="2">
        <v>18342.759999999998</v>
      </c>
      <c r="F29" s="2"/>
      <c r="G29" s="2"/>
      <c r="H29" s="2">
        <v>18417.759999999998</v>
      </c>
    </row>
    <row r="30" spans="1:8" x14ac:dyDescent="0.25">
      <c r="A30" t="s">
        <v>23</v>
      </c>
      <c r="B30" t="s">
        <v>18</v>
      </c>
      <c r="C30" s="2">
        <v>750</v>
      </c>
      <c r="D30" s="2">
        <v>0</v>
      </c>
      <c r="E30" s="2">
        <v>26589.759999999998</v>
      </c>
      <c r="F30" s="2">
        <f>SUM(E29:E30)</f>
        <v>44932.52</v>
      </c>
      <c r="G30" s="2"/>
      <c r="H30" s="2">
        <v>26664.76</v>
      </c>
    </row>
    <row r="31" spans="1:8" x14ac:dyDescent="0.25">
      <c r="C31" s="2"/>
      <c r="D31" s="2"/>
      <c r="E31" s="2"/>
      <c r="F31" s="2"/>
      <c r="G31" s="2"/>
      <c r="H31" s="2"/>
    </row>
    <row r="32" spans="1:8" x14ac:dyDescent="0.25">
      <c r="A32" t="s">
        <v>24</v>
      </c>
      <c r="B32" t="s">
        <v>11</v>
      </c>
      <c r="C32" s="2">
        <v>1050</v>
      </c>
      <c r="D32" s="2">
        <v>0</v>
      </c>
      <c r="E32" s="2">
        <v>40414.589999999997</v>
      </c>
      <c r="F32" s="2"/>
      <c r="G32" s="2"/>
      <c r="H32" s="2">
        <v>40489.589999999997</v>
      </c>
    </row>
    <row r="33" spans="1:8" x14ac:dyDescent="0.25">
      <c r="A33" s="1"/>
      <c r="B33" s="1"/>
      <c r="C33" s="3">
        <f>SUM(C4:C32)</f>
        <v>14400</v>
      </c>
      <c r="D33" s="3">
        <f>SUM(D4:D32)</f>
        <v>0</v>
      </c>
      <c r="E33" s="3">
        <f>SUM(E4:E32)</f>
        <v>566099.53</v>
      </c>
      <c r="F33" s="3"/>
      <c r="G33" s="3"/>
      <c r="H33" s="3">
        <f>SUM(H4:H32)</f>
        <v>567374.53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595D0-CE46-4463-8FA9-4E5F416E505D}">
  <sheetPr>
    <pageSetUpPr fitToPage="1"/>
  </sheetPr>
  <dimension ref="A1:L28"/>
  <sheetViews>
    <sheetView topLeftCell="G1" workbookViewId="0">
      <pane ySplit="3" topLeftCell="A12" activePane="bottomLeft" state="frozen"/>
      <selection pane="bottomLeft" activeCell="I17" sqref="I17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3.85546875" style="8" bestFit="1" customWidth="1"/>
    <col min="5" max="5" width="20.140625" style="8" bestFit="1" customWidth="1"/>
    <col min="6" max="6" width="35.7109375" style="8" bestFit="1" customWidth="1"/>
    <col min="7" max="7" width="17.7109375" style="8" bestFit="1" customWidth="1"/>
    <col min="8" max="8" width="17.140625" style="8" bestFit="1" customWidth="1"/>
    <col min="9" max="9" width="32.7109375" style="8" bestFit="1" customWidth="1"/>
    <col min="10" max="10" width="31.5703125" style="8" bestFit="1" customWidth="1"/>
    <col min="11" max="11" width="17.140625" style="8" bestFit="1" customWidth="1"/>
    <col min="12" max="12" width="12.85546875" style="8" bestFit="1" customWidth="1"/>
    <col min="13" max="16384" width="9.140625" style="8"/>
  </cols>
  <sheetData>
    <row r="1" spans="1:12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45946</v>
      </c>
      <c r="L1" s="9" t="s">
        <v>2</v>
      </c>
    </row>
    <row r="2" spans="1:12" ht="35.1" customHeight="1" x14ac:dyDescent="0.25">
      <c r="A2" s="11" t="s">
        <v>0</v>
      </c>
      <c r="B2" s="12"/>
      <c r="C2" s="12"/>
      <c r="D2" s="12"/>
      <c r="E2" s="12"/>
      <c r="F2" s="12"/>
      <c r="G2" s="13" t="s">
        <v>110</v>
      </c>
      <c r="H2" s="12"/>
      <c r="I2" s="12"/>
      <c r="J2" s="12"/>
      <c r="K2" s="12"/>
      <c r="L2" s="12"/>
    </row>
    <row r="3" spans="1:12" ht="35.1" customHeight="1" x14ac:dyDescent="0.25">
      <c r="A3" s="9" t="s">
        <v>109</v>
      </c>
      <c r="B3" s="9" t="s">
        <v>108</v>
      </c>
      <c r="C3" s="9" t="s">
        <v>107</v>
      </c>
      <c r="D3" s="9" t="s">
        <v>106</v>
      </c>
      <c r="E3" s="9" t="s">
        <v>105</v>
      </c>
      <c r="F3" s="9" t="s">
        <v>4</v>
      </c>
      <c r="G3" s="9" t="s">
        <v>5</v>
      </c>
      <c r="H3" s="9" t="s">
        <v>104</v>
      </c>
      <c r="I3" s="9" t="s">
        <v>103</v>
      </c>
      <c r="J3" s="9" t="s">
        <v>102</v>
      </c>
      <c r="K3" s="9" t="s">
        <v>101</v>
      </c>
      <c r="L3" s="9" t="s">
        <v>100</v>
      </c>
    </row>
    <row r="4" spans="1:12" ht="35.1" customHeight="1" x14ac:dyDescent="0.25">
      <c r="A4" s="9" t="s">
        <v>99</v>
      </c>
      <c r="B4" s="9" t="s">
        <v>32</v>
      </c>
      <c r="C4" s="9" t="s">
        <v>31</v>
      </c>
      <c r="D4" s="9" t="s">
        <v>98</v>
      </c>
      <c r="E4" s="9"/>
      <c r="F4" s="9" t="s">
        <v>23</v>
      </c>
      <c r="G4" s="9" t="s">
        <v>11</v>
      </c>
      <c r="H4" s="14">
        <v>18417.759999999998</v>
      </c>
      <c r="I4" s="9" t="s">
        <v>97</v>
      </c>
      <c r="J4" s="9"/>
      <c r="K4" s="9" t="s">
        <v>96</v>
      </c>
      <c r="L4" s="9"/>
    </row>
    <row r="5" spans="1:12" ht="35.1" customHeight="1" x14ac:dyDescent="0.25">
      <c r="A5" s="9" t="s">
        <v>95</v>
      </c>
      <c r="B5" s="9" t="s">
        <v>41</v>
      </c>
      <c r="C5" s="9" t="s">
        <v>31</v>
      </c>
      <c r="D5" s="9" t="s">
        <v>94</v>
      </c>
      <c r="E5" s="9"/>
      <c r="F5" s="9" t="s">
        <v>10</v>
      </c>
      <c r="G5" s="9" t="s">
        <v>11</v>
      </c>
      <c r="H5" s="14">
        <v>42081.81</v>
      </c>
      <c r="I5" s="9" t="s">
        <v>93</v>
      </c>
      <c r="J5" s="9"/>
      <c r="K5" s="9" t="s">
        <v>92</v>
      </c>
      <c r="L5" s="9"/>
    </row>
    <row r="6" spans="1:12" ht="35.1" customHeight="1" x14ac:dyDescent="0.25">
      <c r="A6" s="9" t="s">
        <v>91</v>
      </c>
      <c r="B6" s="9" t="s">
        <v>41</v>
      </c>
      <c r="C6" s="9" t="s">
        <v>31</v>
      </c>
      <c r="D6" s="9" t="s">
        <v>90</v>
      </c>
      <c r="E6" s="9"/>
      <c r="F6" s="9" t="s">
        <v>13</v>
      </c>
      <c r="G6" s="9" t="s">
        <v>11</v>
      </c>
      <c r="H6" s="14">
        <v>37818.629999999997</v>
      </c>
      <c r="I6" s="9"/>
      <c r="J6" s="9"/>
      <c r="K6" s="9" t="s">
        <v>89</v>
      </c>
      <c r="L6" s="9"/>
    </row>
    <row r="7" spans="1:12" ht="35.1" customHeight="1" x14ac:dyDescent="0.25">
      <c r="A7" s="9" t="s">
        <v>88</v>
      </c>
      <c r="B7" s="9" t="s">
        <v>32</v>
      </c>
      <c r="C7" s="9" t="s">
        <v>31</v>
      </c>
      <c r="D7" s="9" t="s">
        <v>87</v>
      </c>
      <c r="E7" s="9"/>
      <c r="F7" s="9" t="s">
        <v>12</v>
      </c>
      <c r="G7" s="9" t="s">
        <v>11</v>
      </c>
      <c r="H7" s="14">
        <v>31686.04</v>
      </c>
      <c r="I7" s="9" t="s">
        <v>86</v>
      </c>
      <c r="J7" s="9"/>
      <c r="K7" s="9" t="s">
        <v>85</v>
      </c>
      <c r="L7" s="9"/>
    </row>
    <row r="8" spans="1:12" ht="35.1" customHeight="1" x14ac:dyDescent="0.25">
      <c r="A8" s="9" t="s">
        <v>84</v>
      </c>
      <c r="B8" s="9" t="s">
        <v>41</v>
      </c>
      <c r="C8" s="9" t="s">
        <v>31</v>
      </c>
      <c r="D8" s="9" t="s">
        <v>83</v>
      </c>
      <c r="E8" s="9"/>
      <c r="F8" s="9" t="s">
        <v>14</v>
      </c>
      <c r="G8" s="9" t="s">
        <v>11</v>
      </c>
      <c r="H8" s="14">
        <v>19586.5</v>
      </c>
      <c r="I8" s="9" t="s">
        <v>82</v>
      </c>
      <c r="J8" s="9"/>
      <c r="K8" s="9" t="s">
        <v>81</v>
      </c>
      <c r="L8" s="9"/>
    </row>
    <row r="9" spans="1:12" ht="35.1" customHeight="1" x14ac:dyDescent="0.25">
      <c r="A9" s="9" t="s">
        <v>80</v>
      </c>
      <c r="B9" s="9" t="s">
        <v>32</v>
      </c>
      <c r="C9" s="9" t="s">
        <v>31</v>
      </c>
      <c r="D9" s="9" t="s">
        <v>79</v>
      </c>
      <c r="E9" s="9"/>
      <c r="F9" s="9" t="s">
        <v>15</v>
      </c>
      <c r="G9" s="9" t="s">
        <v>11</v>
      </c>
      <c r="H9" s="14">
        <v>39032.06</v>
      </c>
      <c r="I9" s="9"/>
      <c r="J9" s="9"/>
      <c r="K9" s="9" t="s">
        <v>78</v>
      </c>
      <c r="L9" s="9"/>
    </row>
    <row r="10" spans="1:12" ht="35.1" customHeight="1" x14ac:dyDescent="0.25">
      <c r="A10" s="9" t="s">
        <v>77</v>
      </c>
      <c r="B10" s="9" t="s">
        <v>41</v>
      </c>
      <c r="C10" s="9" t="s">
        <v>31</v>
      </c>
      <c r="D10" s="9" t="s">
        <v>76</v>
      </c>
      <c r="E10" s="9"/>
      <c r="F10" s="9" t="s">
        <v>17</v>
      </c>
      <c r="G10" s="9" t="s">
        <v>18</v>
      </c>
      <c r="H10" s="14">
        <v>10005.799999999999</v>
      </c>
      <c r="I10" s="9" t="s">
        <v>75</v>
      </c>
      <c r="J10" s="9"/>
      <c r="K10" s="9" t="s">
        <v>74</v>
      </c>
      <c r="L10" s="9"/>
    </row>
    <row r="11" spans="1:12" ht="35.1" customHeight="1" x14ac:dyDescent="0.25">
      <c r="A11" s="9" t="s">
        <v>73</v>
      </c>
      <c r="B11" s="9" t="s">
        <v>41</v>
      </c>
      <c r="C11" s="9" t="s">
        <v>31</v>
      </c>
      <c r="D11" s="9" t="s">
        <v>72</v>
      </c>
      <c r="E11" s="9"/>
      <c r="F11" s="9" t="s">
        <v>21</v>
      </c>
      <c r="G11" s="9" t="s">
        <v>11</v>
      </c>
      <c r="H11" s="14">
        <v>70317.320000000007</v>
      </c>
      <c r="I11" s="9" t="s">
        <v>71</v>
      </c>
      <c r="J11" s="9"/>
      <c r="K11" s="9" t="s">
        <v>70</v>
      </c>
      <c r="L11" s="9"/>
    </row>
    <row r="12" spans="1:12" ht="35.1" customHeight="1" x14ac:dyDescent="0.25">
      <c r="A12" s="9" t="s">
        <v>69</v>
      </c>
      <c r="B12" s="9" t="s">
        <v>32</v>
      </c>
      <c r="C12" s="9" t="s">
        <v>31</v>
      </c>
      <c r="D12" s="9" t="s">
        <v>68</v>
      </c>
      <c r="E12" s="9"/>
      <c r="F12" s="9" t="s">
        <v>22</v>
      </c>
      <c r="G12" s="9" t="s">
        <v>11</v>
      </c>
      <c r="H12" s="14">
        <v>40908.699999999997</v>
      </c>
      <c r="I12" s="9"/>
      <c r="J12" s="9"/>
      <c r="K12" s="9" t="s">
        <v>67</v>
      </c>
      <c r="L12" s="9"/>
    </row>
    <row r="13" spans="1:12" ht="35.1" customHeight="1" x14ac:dyDescent="0.25">
      <c r="A13" s="9" t="s">
        <v>66</v>
      </c>
      <c r="B13" s="9" t="s">
        <v>32</v>
      </c>
      <c r="C13" s="9" t="s">
        <v>31</v>
      </c>
      <c r="D13" s="9" t="s">
        <v>65</v>
      </c>
      <c r="E13" s="9"/>
      <c r="F13" s="9" t="s">
        <v>24</v>
      </c>
      <c r="G13" s="9" t="s">
        <v>11</v>
      </c>
      <c r="H13" s="14">
        <v>40489.589999999997</v>
      </c>
      <c r="I13" s="9" t="s">
        <v>64</v>
      </c>
      <c r="J13" s="9"/>
      <c r="K13" s="9" t="s">
        <v>63</v>
      </c>
      <c r="L13" s="9"/>
    </row>
    <row r="14" spans="1:12" ht="35.1" customHeight="1" x14ac:dyDescent="0.25">
      <c r="A14" s="9" t="s">
        <v>62</v>
      </c>
      <c r="B14" s="9" t="s">
        <v>32</v>
      </c>
      <c r="C14" s="9" t="s">
        <v>31</v>
      </c>
      <c r="D14" s="9" t="s">
        <v>61</v>
      </c>
      <c r="E14" s="9"/>
      <c r="F14" s="9" t="s">
        <v>19</v>
      </c>
      <c r="G14" s="9" t="s">
        <v>11</v>
      </c>
      <c r="H14" s="14">
        <v>58684.25</v>
      </c>
      <c r="I14" s="9" t="s">
        <v>60</v>
      </c>
      <c r="J14" s="9"/>
      <c r="K14" s="9" t="s">
        <v>59</v>
      </c>
      <c r="L14" s="9"/>
    </row>
    <row r="15" spans="1:12" ht="35.1" customHeight="1" x14ac:dyDescent="0.25">
      <c r="A15" s="9" t="s">
        <v>58</v>
      </c>
      <c r="B15" s="9" t="s">
        <v>41</v>
      </c>
      <c r="C15" s="9" t="s">
        <v>31</v>
      </c>
      <c r="D15" s="9" t="s">
        <v>57</v>
      </c>
      <c r="E15" s="9"/>
      <c r="F15" s="9" t="s">
        <v>14</v>
      </c>
      <c r="G15" s="9" t="s">
        <v>11</v>
      </c>
      <c r="H15" s="14">
        <v>17540.939999999999</v>
      </c>
      <c r="I15" s="9" t="s">
        <v>56</v>
      </c>
      <c r="J15" s="9"/>
      <c r="K15" s="9" t="s">
        <v>55</v>
      </c>
      <c r="L15" s="9"/>
    </row>
    <row r="16" spans="1:12" ht="35.1" customHeight="1" x14ac:dyDescent="0.25">
      <c r="A16" s="9" t="s">
        <v>54</v>
      </c>
      <c r="B16" s="9" t="s">
        <v>41</v>
      </c>
      <c r="C16" s="9" t="s">
        <v>31</v>
      </c>
      <c r="D16" s="9" t="s">
        <v>53</v>
      </c>
      <c r="E16" s="9"/>
      <c r="F16" s="9" t="s">
        <v>13</v>
      </c>
      <c r="G16" s="9" t="s">
        <v>11</v>
      </c>
      <c r="H16" s="14">
        <v>21397.38</v>
      </c>
      <c r="I16" s="9" t="s">
        <v>52</v>
      </c>
      <c r="J16" s="9"/>
      <c r="K16" s="9" t="s">
        <v>51</v>
      </c>
      <c r="L16" s="9"/>
    </row>
    <row r="17" spans="1:12" ht="35.1" customHeight="1" x14ac:dyDescent="0.25">
      <c r="A17" s="9" t="s">
        <v>50</v>
      </c>
      <c r="B17" s="9" t="s">
        <v>41</v>
      </c>
      <c r="C17" s="9" t="s">
        <v>40</v>
      </c>
      <c r="D17" s="9" t="s">
        <v>49</v>
      </c>
      <c r="E17" s="9"/>
      <c r="F17" s="9" t="s">
        <v>20</v>
      </c>
      <c r="G17" s="9" t="s">
        <v>18</v>
      </c>
      <c r="H17" s="14">
        <v>42074.44</v>
      </c>
      <c r="I17" s="9" t="s">
        <v>48</v>
      </c>
      <c r="J17" s="9"/>
      <c r="K17" s="9" t="s">
        <v>47</v>
      </c>
      <c r="L17" s="9"/>
    </row>
    <row r="18" spans="1:12" ht="35.1" customHeight="1" x14ac:dyDescent="0.25">
      <c r="A18" s="9" t="s">
        <v>46</v>
      </c>
      <c r="B18" s="9" t="s">
        <v>32</v>
      </c>
      <c r="C18" s="9" t="s">
        <v>31</v>
      </c>
      <c r="D18" s="9" t="s">
        <v>45</v>
      </c>
      <c r="E18" s="9"/>
      <c r="F18" s="9" t="s">
        <v>16</v>
      </c>
      <c r="G18" s="9" t="s">
        <v>11</v>
      </c>
      <c r="H18" s="14">
        <v>23314.42</v>
      </c>
      <c r="I18" s="9" t="s">
        <v>44</v>
      </c>
      <c r="J18" s="9"/>
      <c r="K18" s="9" t="s">
        <v>43</v>
      </c>
      <c r="L18" s="9"/>
    </row>
    <row r="19" spans="1:12" ht="35.1" customHeight="1" x14ac:dyDescent="0.25">
      <c r="A19" s="9" t="s">
        <v>42</v>
      </c>
      <c r="B19" s="9" t="s">
        <v>41</v>
      </c>
      <c r="C19" s="9" t="s">
        <v>40</v>
      </c>
      <c r="D19" s="9" t="s">
        <v>39</v>
      </c>
      <c r="E19" s="9" t="s">
        <v>38</v>
      </c>
      <c r="F19" s="9" t="s">
        <v>20</v>
      </c>
      <c r="G19" s="9" t="s">
        <v>18</v>
      </c>
      <c r="H19" s="14">
        <v>27354.13</v>
      </c>
      <c r="I19" s="9" t="s">
        <v>37</v>
      </c>
      <c r="J19" s="9" t="s">
        <v>36</v>
      </c>
      <c r="K19" s="9" t="s">
        <v>35</v>
      </c>
      <c r="L19" s="9" t="s">
        <v>34</v>
      </c>
    </row>
    <row r="20" spans="1:12" ht="35.1" customHeight="1" x14ac:dyDescent="0.25">
      <c r="A20" s="9" t="s">
        <v>33</v>
      </c>
      <c r="B20" s="9" t="s">
        <v>32</v>
      </c>
      <c r="C20" s="9" t="s">
        <v>31</v>
      </c>
      <c r="D20" s="9" t="s">
        <v>30</v>
      </c>
      <c r="E20" s="9"/>
      <c r="F20" s="9" t="s">
        <v>23</v>
      </c>
      <c r="G20" s="9" t="s">
        <v>18</v>
      </c>
      <c r="H20" s="14">
        <v>26664.76</v>
      </c>
      <c r="I20" s="9" t="s">
        <v>29</v>
      </c>
      <c r="J20" s="9"/>
      <c r="K20" s="9" t="s">
        <v>28</v>
      </c>
      <c r="L20" s="9"/>
    </row>
    <row r="21" spans="1:12" ht="35.1" customHeight="1" x14ac:dyDescent="0.25">
      <c r="A21" s="15"/>
      <c r="B21" s="15"/>
      <c r="C21" s="15"/>
      <c r="D21" s="15" t="s">
        <v>27</v>
      </c>
      <c r="E21" s="15"/>
      <c r="F21" s="15"/>
      <c r="G21" s="15"/>
      <c r="H21" s="16">
        <f>SUM(H4:H20)</f>
        <v>567374.52999999991</v>
      </c>
      <c r="I21" s="15"/>
      <c r="J21" s="15"/>
      <c r="K21" s="15"/>
      <c r="L21" s="15"/>
    </row>
    <row r="22" spans="1:12" ht="35.1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35.1" customHeight="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35.1" customHeight="1" x14ac:dyDescent="0.25"/>
    <row r="25" spans="1:12" ht="35.1" customHeight="1" x14ac:dyDescent="0.25"/>
    <row r="26" spans="1:12" ht="35.1" customHeight="1" x14ac:dyDescent="0.25"/>
    <row r="27" spans="1:12" ht="35.1" customHeight="1" x14ac:dyDescent="0.25"/>
    <row r="28" spans="1:12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3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8176C-350E-4E5D-ADF0-23088C6A8346}">
  <sheetPr>
    <pageSetUpPr fitToPage="1"/>
  </sheetPr>
  <dimension ref="A1:E30"/>
  <sheetViews>
    <sheetView workbookViewId="0">
      <pane ySplit="3" topLeftCell="A4" activePane="bottomLeft" state="frozen"/>
      <selection pane="bottomLeft" activeCell="H19" sqref="H19"/>
    </sheetView>
  </sheetViews>
  <sheetFormatPr defaultRowHeight="15" x14ac:dyDescent="0.25"/>
  <cols>
    <col min="1" max="1" width="16.42578125" style="17" bestFit="1" customWidth="1"/>
    <col min="2" max="2" width="14" style="17" bestFit="1" customWidth="1"/>
    <col min="3" max="3" width="23.85546875" style="17" bestFit="1" customWidth="1"/>
    <col min="4" max="4" width="20.140625" style="17" bestFit="1" customWidth="1"/>
    <col min="5" max="5" width="35.7109375" style="17" bestFit="1" customWidth="1"/>
    <col min="6" max="16384" width="9.140625" style="17"/>
  </cols>
  <sheetData>
    <row r="1" spans="1:5" x14ac:dyDescent="0.25">
      <c r="A1" s="18"/>
      <c r="B1" s="18"/>
      <c r="C1" s="18" t="s">
        <v>3</v>
      </c>
      <c r="D1" s="19">
        <v>45946</v>
      </c>
      <c r="E1" s="18" t="s">
        <v>2</v>
      </c>
    </row>
    <row r="2" spans="1:5" x14ac:dyDescent="0.25">
      <c r="A2" s="20" t="s">
        <v>0</v>
      </c>
      <c r="B2" s="21"/>
      <c r="C2" s="21"/>
      <c r="D2" s="22" t="s">
        <v>115</v>
      </c>
      <c r="E2" s="21"/>
    </row>
    <row r="3" spans="1:5" x14ac:dyDescent="0.25">
      <c r="A3" s="18" t="s">
        <v>109</v>
      </c>
      <c r="B3" s="18" t="s">
        <v>107</v>
      </c>
      <c r="C3" s="18" t="s">
        <v>106</v>
      </c>
      <c r="D3" s="18" t="s">
        <v>105</v>
      </c>
      <c r="E3" s="18" t="s">
        <v>4</v>
      </c>
    </row>
    <row r="4" spans="1:5" x14ac:dyDescent="0.25">
      <c r="A4" s="18" t="s">
        <v>50</v>
      </c>
      <c r="B4" s="18" t="s">
        <v>40</v>
      </c>
      <c r="C4" s="18" t="s">
        <v>49</v>
      </c>
      <c r="D4" s="18"/>
      <c r="E4" s="18" t="s">
        <v>20</v>
      </c>
    </row>
    <row r="5" spans="1:5" x14ac:dyDescent="0.25">
      <c r="A5" s="18" t="s">
        <v>42</v>
      </c>
      <c r="B5" s="18" t="s">
        <v>40</v>
      </c>
      <c r="C5" s="18" t="s">
        <v>39</v>
      </c>
      <c r="D5" s="18" t="s">
        <v>38</v>
      </c>
      <c r="E5" s="18" t="s">
        <v>20</v>
      </c>
    </row>
    <row r="6" spans="1:5" x14ac:dyDescent="0.25">
      <c r="A6" s="23"/>
      <c r="B6" s="23"/>
      <c r="C6" s="23" t="s">
        <v>114</v>
      </c>
      <c r="D6" s="23"/>
      <c r="E6" s="23"/>
    </row>
    <row r="7" spans="1:5" x14ac:dyDescent="0.25">
      <c r="A7" s="18"/>
      <c r="B7" s="18"/>
      <c r="C7" s="18"/>
      <c r="D7" s="18"/>
      <c r="E7" s="18"/>
    </row>
    <row r="8" spans="1:5" x14ac:dyDescent="0.25">
      <c r="A8" s="18"/>
      <c r="B8" s="18"/>
      <c r="C8" s="18"/>
      <c r="D8" s="18"/>
      <c r="E8" s="18"/>
    </row>
    <row r="9" spans="1:5" x14ac:dyDescent="0.25">
      <c r="A9" s="18"/>
      <c r="B9" s="18"/>
      <c r="C9" s="18"/>
      <c r="D9" s="18"/>
      <c r="E9" s="18"/>
    </row>
    <row r="10" spans="1:5" x14ac:dyDescent="0.25">
      <c r="A10" s="18" t="s">
        <v>113</v>
      </c>
      <c r="B10" s="18"/>
      <c r="C10" s="18"/>
      <c r="D10" s="18"/>
      <c r="E10" s="18"/>
    </row>
    <row r="11" spans="1:5" x14ac:dyDescent="0.25">
      <c r="A11" s="18"/>
      <c r="B11" s="18"/>
      <c r="C11" s="18"/>
      <c r="D11" s="18"/>
      <c r="E11" s="18"/>
    </row>
    <row r="12" spans="1:5" x14ac:dyDescent="0.25">
      <c r="A12" s="18"/>
      <c r="B12" s="18"/>
      <c r="C12" s="18"/>
      <c r="D12" s="18"/>
      <c r="E12" s="18"/>
    </row>
    <row r="13" spans="1:5" x14ac:dyDescent="0.25">
      <c r="A13" s="18"/>
      <c r="B13" s="18"/>
      <c r="C13" s="18"/>
      <c r="D13" s="18"/>
      <c r="E13" s="18"/>
    </row>
    <row r="14" spans="1:5" x14ac:dyDescent="0.25">
      <c r="A14" s="18" t="s">
        <v>112</v>
      </c>
      <c r="B14" s="18"/>
      <c r="C14" s="18"/>
      <c r="D14" s="18"/>
      <c r="E14" s="18"/>
    </row>
    <row r="15" spans="1:5" x14ac:dyDescent="0.25">
      <c r="A15" s="18"/>
      <c r="B15" s="18"/>
      <c r="C15" s="18"/>
      <c r="D15" s="18"/>
      <c r="E15" s="18"/>
    </row>
    <row r="16" spans="1:5" x14ac:dyDescent="0.25">
      <c r="A16" s="18"/>
      <c r="B16" s="18"/>
      <c r="C16" s="18"/>
      <c r="D16" s="18"/>
      <c r="E16" s="18"/>
    </row>
    <row r="17" spans="1:5" x14ac:dyDescent="0.25">
      <c r="A17" s="18"/>
      <c r="B17" s="18"/>
      <c r="C17" s="18"/>
      <c r="D17" s="18"/>
      <c r="E17" s="18"/>
    </row>
    <row r="18" spans="1:5" x14ac:dyDescent="0.25">
      <c r="A18" s="18" t="s">
        <v>111</v>
      </c>
      <c r="B18" s="18"/>
      <c r="C18" s="18"/>
      <c r="D18" s="18"/>
      <c r="E18" s="18"/>
    </row>
    <row r="19" spans="1:5" x14ac:dyDescent="0.25">
      <c r="A19" s="18"/>
      <c r="B19" s="18"/>
      <c r="C19" s="18"/>
      <c r="D19" s="18"/>
      <c r="E19" s="18"/>
    </row>
    <row r="20" spans="1:5" x14ac:dyDescent="0.25">
      <c r="A20" s="18"/>
      <c r="B20" s="18"/>
      <c r="C20" s="18"/>
      <c r="D20" s="18"/>
      <c r="E20" s="18"/>
    </row>
    <row r="21" spans="1:5" x14ac:dyDescent="0.25">
      <c r="A21" s="18"/>
      <c r="B21" s="18"/>
      <c r="C21" s="18"/>
      <c r="D21" s="18"/>
      <c r="E21" s="18"/>
    </row>
    <row r="22" spans="1:5" x14ac:dyDescent="0.25">
      <c r="A22" s="18"/>
      <c r="B22" s="18"/>
      <c r="C22" s="18"/>
      <c r="D22" s="18"/>
      <c r="E22" s="18"/>
    </row>
    <row r="23" spans="1:5" x14ac:dyDescent="0.25">
      <c r="A23" s="18"/>
      <c r="B23" s="18"/>
      <c r="C23" s="18"/>
      <c r="D23" s="18"/>
      <c r="E23" s="18"/>
    </row>
    <row r="24" spans="1:5" x14ac:dyDescent="0.25">
      <c r="A24" s="18"/>
      <c r="B24" s="18"/>
      <c r="C24" s="18"/>
      <c r="D24" s="18"/>
      <c r="E24" s="18"/>
    </row>
    <row r="25" spans="1:5" x14ac:dyDescent="0.25">
      <c r="A25" s="18"/>
      <c r="B25" s="18"/>
      <c r="C25" s="18"/>
      <c r="D25" s="18"/>
      <c r="E25" s="18"/>
    </row>
    <row r="26" spans="1:5" x14ac:dyDescent="0.25">
      <c r="A26" s="18"/>
      <c r="B26" s="18"/>
      <c r="C26" s="18"/>
      <c r="D26" s="18"/>
      <c r="E26" s="18"/>
    </row>
    <row r="27" spans="1:5" x14ac:dyDescent="0.25">
      <c r="A27" s="18"/>
      <c r="B27" s="18"/>
      <c r="C27" s="18"/>
      <c r="D27" s="18"/>
      <c r="E27" s="18"/>
    </row>
    <row r="28" spans="1:5" x14ac:dyDescent="0.25">
      <c r="A28" s="18"/>
      <c r="B28" s="18"/>
      <c r="C28" s="18"/>
      <c r="D28" s="18"/>
      <c r="E28" s="18"/>
    </row>
    <row r="29" spans="1:5" x14ac:dyDescent="0.25">
      <c r="A29" s="18"/>
      <c r="B29" s="18"/>
      <c r="C29" s="18"/>
      <c r="D29" s="18"/>
      <c r="E29" s="18"/>
    </row>
    <row r="30" spans="1:5" x14ac:dyDescent="0.25">
      <c r="A30" s="18"/>
      <c r="B30" s="18"/>
      <c r="C30" s="18"/>
      <c r="D30" s="18"/>
      <c r="E30" s="18"/>
    </row>
  </sheetData>
  <mergeCells count="2">
    <mergeCell ref="A2:C2"/>
    <mergeCell ref="D2:E2"/>
  </mergeCells>
  <pageMargins left="0.7" right="0.7" top="0.75" bottom="0.75" header="0.3" footer="0.3"/>
  <pageSetup scale="75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2025-10-16T17:11:06Z</cp:lastPrinted>
  <dcterms:created xsi:type="dcterms:W3CDTF">2025-10-16T16:57:02Z</dcterms:created>
  <dcterms:modified xsi:type="dcterms:W3CDTF">2025-10-16T17:25:54Z</dcterms:modified>
</cp:coreProperties>
</file>