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19FF1630-806D-4155-8CE2-EBC9BF5B67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3" r:id="rId1"/>
    <sheet name="Funding Worksheet - Folder Vers" sheetId="1" r:id="rId2"/>
    <sheet name="Funding Worksheet - Signoff Ve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C28" i="3"/>
  <c r="D28" i="3"/>
  <c r="E28" i="3"/>
  <c r="H28" i="3"/>
  <c r="H17" i="1"/>
</calcChain>
</file>

<file path=xl/sharedStrings.xml><?xml version="1.0" encoding="utf-8"?>
<sst xmlns="http://schemas.openxmlformats.org/spreadsheetml/2006/main" count="190" uniqueCount="105">
  <si>
    <t>Bristol County Savings Bank</t>
  </si>
  <si>
    <t>Funding Worksheet - Folder Version</t>
  </si>
  <si>
    <t>To</t>
  </si>
  <si>
    <t>From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</si>
  <si>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</si>
  <si>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</si>
  <si>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</si>
  <si>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</si>
  <si>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</si>
  <si>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</si>
  <si>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</si>
  <si>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</si>
  <si>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</si>
  <si>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</si>
  <si>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</si>
  <si>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</si>
  <si>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Route One</t>
  </si>
  <si>
    <t>E Contract</t>
  </si>
  <si>
    <t>OShea-Kerr, Deirdre</t>
  </si>
  <si>
    <t>Herb Chambers Lincoln</t>
  </si>
  <si>
    <t>Marlene Braganca</t>
  </si>
  <si>
    <t>dorchestersinglefamily@hotmail.com</t>
  </si>
  <si>
    <t>O'Shea</t>
  </si>
  <si>
    <t>DealerTrack</t>
  </si>
  <si>
    <t>CUKER, CATHIA</t>
  </si>
  <si>
    <t>AutoMax Preowned(Framingham)</t>
  </si>
  <si>
    <t>CUKER</t>
  </si>
  <si>
    <t>DEMPSEY, TRACEY</t>
  </si>
  <si>
    <t>DEMPSEY, JOHN</t>
  </si>
  <si>
    <t>Priority Automotive LLC</t>
  </si>
  <si>
    <t>Neli Oliveira</t>
  </si>
  <si>
    <t>demps02703@gmail.com</t>
  </si>
  <si>
    <t>GIANNETTI</t>
  </si>
  <si>
    <t>SYLVIA</t>
  </si>
  <si>
    <t>DIFORMATO, SHERRI</t>
  </si>
  <si>
    <t>Paul Masse Buick GMC South, Inc</t>
  </si>
  <si>
    <t>DIFO221@YAHOO.COM</t>
  </si>
  <si>
    <t>CALDWELL</t>
  </si>
  <si>
    <t>STEVENS, RICHARD</t>
  </si>
  <si>
    <t>STEVENS, LAUREN</t>
  </si>
  <si>
    <t>Coastal Volkswagon</t>
  </si>
  <si>
    <t>Rachel Gorham</t>
  </si>
  <si>
    <t>LJSCOHO@GMAIL.COM</t>
  </si>
  <si>
    <t>LEMIEUX</t>
  </si>
  <si>
    <t>BUCKEY</t>
  </si>
  <si>
    <t>GARRETT, MARYELLEN</t>
  </si>
  <si>
    <t>Herb Chambers Lexus of Hingham</t>
  </si>
  <si>
    <t>MGARRETT19@OUTLOOK.COM</t>
  </si>
  <si>
    <t>MOONEY</t>
  </si>
  <si>
    <t>HORAN, MARGARET MARY</t>
  </si>
  <si>
    <t>Richard Lundgren, Inc. d/b/a</t>
  </si>
  <si>
    <t>MHORAN1991@GMAIL.COM</t>
  </si>
  <si>
    <t>HORAN</t>
  </si>
  <si>
    <t>LAROCQUE, HENRI</t>
  </si>
  <si>
    <t>Wareham Ford</t>
  </si>
  <si>
    <t>henritlarocque@gmail.com</t>
  </si>
  <si>
    <t>Greco</t>
  </si>
  <si>
    <t>151189141</t>
  </si>
  <si>
    <t>Paper</t>
  </si>
  <si>
    <t>HORAN, MARY ELLEN</t>
  </si>
  <si>
    <t>Volvo of Tiverton</t>
  </si>
  <si>
    <t>MHORAN@NORTHBRIDGECOS.COM</t>
  </si>
  <si>
    <t>McArdle</t>
  </si>
  <si>
    <t>151189159</t>
  </si>
  <si>
    <t>SMITH, WILSON</t>
  </si>
  <si>
    <t>SMITH, MARY JANE</t>
  </si>
  <si>
    <t>T F Murphy Enterprises Inc</t>
  </si>
  <si>
    <t>TORTOISELANE@GMAIL.COM</t>
  </si>
  <si>
    <t>SMITH</t>
  </si>
  <si>
    <t>FAY</t>
  </si>
  <si>
    <t>151189183</t>
  </si>
  <si>
    <t>MORAN, MICHAEL</t>
  </si>
  <si>
    <t>Sandy Motors, Inc</t>
  </si>
  <si>
    <t>MIKEMORAN9090@GMAIL.COM</t>
  </si>
  <si>
    <t>MELLON</t>
  </si>
  <si>
    <t>Silver, Lynne</t>
  </si>
  <si>
    <t>lynnesilver23@gmail.com</t>
  </si>
  <si>
    <t>Williams</t>
  </si>
  <si>
    <t>THOMAS, SEAN</t>
  </si>
  <si>
    <t>Salvadore Chevrolet</t>
  </si>
  <si>
    <t>seantsb@comcast.net</t>
  </si>
  <si>
    <t>MITCHELL</t>
  </si>
  <si>
    <t># 13</t>
  </si>
  <si>
    <t>151188846e</t>
  </si>
  <si>
    <t>151188903e</t>
  </si>
  <si>
    <t>151189026e</t>
  </si>
  <si>
    <t>151189042e</t>
  </si>
  <si>
    <t>151189076e</t>
  </si>
  <si>
    <t>151189084e</t>
  </si>
  <si>
    <t>151189092e</t>
  </si>
  <si>
    <t>151189109e</t>
  </si>
  <si>
    <t>151189191e</t>
  </si>
  <si>
    <t>151189224e</t>
  </si>
  <si>
    <t>Date Signed__________________________________________________</t>
  </si>
  <si>
    <t>Received By________________________________________________________________________</t>
  </si>
  <si>
    <t>Delivered BY________________________________________________________________________</t>
  </si>
  <si>
    <t># 3</t>
  </si>
  <si>
    <t>Funding Worksheet - Signoff Version</t>
  </si>
  <si>
    <t>Contracted Amount Financed</t>
  </si>
  <si>
    <t>Column2</t>
  </si>
  <si>
    <t>Column1</t>
  </si>
  <si>
    <t>Net to Dealer</t>
  </si>
  <si>
    <t>Dealer Split</t>
  </si>
  <si>
    <t>Dealer Flat</t>
  </si>
  <si>
    <t>Funding Worksheet - ACH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</si>
</sst>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0" fontId="1" fillId="0" borderId="0" xfId="1" applyFont="1" applyFill="1"/>
    <xf numFmtId="7" fontId="2" fillId="0" borderId="0" xfId="1" applyNumberForma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0B8883EE-E39D-465E-A5EF-38AD696C486E}"/>
  </cellStyles>
  <dxfs count="1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  <fill>
        <patternFill patternType="none">
          <fgColor indexed="64"/>
          <bgColor auto="1"/>
        </patternFill>
      </fill>
    </dxf>
    <dxf>
      <numFmt numFmtId="11" formatCode="&quot;$&quot;#,##0.00_);\(&quot;$&quot;#,##0.00\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731F1C-FAA4-4079-9888-E15353A1BEA3}" name="Table_14" displayName="Table_14" ref="A3:H28" headerRowDxfId="2" dataDxfId="0" totalsRowDxfId="1">
  <tableColumns count="8">
    <tableColumn id="1" xr3:uid="{00000000-0010-0000-0000-000001000000}" name="Dealer Name" dataDxfId="10"/>
    <tableColumn id="2" xr3:uid="{00000000-0010-0000-0000-000002000000}" name="Funded by" dataDxfId="9"/>
    <tableColumn id="3" xr3:uid="{00000000-0010-0000-0000-000003000000}" name="Dealer Flat" dataDxfId="8"/>
    <tableColumn id="4" xr3:uid="{00000000-0010-0000-0000-000004000000}" name="Dealer Split" dataDxfId="7"/>
    <tableColumn id="5" xr3:uid="{00000000-0010-0000-0000-000005000000}" name="Net to Dealer" dataDxfId="6"/>
    <tableColumn id="7" xr3:uid="{BCEADB06-9453-42D1-A663-3F5D9DD1128D}" name="Column1" dataDxfId="5"/>
    <tableColumn id="8" xr3:uid="{12FB732D-5781-4B81-9DF8-516AF1D61E08}" name="Column2" dataDxfId="4"/>
    <tableColumn id="6" xr3:uid="{00000000-0010-0000-0000-000006000000}" name="Contracted Amount Financed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7">
  <tableColumns count="12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DB7EA9-572E-4313-B5B9-2E941BBE7BA6}" name="Table_13" displayName="Table_13" ref="A3:E7" headerRowDxfId="13" dataDxfId="11" totalsRowDxfId="12">
  <tableColumns count="5">
    <tableColumn id="1" xr3:uid="{00000000-0010-0000-0000-000001000000}" name="Account Number" dataDxfId="18"/>
    <tableColumn id="2" xr3:uid="{00000000-0010-0000-0000-000002000000}" name="Contract Type" dataDxfId="17"/>
    <tableColumn id="3" xr3:uid="{00000000-0010-0000-0000-000003000000}" name="Applicant Name" dataDxfId="16"/>
    <tableColumn id="4" xr3:uid="{00000000-0010-0000-0000-000004000000}" name="Co-Applicant Name" dataDxfId="15"/>
    <tableColumn id="5" xr3:uid="{00000000-0010-0000-0000-000005000000}" name="Dealer Name" dataDxfId="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CAD3-A231-45D5-A9DC-CD585F6F882C}">
  <sheetPr>
    <pageSetUpPr fitToPage="1"/>
  </sheetPr>
  <dimension ref="A1:J32"/>
  <sheetViews>
    <sheetView tabSelected="1" workbookViewId="0">
      <pane ySplit="3" topLeftCell="A4" activePane="bottomLeft" state="frozen"/>
      <selection pane="bottomLeft" activeCell="H31" sqref="H31"/>
    </sheetView>
  </sheetViews>
  <sheetFormatPr defaultRowHeight="15" x14ac:dyDescent="0.25"/>
  <cols>
    <col min="1" max="1" width="32.5703125" style="8" bestFit="1" customWidth="1"/>
    <col min="2" max="2" width="17.7109375" style="8" bestFit="1" customWidth="1"/>
    <col min="3" max="3" width="11.140625" style="8" bestFit="1" customWidth="1"/>
    <col min="4" max="4" width="12.5703125" style="8" bestFit="1" customWidth="1"/>
    <col min="5" max="5" width="13.28515625" style="8" bestFit="1" customWidth="1"/>
    <col min="6" max="7" width="13.28515625" style="8" customWidth="1"/>
    <col min="8" max="8" width="27.85546875" style="8" bestFit="1" customWidth="1"/>
    <col min="9" max="16384" width="9.140625" style="8"/>
  </cols>
  <sheetData>
    <row r="1" spans="1:10" x14ac:dyDescent="0.25">
      <c r="A1" s="9"/>
      <c r="B1" s="9"/>
      <c r="C1" s="9" t="s">
        <v>3</v>
      </c>
      <c r="D1" s="10">
        <v>45812</v>
      </c>
      <c r="E1" s="9" t="s">
        <v>2</v>
      </c>
      <c r="F1" s="9"/>
      <c r="G1" s="9"/>
      <c r="H1" s="10">
        <v>45812.999988425923</v>
      </c>
      <c r="I1" s="9"/>
      <c r="J1" s="9"/>
    </row>
    <row r="2" spans="1:10" x14ac:dyDescent="0.25">
      <c r="A2" s="11" t="s">
        <v>0</v>
      </c>
      <c r="B2" s="12"/>
      <c r="C2" s="12"/>
      <c r="D2" s="13" t="s">
        <v>104</v>
      </c>
      <c r="E2" s="12"/>
      <c r="F2" s="12"/>
      <c r="G2" s="12"/>
      <c r="H2" s="12"/>
      <c r="I2" s="9"/>
      <c r="J2" s="9"/>
    </row>
    <row r="3" spans="1:10" x14ac:dyDescent="0.25">
      <c r="A3" s="9" t="s">
        <v>9</v>
      </c>
      <c r="B3" s="9" t="s">
        <v>10</v>
      </c>
      <c r="C3" s="9" t="s">
        <v>103</v>
      </c>
      <c r="D3" s="9" t="s">
        <v>102</v>
      </c>
      <c r="E3" s="9" t="s">
        <v>101</v>
      </c>
      <c r="F3" s="9" t="s">
        <v>100</v>
      </c>
      <c r="G3" s="9" t="s">
        <v>99</v>
      </c>
      <c r="H3" s="9" t="s">
        <v>98</v>
      </c>
      <c r="I3" s="9"/>
      <c r="J3" s="9"/>
    </row>
    <row r="4" spans="1:10" x14ac:dyDescent="0.25">
      <c r="A4" s="9" t="s">
        <v>25</v>
      </c>
      <c r="B4" s="9" t="s">
        <v>20</v>
      </c>
      <c r="C4" s="15">
        <v>1050</v>
      </c>
      <c r="D4" s="15">
        <v>0</v>
      </c>
      <c r="E4" s="15">
        <v>44345.56</v>
      </c>
      <c r="F4" s="15"/>
      <c r="G4" s="15"/>
      <c r="H4" s="15">
        <v>44420.56</v>
      </c>
      <c r="I4" s="9"/>
      <c r="J4" s="9"/>
    </row>
    <row r="5" spans="1:10" x14ac:dyDescent="0.25">
      <c r="A5" s="9"/>
      <c r="B5" s="9"/>
      <c r="C5" s="15"/>
      <c r="D5" s="15"/>
      <c r="E5" s="15"/>
      <c r="F5" s="15"/>
      <c r="G5" s="15"/>
      <c r="H5" s="15"/>
      <c r="I5" s="9"/>
      <c r="J5" s="9"/>
    </row>
    <row r="6" spans="1:10" x14ac:dyDescent="0.25">
      <c r="A6" s="9" t="s">
        <v>40</v>
      </c>
      <c r="B6" s="9" t="s">
        <v>41</v>
      </c>
      <c r="C6" s="15">
        <v>950</v>
      </c>
      <c r="D6" s="15">
        <v>0</v>
      </c>
      <c r="E6" s="15">
        <v>35228.31</v>
      </c>
      <c r="F6" s="15"/>
      <c r="G6" s="15"/>
      <c r="H6" s="15">
        <v>35303.31</v>
      </c>
      <c r="I6" s="9"/>
      <c r="J6" s="9"/>
    </row>
    <row r="7" spans="1:10" x14ac:dyDescent="0.25">
      <c r="A7" s="9"/>
      <c r="B7" s="9"/>
      <c r="C7" s="15"/>
      <c r="D7" s="15"/>
      <c r="E7" s="15"/>
      <c r="F7" s="15"/>
      <c r="G7" s="15"/>
      <c r="H7" s="15"/>
      <c r="I7" s="9"/>
      <c r="J7" s="9"/>
    </row>
    <row r="8" spans="1:10" x14ac:dyDescent="0.25">
      <c r="A8" s="9" t="s">
        <v>46</v>
      </c>
      <c r="B8" s="9" t="s">
        <v>41</v>
      </c>
      <c r="C8" s="15">
        <v>1350</v>
      </c>
      <c r="D8" s="15">
        <v>0</v>
      </c>
      <c r="E8" s="15">
        <v>50691.62</v>
      </c>
      <c r="F8" s="15"/>
      <c r="G8" s="15"/>
      <c r="H8" s="15">
        <v>50766.62</v>
      </c>
      <c r="I8" s="9"/>
      <c r="J8" s="9"/>
    </row>
    <row r="9" spans="1:10" x14ac:dyDescent="0.25">
      <c r="A9" s="9"/>
      <c r="B9" s="9"/>
      <c r="C9" s="15"/>
      <c r="D9" s="15"/>
      <c r="E9" s="15"/>
      <c r="F9" s="15"/>
      <c r="G9" s="15"/>
      <c r="H9" s="15"/>
      <c r="I9" s="9"/>
      <c r="J9" s="9"/>
    </row>
    <row r="10" spans="1:10" x14ac:dyDescent="0.25">
      <c r="A10" s="9" t="s">
        <v>19</v>
      </c>
      <c r="B10" s="9" t="s">
        <v>20</v>
      </c>
      <c r="C10" s="15">
        <v>1050</v>
      </c>
      <c r="D10" s="15">
        <v>0</v>
      </c>
      <c r="E10" s="15">
        <v>40224.25</v>
      </c>
      <c r="F10" s="15"/>
      <c r="G10" s="15"/>
      <c r="H10" s="15">
        <v>40299.25</v>
      </c>
      <c r="I10" s="9"/>
      <c r="J10" s="9"/>
    </row>
    <row r="11" spans="1:10" x14ac:dyDescent="0.25">
      <c r="A11" s="9" t="s">
        <v>19</v>
      </c>
      <c r="B11" s="9" t="s">
        <v>20</v>
      </c>
      <c r="C11" s="15">
        <v>950</v>
      </c>
      <c r="D11" s="15">
        <v>0</v>
      </c>
      <c r="E11" s="15">
        <v>35186.449999999997</v>
      </c>
      <c r="F11" s="15">
        <f>SUM(E10:E11)</f>
        <v>75410.7</v>
      </c>
      <c r="G11" s="15"/>
      <c r="H11" s="15">
        <v>35261.449999999997</v>
      </c>
      <c r="I11" s="9"/>
      <c r="J11" s="9"/>
    </row>
    <row r="12" spans="1:10" x14ac:dyDescent="0.25">
      <c r="A12" s="9"/>
      <c r="B12" s="9"/>
      <c r="C12" s="15"/>
      <c r="D12" s="15"/>
      <c r="E12" s="15"/>
      <c r="F12" s="15"/>
      <c r="G12" s="15"/>
      <c r="H12" s="15"/>
      <c r="I12" s="9"/>
      <c r="J12" s="9"/>
    </row>
    <row r="13" spans="1:10" x14ac:dyDescent="0.25">
      <c r="A13" s="9" t="s">
        <v>35</v>
      </c>
      <c r="B13" s="9" t="s">
        <v>30</v>
      </c>
      <c r="C13" s="15">
        <v>650</v>
      </c>
      <c r="D13" s="15">
        <v>0</v>
      </c>
      <c r="E13" s="15">
        <v>24824.69</v>
      </c>
      <c r="F13" s="15"/>
      <c r="G13" s="15"/>
      <c r="H13" s="15">
        <v>24899.69</v>
      </c>
      <c r="I13" s="9"/>
      <c r="J13" s="9"/>
    </row>
    <row r="14" spans="1:10" x14ac:dyDescent="0.25">
      <c r="A14" s="9"/>
      <c r="B14" s="9"/>
      <c r="C14" s="15"/>
      <c r="D14" s="15"/>
      <c r="E14" s="15"/>
      <c r="F14" s="15"/>
      <c r="G14" s="15"/>
      <c r="H14" s="15"/>
      <c r="I14" s="9"/>
      <c r="J14" s="9"/>
    </row>
    <row r="15" spans="1:10" x14ac:dyDescent="0.25">
      <c r="A15" s="9" t="s">
        <v>29</v>
      </c>
      <c r="B15" s="9" t="s">
        <v>30</v>
      </c>
      <c r="C15" s="15">
        <v>850</v>
      </c>
      <c r="D15" s="15">
        <v>0</v>
      </c>
      <c r="E15" s="15">
        <v>34023.69</v>
      </c>
      <c r="F15" s="15"/>
      <c r="G15" s="15"/>
      <c r="H15" s="15">
        <v>34098.69</v>
      </c>
      <c r="I15" s="9"/>
      <c r="J15" s="9"/>
    </row>
    <row r="16" spans="1:10" x14ac:dyDescent="0.25">
      <c r="A16" s="9"/>
      <c r="B16" s="9"/>
      <c r="C16" s="15"/>
      <c r="D16" s="15"/>
      <c r="E16" s="15"/>
      <c r="F16" s="15"/>
      <c r="G16" s="15"/>
      <c r="H16" s="15"/>
      <c r="I16" s="9"/>
      <c r="J16" s="9"/>
    </row>
    <row r="17" spans="1:10" x14ac:dyDescent="0.25">
      <c r="A17" s="9" t="s">
        <v>50</v>
      </c>
      <c r="B17" s="9" t="s">
        <v>30</v>
      </c>
      <c r="C17" s="15">
        <v>950</v>
      </c>
      <c r="D17" s="15">
        <v>0</v>
      </c>
      <c r="E17" s="15">
        <v>37768.5</v>
      </c>
      <c r="F17" s="15"/>
      <c r="G17" s="15"/>
      <c r="H17" s="15">
        <v>37843.5</v>
      </c>
      <c r="I17" s="9"/>
      <c r="J17" s="9"/>
    </row>
    <row r="18" spans="1:10" x14ac:dyDescent="0.25">
      <c r="A18" s="9"/>
      <c r="B18" s="9"/>
      <c r="C18" s="15"/>
      <c r="D18" s="15"/>
      <c r="E18" s="15"/>
      <c r="F18" s="15"/>
      <c r="G18" s="15"/>
      <c r="H18" s="15"/>
      <c r="I18" s="9"/>
      <c r="J18" s="9"/>
    </row>
    <row r="19" spans="1:10" x14ac:dyDescent="0.25">
      <c r="A19" s="9" t="s">
        <v>79</v>
      </c>
      <c r="B19" s="9" t="s">
        <v>41</v>
      </c>
      <c r="C19" s="15">
        <v>1150</v>
      </c>
      <c r="D19" s="15">
        <v>0</v>
      </c>
      <c r="E19" s="15">
        <v>45330.79</v>
      </c>
      <c r="F19" s="15"/>
      <c r="G19" s="15"/>
      <c r="H19" s="15">
        <v>45405.79</v>
      </c>
      <c r="I19" s="9"/>
      <c r="J19" s="9"/>
    </row>
    <row r="20" spans="1:10" x14ac:dyDescent="0.25">
      <c r="A20" s="9"/>
      <c r="B20" s="9"/>
      <c r="C20" s="15"/>
      <c r="D20" s="15"/>
      <c r="E20" s="15"/>
      <c r="F20" s="15"/>
      <c r="G20" s="15"/>
      <c r="H20" s="15"/>
      <c r="I20" s="9"/>
      <c r="J20" s="9"/>
    </row>
    <row r="21" spans="1:10" x14ac:dyDescent="0.25">
      <c r="A21" s="9" t="s">
        <v>72</v>
      </c>
      <c r="B21" s="9" t="s">
        <v>41</v>
      </c>
      <c r="C21" s="15">
        <v>650</v>
      </c>
      <c r="D21" s="15">
        <v>0</v>
      </c>
      <c r="E21" s="15">
        <v>21719.93</v>
      </c>
      <c r="F21" s="15"/>
      <c r="G21" s="15"/>
      <c r="H21" s="15">
        <v>21794.93</v>
      </c>
      <c r="I21" s="9"/>
      <c r="J21" s="9"/>
    </row>
    <row r="22" spans="1:10" x14ac:dyDescent="0.25">
      <c r="A22" s="9"/>
      <c r="B22" s="9"/>
      <c r="C22" s="15"/>
      <c r="D22" s="15"/>
      <c r="E22" s="15"/>
      <c r="F22" s="15"/>
      <c r="G22" s="15"/>
      <c r="H22" s="15"/>
      <c r="I22" s="9"/>
      <c r="J22" s="9"/>
    </row>
    <row r="23" spans="1:10" x14ac:dyDescent="0.25">
      <c r="A23" s="9" t="s">
        <v>66</v>
      </c>
      <c r="B23" s="9" t="s">
        <v>41</v>
      </c>
      <c r="C23" s="15">
        <v>850</v>
      </c>
      <c r="D23" s="15">
        <v>0</v>
      </c>
      <c r="E23" s="15">
        <v>30026.26</v>
      </c>
      <c r="F23" s="15"/>
      <c r="G23" s="15"/>
      <c r="H23" s="15">
        <v>30101.26</v>
      </c>
      <c r="I23" s="9"/>
      <c r="J23" s="9"/>
    </row>
    <row r="24" spans="1:10" x14ac:dyDescent="0.25">
      <c r="A24" s="9"/>
      <c r="B24" s="9"/>
      <c r="C24" s="15"/>
      <c r="D24" s="15"/>
      <c r="E24" s="15"/>
      <c r="F24" s="15"/>
      <c r="G24" s="15"/>
      <c r="H24" s="15"/>
      <c r="I24" s="9"/>
      <c r="J24" s="9"/>
    </row>
    <row r="25" spans="1:10" x14ac:dyDescent="0.25">
      <c r="A25" s="9" t="s">
        <v>60</v>
      </c>
      <c r="B25" s="9" t="s">
        <v>30</v>
      </c>
      <c r="C25" s="15">
        <v>950</v>
      </c>
      <c r="D25" s="15">
        <v>0</v>
      </c>
      <c r="E25" s="15">
        <v>38819.1</v>
      </c>
      <c r="F25" s="15"/>
      <c r="G25" s="15"/>
      <c r="H25" s="15">
        <v>38894.1</v>
      </c>
      <c r="I25" s="9"/>
      <c r="J25" s="9"/>
    </row>
    <row r="26" spans="1:10" x14ac:dyDescent="0.25">
      <c r="A26" s="9"/>
      <c r="B26" s="9"/>
      <c r="C26" s="15"/>
      <c r="D26" s="15"/>
      <c r="E26" s="15"/>
      <c r="F26" s="15"/>
      <c r="G26" s="15"/>
      <c r="H26" s="15"/>
      <c r="I26" s="9"/>
      <c r="J26" s="9"/>
    </row>
    <row r="27" spans="1:10" x14ac:dyDescent="0.25">
      <c r="A27" s="9" t="s">
        <v>54</v>
      </c>
      <c r="B27" s="9" t="s">
        <v>20</v>
      </c>
      <c r="C27" s="15">
        <v>850</v>
      </c>
      <c r="D27" s="15">
        <v>0</v>
      </c>
      <c r="E27" s="15">
        <v>32788.36</v>
      </c>
      <c r="F27" s="15"/>
      <c r="G27" s="15"/>
      <c r="H27" s="15">
        <v>32863.360000000001</v>
      </c>
      <c r="I27" s="9"/>
      <c r="J27" s="9"/>
    </row>
    <row r="28" spans="1:10" x14ac:dyDescent="0.25">
      <c r="A28" s="14"/>
      <c r="B28" s="14"/>
      <c r="C28" s="16">
        <f>SUM(C4:C27)</f>
        <v>12250</v>
      </c>
      <c r="D28" s="16">
        <f>SUM(D4:D27)</f>
        <v>0</v>
      </c>
      <c r="E28" s="16">
        <f>SUM(E4:E27)</f>
        <v>470977.50999999995</v>
      </c>
      <c r="F28" s="16"/>
      <c r="G28" s="16"/>
      <c r="H28" s="16">
        <f>SUM(H4:H27)</f>
        <v>471952.50999999995</v>
      </c>
      <c r="I28" s="9"/>
      <c r="J28" s="9"/>
    </row>
    <row r="29" spans="1:1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spans="1:1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spans="1:1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</row>
  </sheetData>
  <mergeCells count="2">
    <mergeCell ref="A2:C2"/>
    <mergeCell ref="D2:H2"/>
  </mergeCells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0"/>
  <sheetViews>
    <sheetView workbookViewId="0">
      <pane ySplit="3" topLeftCell="A7" activePane="bottomLeft" state="frozen"/>
      <selection pane="bottomLeft" activeCell="A4" sqref="A4:A16"/>
    </sheetView>
  </sheetViews>
  <sheetFormatPr defaultRowHeight="15" x14ac:dyDescent="0.25"/>
  <cols>
    <col min="1" max="1" width="16.42578125" bestFit="1" customWidth="1"/>
    <col min="2" max="2" width="12.140625" bestFit="1" customWidth="1"/>
    <col min="3" max="3" width="14" bestFit="1" customWidth="1"/>
    <col min="4" max="4" width="25.140625" bestFit="1" customWidth="1"/>
    <col min="5" max="5" width="18.7109375" bestFit="1" customWidth="1"/>
    <col min="6" max="6" width="32.5703125" bestFit="1" customWidth="1"/>
    <col min="7" max="7" width="17.7109375" bestFit="1" customWidth="1"/>
    <col min="8" max="8" width="17.140625" bestFit="1" customWidth="1"/>
    <col min="9" max="9" width="35.28515625" bestFit="1" customWidth="1"/>
    <col min="10" max="10" width="21.85546875" bestFit="1" customWidth="1"/>
    <col min="11" max="11" width="12.5703125" bestFit="1" customWidth="1"/>
    <col min="12" max="12" width="12.85546875" bestFit="1" customWidth="1"/>
  </cols>
  <sheetData>
    <row r="1" spans="1:12" ht="35.1" customHeight="1" x14ac:dyDescent="0.25">
      <c r="J1" t="s">
        <v>3</v>
      </c>
      <c r="K1" s="4">
        <v>45812</v>
      </c>
      <c r="L1" t="s">
        <v>2</v>
      </c>
    </row>
    <row r="2" spans="1:12" ht="35.1" customHeight="1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  <c r="L2" s="6"/>
    </row>
    <row r="3" spans="1:12" ht="35.1" customHeight="1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</row>
    <row r="4" spans="1:12" ht="35.1" customHeight="1" x14ac:dyDescent="0.25">
      <c r="A4" t="s">
        <v>83</v>
      </c>
      <c r="B4" t="s">
        <v>16</v>
      </c>
      <c r="C4" t="s">
        <v>17</v>
      </c>
      <c r="D4" t="s">
        <v>18</v>
      </c>
      <c r="F4" t="s">
        <v>19</v>
      </c>
      <c r="G4" t="s">
        <v>20</v>
      </c>
      <c r="H4" s="2">
        <v>40299.25</v>
      </c>
      <c r="I4" t="s">
        <v>21</v>
      </c>
      <c r="K4" t="s">
        <v>22</v>
      </c>
    </row>
    <row r="5" spans="1:12" ht="35.1" customHeight="1" x14ac:dyDescent="0.25">
      <c r="A5" t="s">
        <v>84</v>
      </c>
      <c r="B5" t="s">
        <v>23</v>
      </c>
      <c r="C5" t="s">
        <v>17</v>
      </c>
      <c r="D5" t="s">
        <v>24</v>
      </c>
      <c r="F5" t="s">
        <v>25</v>
      </c>
      <c r="G5" t="s">
        <v>20</v>
      </c>
      <c r="H5" s="2">
        <v>44420.56</v>
      </c>
      <c r="K5" t="s">
        <v>26</v>
      </c>
    </row>
    <row r="6" spans="1:12" ht="35.1" customHeight="1" x14ac:dyDescent="0.25">
      <c r="A6" t="s">
        <v>85</v>
      </c>
      <c r="B6" t="s">
        <v>23</v>
      </c>
      <c r="C6" t="s">
        <v>17</v>
      </c>
      <c r="D6" t="s">
        <v>27</v>
      </c>
      <c r="E6" t="s">
        <v>28</v>
      </c>
      <c r="F6" t="s">
        <v>29</v>
      </c>
      <c r="G6" t="s">
        <v>30</v>
      </c>
      <c r="H6" s="2">
        <v>34098.69</v>
      </c>
      <c r="I6" t="s">
        <v>31</v>
      </c>
      <c r="K6" t="s">
        <v>32</v>
      </c>
      <c r="L6" t="s">
        <v>33</v>
      </c>
    </row>
    <row r="7" spans="1:12" ht="35.1" customHeight="1" x14ac:dyDescent="0.25">
      <c r="A7" t="s">
        <v>86</v>
      </c>
      <c r="B7" t="s">
        <v>16</v>
      </c>
      <c r="C7" t="s">
        <v>17</v>
      </c>
      <c r="D7" t="s">
        <v>34</v>
      </c>
      <c r="F7" t="s">
        <v>35</v>
      </c>
      <c r="G7" t="s">
        <v>30</v>
      </c>
      <c r="H7" s="2">
        <v>24899.69</v>
      </c>
      <c r="I7" t="s">
        <v>36</v>
      </c>
      <c r="K7" t="s">
        <v>37</v>
      </c>
    </row>
    <row r="8" spans="1:12" ht="35.1" customHeight="1" x14ac:dyDescent="0.25">
      <c r="A8" t="s">
        <v>87</v>
      </c>
      <c r="B8" t="s">
        <v>23</v>
      </c>
      <c r="C8" t="s">
        <v>17</v>
      </c>
      <c r="D8" t="s">
        <v>38</v>
      </c>
      <c r="E8" t="s">
        <v>39</v>
      </c>
      <c r="F8" t="s">
        <v>40</v>
      </c>
      <c r="G8" t="s">
        <v>41</v>
      </c>
      <c r="H8" s="2">
        <v>35303.31</v>
      </c>
      <c r="J8" t="s">
        <v>42</v>
      </c>
      <c r="K8" t="s">
        <v>43</v>
      </c>
      <c r="L8" t="s">
        <v>44</v>
      </c>
    </row>
    <row r="9" spans="1:12" ht="35.1" customHeight="1" x14ac:dyDescent="0.25">
      <c r="A9" t="s">
        <v>88</v>
      </c>
      <c r="B9" t="s">
        <v>16</v>
      </c>
      <c r="C9" t="s">
        <v>17</v>
      </c>
      <c r="D9" t="s">
        <v>45</v>
      </c>
      <c r="F9" t="s">
        <v>46</v>
      </c>
      <c r="G9" t="s">
        <v>41</v>
      </c>
      <c r="H9" s="2">
        <v>50766.62</v>
      </c>
      <c r="I9" t="s">
        <v>47</v>
      </c>
      <c r="K9" t="s">
        <v>48</v>
      </c>
    </row>
    <row r="10" spans="1:12" ht="35.1" customHeight="1" x14ac:dyDescent="0.25">
      <c r="A10" t="s">
        <v>89</v>
      </c>
      <c r="B10" t="s">
        <v>23</v>
      </c>
      <c r="C10" t="s">
        <v>17</v>
      </c>
      <c r="D10" t="s">
        <v>49</v>
      </c>
      <c r="F10" t="s">
        <v>50</v>
      </c>
      <c r="G10" t="s">
        <v>30</v>
      </c>
      <c r="H10" s="2">
        <v>37843.5</v>
      </c>
      <c r="I10" t="s">
        <v>51</v>
      </c>
      <c r="K10" t="s">
        <v>52</v>
      </c>
    </row>
    <row r="11" spans="1:12" ht="35.1" customHeight="1" x14ac:dyDescent="0.25">
      <c r="A11" t="s">
        <v>90</v>
      </c>
      <c r="B11" t="s">
        <v>16</v>
      </c>
      <c r="C11" t="s">
        <v>17</v>
      </c>
      <c r="D11" t="s">
        <v>53</v>
      </c>
      <c r="F11" t="s">
        <v>54</v>
      </c>
      <c r="G11" t="s">
        <v>20</v>
      </c>
      <c r="H11" s="2">
        <v>32863.360000000001</v>
      </c>
      <c r="I11" t="s">
        <v>55</v>
      </c>
      <c r="K11" t="s">
        <v>56</v>
      </c>
    </row>
    <row r="12" spans="1:12" ht="35.1" customHeight="1" x14ac:dyDescent="0.25">
      <c r="A12" t="s">
        <v>57</v>
      </c>
      <c r="B12" t="s">
        <v>23</v>
      </c>
      <c r="C12" t="s">
        <v>58</v>
      </c>
      <c r="D12" t="s">
        <v>59</v>
      </c>
      <c r="F12" t="s">
        <v>60</v>
      </c>
      <c r="G12" t="s">
        <v>30</v>
      </c>
      <c r="H12" s="2">
        <v>38894.1</v>
      </c>
      <c r="I12" t="s">
        <v>61</v>
      </c>
      <c r="K12" t="s">
        <v>62</v>
      </c>
    </row>
    <row r="13" spans="1:12" ht="35.1" customHeight="1" x14ac:dyDescent="0.25">
      <c r="A13" t="s">
        <v>63</v>
      </c>
      <c r="B13" t="s">
        <v>16</v>
      </c>
      <c r="C13" t="s">
        <v>58</v>
      </c>
      <c r="D13" t="s">
        <v>64</v>
      </c>
      <c r="E13" t="s">
        <v>65</v>
      </c>
      <c r="F13" t="s">
        <v>66</v>
      </c>
      <c r="G13" t="s">
        <v>41</v>
      </c>
      <c r="H13" s="2">
        <v>30101.26</v>
      </c>
      <c r="I13" t="s">
        <v>67</v>
      </c>
      <c r="K13" t="s">
        <v>68</v>
      </c>
      <c r="L13" t="s">
        <v>69</v>
      </c>
    </row>
    <row r="14" spans="1:12" ht="35.1" customHeight="1" x14ac:dyDescent="0.25">
      <c r="A14" t="s">
        <v>70</v>
      </c>
      <c r="B14" t="s">
        <v>23</v>
      </c>
      <c r="C14" t="s">
        <v>58</v>
      </c>
      <c r="D14" t="s">
        <v>71</v>
      </c>
      <c r="F14" t="s">
        <v>72</v>
      </c>
      <c r="G14" t="s">
        <v>41</v>
      </c>
      <c r="H14" s="2">
        <v>21794.93</v>
      </c>
      <c r="I14" t="s">
        <v>73</v>
      </c>
      <c r="K14" t="s">
        <v>74</v>
      </c>
    </row>
    <row r="15" spans="1:12" ht="35.1" customHeight="1" x14ac:dyDescent="0.25">
      <c r="A15" t="s">
        <v>91</v>
      </c>
      <c r="B15" t="s">
        <v>16</v>
      </c>
      <c r="C15" t="s">
        <v>17</v>
      </c>
      <c r="D15" t="s">
        <v>75</v>
      </c>
      <c r="F15" t="s">
        <v>19</v>
      </c>
      <c r="G15" t="s">
        <v>20</v>
      </c>
      <c r="H15" s="2">
        <v>35261.449999999997</v>
      </c>
      <c r="I15" t="s">
        <v>76</v>
      </c>
      <c r="K15" t="s">
        <v>77</v>
      </c>
    </row>
    <row r="16" spans="1:12" ht="35.1" customHeight="1" x14ac:dyDescent="0.25">
      <c r="A16" t="s">
        <v>92</v>
      </c>
      <c r="B16" t="s">
        <v>16</v>
      </c>
      <c r="C16" t="s">
        <v>17</v>
      </c>
      <c r="D16" t="s">
        <v>78</v>
      </c>
      <c r="F16" t="s">
        <v>79</v>
      </c>
      <c r="G16" t="s">
        <v>41</v>
      </c>
      <c r="H16" s="2">
        <v>45405.79</v>
      </c>
      <c r="I16" t="s">
        <v>80</v>
      </c>
      <c r="K16" t="s">
        <v>81</v>
      </c>
    </row>
    <row r="17" spans="1:12" ht="35.1" customHeight="1" x14ac:dyDescent="0.25">
      <c r="A17" s="1"/>
      <c r="B17" s="1"/>
      <c r="C17" s="1"/>
      <c r="D17" s="1" t="s">
        <v>82</v>
      </c>
      <c r="E17" s="1"/>
      <c r="F17" s="1"/>
      <c r="G17" s="1"/>
      <c r="H17" s="3">
        <f>SUM(H4:H16)</f>
        <v>471952.50999999995</v>
      </c>
      <c r="I17" s="1"/>
      <c r="J17" s="1"/>
      <c r="K17" s="1"/>
      <c r="L17" s="1"/>
    </row>
    <row r="18" spans="1:12" ht="35.1" customHeight="1" x14ac:dyDescent="0.25"/>
    <row r="19" spans="1:12" ht="35.1" customHeight="1" x14ac:dyDescent="0.25"/>
    <row r="20" spans="1:12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7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44B3-0271-436D-A5BF-8B545B6E6D5A}">
  <sheetPr>
    <pageSetUpPr fitToPage="1"/>
  </sheetPr>
  <dimension ref="A1:E29"/>
  <sheetViews>
    <sheetView workbookViewId="0">
      <pane ySplit="3" topLeftCell="A4" activePane="bottomLeft" state="frozen"/>
      <selection pane="bottomLeft" activeCell="E20" sqref="E20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5.140625" style="8" bestFit="1" customWidth="1"/>
    <col min="4" max="4" width="18.7109375" style="8" bestFit="1" customWidth="1"/>
    <col min="5" max="5" width="32.570312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45812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97</v>
      </c>
      <c r="E2" s="12"/>
    </row>
    <row r="3" spans="1:5" x14ac:dyDescent="0.25">
      <c r="A3" s="9" t="s">
        <v>4</v>
      </c>
      <c r="B3" s="9" t="s">
        <v>6</v>
      </c>
      <c r="C3" s="9" t="s">
        <v>7</v>
      </c>
      <c r="D3" s="9" t="s">
        <v>8</v>
      </c>
      <c r="E3" s="9" t="s">
        <v>9</v>
      </c>
    </row>
    <row r="4" spans="1:5" x14ac:dyDescent="0.25">
      <c r="A4" s="9" t="s">
        <v>57</v>
      </c>
      <c r="B4" s="9" t="s">
        <v>58</v>
      </c>
      <c r="C4" s="9" t="s">
        <v>59</v>
      </c>
      <c r="D4" s="9"/>
      <c r="E4" s="9" t="s">
        <v>60</v>
      </c>
    </row>
    <row r="5" spans="1:5" x14ac:dyDescent="0.25">
      <c r="A5" s="9" t="s">
        <v>63</v>
      </c>
      <c r="B5" s="9" t="s">
        <v>58</v>
      </c>
      <c r="C5" s="9" t="s">
        <v>64</v>
      </c>
      <c r="D5" s="9" t="s">
        <v>65</v>
      </c>
      <c r="E5" s="9" t="s">
        <v>66</v>
      </c>
    </row>
    <row r="6" spans="1:5" ht="15.75" customHeight="1" x14ac:dyDescent="0.25">
      <c r="A6" s="9" t="s">
        <v>70</v>
      </c>
      <c r="B6" s="9" t="s">
        <v>58</v>
      </c>
      <c r="C6" s="9" t="s">
        <v>71</v>
      </c>
      <c r="D6" s="9"/>
      <c r="E6" s="9" t="s">
        <v>72</v>
      </c>
    </row>
    <row r="7" spans="1:5" x14ac:dyDescent="0.25">
      <c r="A7" s="14"/>
      <c r="B7" s="14"/>
      <c r="C7" s="14" t="s">
        <v>96</v>
      </c>
      <c r="D7" s="14"/>
      <c r="E7" s="14"/>
    </row>
    <row r="8" spans="1:5" x14ac:dyDescent="0.25">
      <c r="A8" s="9"/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 t="s">
        <v>95</v>
      </c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 t="s">
        <v>94</v>
      </c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 t="s">
        <v>93</v>
      </c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  <row r="27" spans="1:5" x14ac:dyDescent="0.25">
      <c r="A27" s="9"/>
      <c r="B27" s="9"/>
      <c r="C27" s="9"/>
      <c r="D27" s="9"/>
      <c r="E27" s="9"/>
    </row>
    <row r="28" spans="1:5" x14ac:dyDescent="0.25">
      <c r="A28" s="9"/>
      <c r="B28" s="9"/>
      <c r="C28" s="9"/>
      <c r="D28" s="9"/>
      <c r="E28" s="9"/>
    </row>
    <row r="29" spans="1:5" x14ac:dyDescent="0.25">
      <c r="A29" s="9"/>
      <c r="B29" s="9"/>
      <c r="C29" s="9"/>
      <c r="D29" s="9"/>
      <c r="E29" s="9"/>
    </row>
  </sheetData>
  <mergeCells count="2">
    <mergeCell ref="A2:C2"/>
    <mergeCell ref="D2:E2"/>
  </mergeCells>
  <pageMargins left="0.7" right="0.7" top="0.75" bottom="0.75" header="0.3" footer="0.3"/>
  <pageSetup scale="84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2025-06-04T18:21:14Z</cp:lastPrinted>
  <dcterms:created xsi:type="dcterms:W3CDTF">2025-06-04T18:16:45Z</dcterms:created>
  <dcterms:modified xsi:type="dcterms:W3CDTF">2025-06-04T18:34:51Z</dcterms:modified>
</cp:coreProperties>
</file>