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F72F9CAA-DC91-49C3-8B79-4488340D537D}" xr6:coauthVersionLast="47" xr6:coauthVersionMax="47" xr10:uidLastSave="{00000000-0000-0000-0000-000000000000}"/>
  <bookViews>
    <workbookView xWindow="29700" yWindow="270" windowWidth="24855" windowHeight="1486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14" i="2"/>
  <c r="G5" i="2"/>
  <c r="H27" i="2"/>
  <c r="F27" i="2"/>
  <c r="E27" i="2"/>
  <c r="D27" i="2"/>
  <c r="H17" i="1"/>
</calcChain>
</file>

<file path=xl/sharedStrings.xml><?xml version="1.0" encoding="utf-8"?>
<sst xmlns="http://schemas.openxmlformats.org/spreadsheetml/2006/main" count="172" uniqueCount="99">
  <si>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</si>
  <si>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</si>
  <si>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</si>
  <si>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</si>
  <si>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</si>
  <si>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</si>
  <si>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</si>
  <si>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</si>
  <si>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</si>
  <si>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</si>
  <si>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</si>
  <si>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</si>
  <si>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</si>
  <si>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</si>
  <si>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</si>
  <si>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</si>
  <si>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</si>
  <si>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</si>
  <si>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TERRY, MEREDITH</t>
  </si>
  <si>
    <t>First Hyundai</t>
  </si>
  <si>
    <t>Marlene Braganca</t>
  </si>
  <si>
    <t>MERTERRY61@GMAIL.COM</t>
  </si>
  <si>
    <t>Gilroy</t>
  </si>
  <si>
    <t>GENEWICZ, ALLEN</t>
  </si>
  <si>
    <t>BID Cars Boston</t>
  </si>
  <si>
    <t>Neli Oliveira</t>
  </si>
  <si>
    <t>ALLENGENEWICZ@GMAIL.COM</t>
  </si>
  <si>
    <t>TOOMEY</t>
  </si>
  <si>
    <t>JOYCE, WILLIAM</t>
  </si>
  <si>
    <t>Priority Automotive LLC</t>
  </si>
  <si>
    <t>JOYCEWILLIAMC@GMAIL.COM</t>
  </si>
  <si>
    <t>Beaudoin</t>
  </si>
  <si>
    <t>BERESZNIEWICZ, CASEY</t>
  </si>
  <si>
    <t>CVU24@WILDCATS.UNH.EDU</t>
  </si>
  <si>
    <t>MCMANUS</t>
  </si>
  <si>
    <t>KARALEKAS, CHRISTOPHER</t>
  </si>
  <si>
    <t>Metro Honda</t>
  </si>
  <si>
    <t>CKARALEKAS91@GMAIL.COM</t>
  </si>
  <si>
    <t>MICHAUD</t>
  </si>
  <si>
    <t>Route One</t>
  </si>
  <si>
    <t>SCIOTTO, FRANK</t>
  </si>
  <si>
    <t>Hiller Co Inc</t>
  </si>
  <si>
    <t>knarf888@yahoo.com</t>
  </si>
  <si>
    <t>Marandola</t>
  </si>
  <si>
    <t>NASKARIS, SEBASTIAN</t>
  </si>
  <si>
    <t>T F Murphy Enterprises Inc</t>
  </si>
  <si>
    <t>SHIATT@SOUTHMOUNTAIN.COM</t>
  </si>
  <si>
    <t>HIATT</t>
  </si>
  <si>
    <t>HARPER, GAYLE</t>
  </si>
  <si>
    <t>Patriot Auto Group Inc d/b/a</t>
  </si>
  <si>
    <t>mrjynx1987@gmail.com</t>
  </si>
  <si>
    <t>COBB</t>
  </si>
  <si>
    <t>DRISCOLL, RYAN</t>
  </si>
  <si>
    <t>Wareham Ford</t>
  </si>
  <si>
    <t>DRISCORY@HOTMAIL.COM</t>
  </si>
  <si>
    <t>O'KEEFE</t>
  </si>
  <si>
    <t>STASIOWSKI, JACOB</t>
  </si>
  <si>
    <t>Rachel Gorham</t>
  </si>
  <si>
    <t>stasiowskij11@gmail.com</t>
  </si>
  <si>
    <t>SHAW</t>
  </si>
  <si>
    <t>JOHNSON, JEFFREY</t>
  </si>
  <si>
    <t>GIROUX</t>
  </si>
  <si>
    <t>WARREN, KENNETH</t>
  </si>
  <si>
    <t>Mathieu Ford Sales, Inc</t>
  </si>
  <si>
    <t>ASHLIZ713@COMCAST.NET</t>
  </si>
  <si>
    <t>CANTIN</t>
  </si>
  <si>
    <t>151240703</t>
  </si>
  <si>
    <t>Paper</t>
  </si>
  <si>
    <t>CONNORS, JOHN</t>
  </si>
  <si>
    <t>Bourne Enterprises Inc</t>
  </si>
  <si>
    <t>ANTON</t>
  </si>
  <si>
    <t># 13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</si>
  <si>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</si>
  <si>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</si>
  <si>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</si>
  <si>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</si>
  <si>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</si>
  <si>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</si>
  <si>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</si>
  <si>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151240521 E</t>
  </si>
  <si>
    <t>151240539 E</t>
  </si>
  <si>
    <t>151240547 E</t>
  </si>
  <si>
    <t>151240563 E</t>
  </si>
  <si>
    <t>151240571 E</t>
  </si>
  <si>
    <t>151240589 E</t>
  </si>
  <si>
    <t>151240597 E</t>
  </si>
  <si>
    <t>151240646 E</t>
  </si>
  <si>
    <t>151240654 E</t>
  </si>
  <si>
    <t>151240670 E</t>
  </si>
  <si>
    <t>151240662 E</t>
  </si>
  <si>
    <t>151240688 E</t>
  </si>
  <si>
    <t>Honda-Patriot Auto Group Inc d/b/a</t>
  </si>
  <si>
    <t>2330-8209</t>
  </si>
  <si>
    <t>Funding Worksheet - Signoff Version</t>
  </si>
  <si>
    <t># 1</t>
  </si>
  <si>
    <t>Original Note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</si>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</sst>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7" headerRowDxfId="13" dataDxfId="11" totalsRowDxfId="12">
  <tableColumns count="13">
    <tableColumn id="1" xr3:uid="{00000000-0010-0000-0000-000001000000}" name="Account Number" dataDxfId="26"/>
    <tableColumn id="2" xr3:uid="{00000000-0010-0000-0000-000002000000}" name="Portal" dataDxfId="25"/>
    <tableColumn id="3" xr3:uid="{00000000-0010-0000-0000-000003000000}" name="Contract Type" dataDxfId="24"/>
    <tableColumn id="4" xr3:uid="{00000000-0010-0000-0000-000004000000}" name="Applicant Name" dataDxfId="23"/>
    <tableColumn id="5" xr3:uid="{00000000-0010-0000-0000-000005000000}" name="Co-Applicant Name" dataDxfId="22"/>
    <tableColumn id="6" xr3:uid="{00000000-0010-0000-0000-000006000000}" name="Dealer Name" dataDxfId="21"/>
    <tableColumn id="7" xr3:uid="{00000000-0010-0000-0000-000007000000}" name="Funded by" dataDxfId="20"/>
    <tableColumn id="8" xr3:uid="{00000000-0010-0000-0000-000008000000}" name="Amount Financed" dataDxfId="19"/>
    <tableColumn id="9" xr3:uid="{00000000-0010-0000-0000-000009000000}" name="Applicant Email" dataDxfId="18"/>
    <tableColumn id="10" xr3:uid="{00000000-0010-0000-0000-00000A000000}" name="Co-Applicant Email" dataDxfId="17"/>
    <tableColumn id="11" xr3:uid="{00000000-0010-0000-0000-00000B000000}" name="App MMN" dataDxfId="16"/>
    <tableColumn id="12" xr3:uid="{00000000-0010-0000-0000-00000C000000}" name="Co-App MMN" dataDxfId="15"/>
    <tableColumn id="13" xr3:uid="{00000000-0010-0000-0000-00000D000000}" name="Business Name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80FC9B-65C7-4A3B-B4B4-5BAE8CFAC9B6}" name="Table_14" displayName="Table_14" ref="A3:H27" headerRowDxfId="2" dataDxfId="0" totalsRowDxfId="1">
  <sortState xmlns:xlrd2="http://schemas.microsoft.com/office/spreadsheetml/2017/richdata2" ref="A4:H27">
    <sortCondition ref="A4:A27"/>
  </sortState>
  <tableColumns count="8">
    <tableColumn id="1" xr3:uid="{53763E4E-757B-4794-AC6C-C67426DC082A}" name="Dealer Name" dataDxfId="10"/>
    <tableColumn id="8" xr3:uid="{700A1C25-16B4-4C33-9200-8E88C43E34DA}" name="Column2" dataDxfId="9"/>
    <tableColumn id="2" xr3:uid="{0E144642-A534-47F0-80D4-8005A3D8FFC4}" name="Funded by" dataDxfId="8"/>
    <tableColumn id="3" xr3:uid="{13D5E17F-AA47-41D1-9913-E47C6CF332FD}" name="Dealer Flat" dataDxfId="7"/>
    <tableColumn id="4" xr3:uid="{0B341CD2-2C65-40C3-8938-5C8C2FA18B35}" name="Dealer Split" dataDxfId="6"/>
    <tableColumn id="5" xr3:uid="{E120DF1E-B491-497B-846C-0D75BD900747}" name="Net to Dealer" dataDxfId="5"/>
    <tableColumn id="7" xr3:uid="{1B770B3C-46D6-4BF5-BB8F-DE6BB86E33CC}" name="Column1" dataDxfId="4"/>
    <tableColumn id="6" xr3:uid="{A80E59B2-1D6B-42C8-A71B-71E2042D9EDA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7B8555-D228-43CA-8F65-88B29A74AAA1}" name="Table_16" displayName="Table_16" ref="A3:E5">
  <tableColumns count="5">
    <tableColumn id="1" xr3:uid="{9B786FE2-CD3F-4830-8731-C5782751BA08}" name="Account Number"/>
    <tableColumn id="2" xr3:uid="{A8306956-6F69-4BEB-BFE5-B616B6360BB7}" name="Contract Type"/>
    <tableColumn id="3" xr3:uid="{C6EEC50C-E0BC-43D6-9086-215FD4E960F7}" name="Applicant Name"/>
    <tableColumn id="4" xr3:uid="{B72DD9D6-CC99-4F2D-AB69-0B2107924252}" name="Co-Applicant Name"/>
    <tableColumn id="5" xr3:uid="{DC103770-7915-4D16-800B-C8BB5479E0AC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tabSelected="1" workbookViewId="0">
      <pane ySplit="3" topLeftCell="A6" activePane="bottomLeft" state="frozen"/>
      <selection pane="bottomLeft" activeCell="D12" sqref="D12"/>
    </sheetView>
  </sheetViews>
  <sheetFormatPr defaultRowHeight="15.75" x14ac:dyDescent="0.25"/>
  <cols>
    <col min="1" max="1" width="11.7109375" style="3" customWidth="1"/>
    <col min="2" max="2" width="12.140625" style="3" bestFit="1" customWidth="1"/>
    <col min="3" max="3" width="14" style="3" bestFit="1" customWidth="1"/>
    <col min="4" max="4" width="26.140625" style="3" bestFit="1" customWidth="1"/>
    <col min="5" max="5" width="3.140625" style="3" customWidth="1"/>
    <col min="6" max="6" width="26.7109375" style="3" bestFit="1" customWidth="1"/>
    <col min="7" max="7" width="17.7109375" style="3" bestFit="1" customWidth="1"/>
    <col min="8" max="8" width="17.140625" style="3" bestFit="1" customWidth="1"/>
    <col min="9" max="9" width="30.85546875" style="3" bestFit="1" customWidth="1"/>
    <col min="10" max="10" width="3.28515625" style="3" customWidth="1"/>
    <col min="11" max="11" width="19" style="3" customWidth="1"/>
    <col min="12" max="12" width="2.5703125" style="3" customWidth="1"/>
    <col min="13" max="13" width="2.28515625" style="3" customWidth="1"/>
    <col min="14" max="16384" width="9.140625" style="3"/>
  </cols>
  <sheetData>
    <row r="1" spans="1:13" x14ac:dyDescent="0.25">
      <c r="K1" s="4">
        <v>45958</v>
      </c>
      <c r="L1" s="3" t="s">
        <v>2</v>
      </c>
      <c r="M1" s="4">
        <v>45958.999988425923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</row>
    <row r="4" spans="1:13" ht="33" customHeight="1" x14ac:dyDescent="0.25">
      <c r="A4" s="3" t="s">
        <v>79</v>
      </c>
      <c r="B4" s="3" t="s">
        <v>16</v>
      </c>
      <c r="C4" s="3" t="s">
        <v>17</v>
      </c>
      <c r="D4" s="3" t="s">
        <v>18</v>
      </c>
      <c r="F4" s="3" t="s">
        <v>19</v>
      </c>
      <c r="G4" s="3" t="s">
        <v>20</v>
      </c>
      <c r="H4" s="8">
        <v>26540.13</v>
      </c>
      <c r="I4" s="3" t="s">
        <v>21</v>
      </c>
      <c r="K4" s="3" t="s">
        <v>22</v>
      </c>
    </row>
    <row r="5" spans="1:13" ht="33" customHeight="1" x14ac:dyDescent="0.25">
      <c r="A5" s="3" t="s">
        <v>80</v>
      </c>
      <c r="B5" s="3" t="s">
        <v>16</v>
      </c>
      <c r="C5" s="3" t="s">
        <v>17</v>
      </c>
      <c r="D5" s="3" t="s">
        <v>23</v>
      </c>
      <c r="F5" s="3" t="s">
        <v>24</v>
      </c>
      <c r="G5" s="3" t="s">
        <v>25</v>
      </c>
      <c r="H5" s="8">
        <v>16321.49</v>
      </c>
      <c r="I5" s="3" t="s">
        <v>26</v>
      </c>
      <c r="K5" s="3" t="s">
        <v>27</v>
      </c>
    </row>
    <row r="6" spans="1:13" ht="33" customHeight="1" x14ac:dyDescent="0.25">
      <c r="A6" s="3" t="s">
        <v>81</v>
      </c>
      <c r="B6" s="3" t="s">
        <v>16</v>
      </c>
      <c r="C6" s="3" t="s">
        <v>17</v>
      </c>
      <c r="D6" s="3" t="s">
        <v>28</v>
      </c>
      <c r="F6" s="3" t="s">
        <v>29</v>
      </c>
      <c r="G6" s="3" t="s">
        <v>20</v>
      </c>
      <c r="H6" s="8">
        <v>25075</v>
      </c>
      <c r="I6" s="3" t="s">
        <v>30</v>
      </c>
      <c r="K6" s="3" t="s">
        <v>31</v>
      </c>
    </row>
    <row r="7" spans="1:13" ht="33" customHeight="1" x14ac:dyDescent="0.25">
      <c r="A7" s="3" t="s">
        <v>82</v>
      </c>
      <c r="B7" s="3" t="s">
        <v>16</v>
      </c>
      <c r="C7" s="3" t="s">
        <v>17</v>
      </c>
      <c r="D7" s="3" t="s">
        <v>32</v>
      </c>
      <c r="F7" s="3" t="s">
        <v>24</v>
      </c>
      <c r="G7" s="3" t="s">
        <v>25</v>
      </c>
      <c r="H7" s="8">
        <v>33041.53</v>
      </c>
      <c r="I7" s="3" t="s">
        <v>33</v>
      </c>
      <c r="K7" s="3" t="s">
        <v>34</v>
      </c>
    </row>
    <row r="8" spans="1:13" ht="33" customHeight="1" x14ac:dyDescent="0.25">
      <c r="A8" s="3" t="s">
        <v>83</v>
      </c>
      <c r="B8" s="3" t="s">
        <v>16</v>
      </c>
      <c r="C8" s="3" t="s">
        <v>17</v>
      </c>
      <c r="D8" s="3" t="s">
        <v>35</v>
      </c>
      <c r="F8" s="3" t="s">
        <v>36</v>
      </c>
      <c r="G8" s="3" t="s">
        <v>20</v>
      </c>
      <c r="H8" s="8">
        <v>21387.81</v>
      </c>
      <c r="I8" s="3" t="s">
        <v>37</v>
      </c>
      <c r="K8" s="3" t="s">
        <v>38</v>
      </c>
    </row>
    <row r="9" spans="1:13" ht="33" customHeight="1" x14ac:dyDescent="0.25">
      <c r="A9" s="3" t="s">
        <v>84</v>
      </c>
      <c r="B9" s="3" t="s">
        <v>39</v>
      </c>
      <c r="C9" s="3" t="s">
        <v>17</v>
      </c>
      <c r="D9" s="3" t="s">
        <v>40</v>
      </c>
      <c r="F9" s="3" t="s">
        <v>41</v>
      </c>
      <c r="G9" s="3" t="s">
        <v>20</v>
      </c>
      <c r="H9" s="8">
        <v>68844.69</v>
      </c>
      <c r="I9" s="3" t="s">
        <v>42</v>
      </c>
      <c r="K9" s="3" t="s">
        <v>43</v>
      </c>
    </row>
    <row r="10" spans="1:13" ht="33" customHeight="1" x14ac:dyDescent="0.25">
      <c r="A10" s="3" t="s">
        <v>85</v>
      </c>
      <c r="B10" s="3" t="s">
        <v>39</v>
      </c>
      <c r="C10" s="3" t="s">
        <v>17</v>
      </c>
      <c r="D10" s="3" t="s">
        <v>44</v>
      </c>
      <c r="F10" s="3" t="s">
        <v>45</v>
      </c>
      <c r="G10" s="3" t="s">
        <v>25</v>
      </c>
      <c r="H10" s="8">
        <v>26784.38</v>
      </c>
      <c r="I10" s="3" t="s">
        <v>46</v>
      </c>
      <c r="K10" s="3" t="s">
        <v>47</v>
      </c>
    </row>
    <row r="11" spans="1:13" ht="33" customHeight="1" x14ac:dyDescent="0.25">
      <c r="A11" s="3" t="s">
        <v>86</v>
      </c>
      <c r="B11" s="3" t="s">
        <v>39</v>
      </c>
      <c r="C11" s="3" t="s">
        <v>17</v>
      </c>
      <c r="D11" s="3" t="s">
        <v>48</v>
      </c>
      <c r="F11" s="3" t="s">
        <v>49</v>
      </c>
      <c r="G11" s="3" t="s">
        <v>25</v>
      </c>
      <c r="H11" s="8">
        <v>30577.94</v>
      </c>
      <c r="I11" s="3" t="s">
        <v>50</v>
      </c>
      <c r="K11" s="3" t="s">
        <v>51</v>
      </c>
    </row>
    <row r="12" spans="1:13" ht="33" customHeight="1" x14ac:dyDescent="0.25">
      <c r="A12" s="3" t="s">
        <v>87</v>
      </c>
      <c r="B12" s="3" t="s">
        <v>39</v>
      </c>
      <c r="C12" s="3" t="s">
        <v>17</v>
      </c>
      <c r="D12" s="3" t="s">
        <v>52</v>
      </c>
      <c r="F12" s="3" t="s">
        <v>53</v>
      </c>
      <c r="G12" s="3" t="s">
        <v>25</v>
      </c>
      <c r="H12" s="8">
        <v>70351.78</v>
      </c>
      <c r="I12" s="3" t="s">
        <v>54</v>
      </c>
      <c r="K12" s="3" t="s">
        <v>55</v>
      </c>
    </row>
    <row r="13" spans="1:13" ht="33" customHeight="1" x14ac:dyDescent="0.25">
      <c r="A13" s="3" t="s">
        <v>89</v>
      </c>
      <c r="B13" s="3" t="s">
        <v>39</v>
      </c>
      <c r="C13" s="3" t="s">
        <v>17</v>
      </c>
      <c r="D13" s="3" t="s">
        <v>56</v>
      </c>
      <c r="F13" s="3" t="s">
        <v>49</v>
      </c>
      <c r="G13" s="3" t="s">
        <v>57</v>
      </c>
      <c r="H13" s="8">
        <v>32823.97</v>
      </c>
      <c r="I13" s="3" t="s">
        <v>58</v>
      </c>
      <c r="K13" s="3" t="s">
        <v>59</v>
      </c>
    </row>
    <row r="14" spans="1:13" ht="33" customHeight="1" x14ac:dyDescent="0.25">
      <c r="A14" s="3" t="s">
        <v>88</v>
      </c>
      <c r="B14" s="3" t="s">
        <v>16</v>
      </c>
      <c r="C14" s="3" t="s">
        <v>17</v>
      </c>
      <c r="D14" s="3" t="s">
        <v>60</v>
      </c>
      <c r="F14" s="3" t="s">
        <v>29</v>
      </c>
      <c r="G14" s="3" t="s">
        <v>57</v>
      </c>
      <c r="H14" s="8">
        <v>90649.06</v>
      </c>
      <c r="K14" s="3" t="s">
        <v>61</v>
      </c>
    </row>
    <row r="15" spans="1:13" ht="33" customHeight="1" x14ac:dyDescent="0.25">
      <c r="A15" s="3" t="s">
        <v>90</v>
      </c>
      <c r="B15" s="3" t="s">
        <v>39</v>
      </c>
      <c r="C15" s="3" t="s">
        <v>17</v>
      </c>
      <c r="D15" s="3" t="s">
        <v>62</v>
      </c>
      <c r="F15" s="3" t="s">
        <v>63</v>
      </c>
      <c r="G15" s="3" t="s">
        <v>57</v>
      </c>
      <c r="H15" s="8">
        <v>44795.25</v>
      </c>
      <c r="I15" s="3" t="s">
        <v>64</v>
      </c>
      <c r="K15" s="3" t="s">
        <v>65</v>
      </c>
    </row>
    <row r="16" spans="1:13" ht="33" customHeight="1" x14ac:dyDescent="0.25">
      <c r="A16" s="3" t="s">
        <v>66</v>
      </c>
      <c r="B16" s="3" t="s">
        <v>16</v>
      </c>
      <c r="C16" s="3" t="s">
        <v>67</v>
      </c>
      <c r="D16" s="3" t="s">
        <v>68</v>
      </c>
      <c r="F16" s="3" t="s">
        <v>69</v>
      </c>
      <c r="G16" s="3" t="s">
        <v>25</v>
      </c>
      <c r="H16" s="8">
        <v>25501.13</v>
      </c>
      <c r="K16" s="3" t="s">
        <v>70</v>
      </c>
    </row>
    <row r="17" spans="1:13" x14ac:dyDescent="0.25">
      <c r="A17" s="9"/>
      <c r="B17" s="9"/>
      <c r="C17" s="9"/>
      <c r="D17" s="9" t="s">
        <v>71</v>
      </c>
      <c r="E17" s="9"/>
      <c r="F17" s="9"/>
      <c r="G17" s="9"/>
      <c r="H17" s="10">
        <f>SUM(H4:H16)</f>
        <v>512694.16</v>
      </c>
      <c r="I17" s="9"/>
      <c r="J17" s="9"/>
      <c r="K17" s="9"/>
      <c r="L17" s="9"/>
      <c r="M17" s="9"/>
    </row>
  </sheetData>
  <mergeCells count="2">
    <mergeCell ref="A2:F2"/>
    <mergeCell ref="G2:M2"/>
  </mergeCells>
  <pageMargins left="0.7" right="0" top="0.75" bottom="0.75" header="0.3" footer="0.3"/>
  <pageSetup paperSize="5" scale="8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5678-36D9-4902-B55D-DCC96818D5C4}">
  <sheetPr>
    <pageSetUpPr fitToPage="1"/>
  </sheetPr>
  <dimension ref="A1:H27"/>
  <sheetViews>
    <sheetView topLeftCell="A4" workbookViewId="0">
      <selection activeCell="K28" sqref="K28"/>
    </sheetView>
  </sheetViews>
  <sheetFormatPr defaultRowHeight="15.75" x14ac:dyDescent="0.25"/>
  <cols>
    <col min="1" max="1" width="27" style="3" customWidth="1"/>
    <col min="2" max="2" width="11.5703125" style="3" customWidth="1"/>
    <col min="3" max="3" width="19.85546875" style="3" customWidth="1"/>
    <col min="4" max="4" width="13.85546875" style="3" customWidth="1"/>
    <col min="5" max="5" width="11.85546875" style="3" customWidth="1"/>
    <col min="6" max="6" width="15.5703125" style="3" customWidth="1"/>
    <col min="7" max="7" width="13.140625" style="3" customWidth="1"/>
    <col min="8" max="8" width="19" style="3" customWidth="1"/>
    <col min="9" max="16384" width="9.140625" style="3"/>
  </cols>
  <sheetData>
    <row r="1" spans="1:8" x14ac:dyDescent="0.25">
      <c r="E1" s="4"/>
      <c r="H1" s="4">
        <v>45958.999988425923</v>
      </c>
    </row>
    <row r="2" spans="1:8" x14ac:dyDescent="0.25">
      <c r="A2" s="5" t="s">
        <v>0</v>
      </c>
      <c r="B2" s="5"/>
      <c r="C2" s="6"/>
      <c r="D2" s="6"/>
      <c r="E2" s="7" t="s">
        <v>72</v>
      </c>
      <c r="F2" s="6"/>
      <c r="G2" s="6"/>
      <c r="H2" s="6"/>
    </row>
    <row r="3" spans="1:8" x14ac:dyDescent="0.25">
      <c r="A3" s="3" t="s">
        <v>8</v>
      </c>
      <c r="B3" s="3" t="s">
        <v>78</v>
      </c>
      <c r="C3" s="3" t="s">
        <v>9</v>
      </c>
      <c r="D3" s="3" t="s">
        <v>73</v>
      </c>
      <c r="E3" s="3" t="s">
        <v>74</v>
      </c>
      <c r="F3" s="3" t="s">
        <v>75</v>
      </c>
      <c r="G3" s="3" t="s">
        <v>77</v>
      </c>
      <c r="H3" s="3" t="s">
        <v>76</v>
      </c>
    </row>
    <row r="4" spans="1:8" ht="24.95" customHeight="1" x14ac:dyDescent="0.25">
      <c r="A4" s="3" t="s">
        <v>24</v>
      </c>
      <c r="C4" s="3" t="s">
        <v>25</v>
      </c>
      <c r="D4" s="8">
        <v>850</v>
      </c>
      <c r="E4" s="8">
        <v>0</v>
      </c>
      <c r="F4" s="8">
        <v>32966.53</v>
      </c>
      <c r="G4" s="8"/>
      <c r="H4" s="8">
        <v>33041.53</v>
      </c>
    </row>
    <row r="5" spans="1:8" ht="24.95" customHeight="1" x14ac:dyDescent="0.25">
      <c r="A5" s="3" t="s">
        <v>24</v>
      </c>
      <c r="C5" s="3" t="s">
        <v>25</v>
      </c>
      <c r="D5" s="8">
        <v>500</v>
      </c>
      <c r="E5" s="8">
        <v>0</v>
      </c>
      <c r="F5" s="8">
        <v>16246.49</v>
      </c>
      <c r="G5" s="11">
        <f>SUM(F4:F5)</f>
        <v>49213.02</v>
      </c>
      <c r="H5" s="8">
        <v>16321.49</v>
      </c>
    </row>
    <row r="6" spans="1:8" ht="24.95" customHeight="1" x14ac:dyDescent="0.25">
      <c r="D6" s="8"/>
      <c r="E6" s="8"/>
      <c r="F6" s="8"/>
      <c r="G6" s="8"/>
      <c r="H6" s="8"/>
    </row>
    <row r="7" spans="1:8" ht="24.95" customHeight="1" x14ac:dyDescent="0.25">
      <c r="A7" s="3" t="s">
        <v>69</v>
      </c>
      <c r="C7" s="3" t="s">
        <v>25</v>
      </c>
      <c r="D7" s="8">
        <v>750</v>
      </c>
      <c r="E7" s="8">
        <v>0</v>
      </c>
      <c r="F7" s="11">
        <v>25426.13</v>
      </c>
      <c r="G7" s="8"/>
      <c r="H7" s="8">
        <v>25501.13</v>
      </c>
    </row>
    <row r="8" spans="1:8" ht="24.95" customHeight="1" x14ac:dyDescent="0.25">
      <c r="D8" s="8"/>
      <c r="E8" s="8"/>
      <c r="F8" s="11"/>
      <c r="G8" s="8"/>
      <c r="H8" s="8"/>
    </row>
    <row r="9" spans="1:8" ht="24.95" customHeight="1" x14ac:dyDescent="0.25">
      <c r="A9" s="3" t="s">
        <v>19</v>
      </c>
      <c r="B9" s="12" t="s">
        <v>92</v>
      </c>
      <c r="C9" s="3" t="s">
        <v>20</v>
      </c>
      <c r="D9" s="8">
        <v>750</v>
      </c>
      <c r="E9" s="8">
        <v>0</v>
      </c>
      <c r="F9" s="11">
        <v>26465.13</v>
      </c>
      <c r="G9" s="8"/>
      <c r="H9" s="8">
        <v>26540.13</v>
      </c>
    </row>
    <row r="10" spans="1:8" ht="24.95" customHeight="1" x14ac:dyDescent="0.25">
      <c r="D10" s="8"/>
      <c r="E10" s="8"/>
      <c r="F10" s="8"/>
      <c r="G10" s="8"/>
      <c r="H10" s="8"/>
    </row>
    <row r="11" spans="1:8" ht="24.95" customHeight="1" x14ac:dyDescent="0.25">
      <c r="A11" s="3" t="s">
        <v>41</v>
      </c>
      <c r="C11" s="3" t="s">
        <v>20</v>
      </c>
      <c r="D11" s="8">
        <v>1350</v>
      </c>
      <c r="E11" s="8">
        <v>0</v>
      </c>
      <c r="F11" s="11">
        <v>68769.69</v>
      </c>
      <c r="G11" s="8"/>
      <c r="H11" s="8">
        <v>68844.69</v>
      </c>
    </row>
    <row r="12" spans="1:8" ht="24.95" customHeight="1" x14ac:dyDescent="0.25">
      <c r="D12" s="8"/>
      <c r="E12" s="8"/>
      <c r="F12" s="8"/>
      <c r="G12" s="8"/>
      <c r="H12" s="8"/>
    </row>
    <row r="13" spans="1:8" ht="24.95" customHeight="1" x14ac:dyDescent="0.25">
      <c r="A13" s="3" t="s">
        <v>91</v>
      </c>
      <c r="C13" s="3" t="s">
        <v>57</v>
      </c>
      <c r="D13" s="8">
        <v>850</v>
      </c>
      <c r="E13" s="8">
        <v>0</v>
      </c>
      <c r="F13" s="8">
        <v>32748.97</v>
      </c>
      <c r="G13" s="8"/>
      <c r="H13" s="8">
        <v>32823.97</v>
      </c>
    </row>
    <row r="14" spans="1:8" ht="24.95" customHeight="1" x14ac:dyDescent="0.25">
      <c r="A14" s="3" t="s">
        <v>91</v>
      </c>
      <c r="C14" s="3" t="s">
        <v>25</v>
      </c>
      <c r="D14" s="8">
        <v>850</v>
      </c>
      <c r="E14" s="8">
        <v>0</v>
      </c>
      <c r="F14" s="8">
        <v>30502.94</v>
      </c>
      <c r="G14" s="11">
        <f>SUM(F13:F14)</f>
        <v>63251.91</v>
      </c>
      <c r="H14" s="8">
        <v>30577.94</v>
      </c>
    </row>
    <row r="15" spans="1:8" ht="24.95" customHeight="1" x14ac:dyDescent="0.25">
      <c r="D15" s="8"/>
      <c r="E15" s="8"/>
      <c r="F15" s="8"/>
      <c r="G15" s="8"/>
      <c r="H15" s="8"/>
    </row>
    <row r="16" spans="1:8" ht="24.95" customHeight="1" x14ac:dyDescent="0.25">
      <c r="A16" s="3" t="s">
        <v>63</v>
      </c>
      <c r="C16" s="3" t="s">
        <v>57</v>
      </c>
      <c r="D16" s="8">
        <v>1050</v>
      </c>
      <c r="E16" s="8">
        <v>0</v>
      </c>
      <c r="F16" s="11">
        <v>44720.25</v>
      </c>
      <c r="G16" s="8"/>
      <c r="H16" s="8">
        <v>44795.25</v>
      </c>
    </row>
    <row r="17" spans="1:8" ht="24.95" customHeight="1" x14ac:dyDescent="0.25">
      <c r="D17" s="8"/>
      <c r="E17" s="8"/>
      <c r="F17" s="11"/>
      <c r="G17" s="8"/>
      <c r="H17" s="8"/>
    </row>
    <row r="18" spans="1:8" ht="24.95" customHeight="1" x14ac:dyDescent="0.25">
      <c r="A18" s="3" t="s">
        <v>36</v>
      </c>
      <c r="C18" s="3" t="s">
        <v>20</v>
      </c>
      <c r="D18" s="8">
        <v>650</v>
      </c>
      <c r="E18" s="8">
        <v>0</v>
      </c>
      <c r="F18" s="11">
        <v>21312.81</v>
      </c>
      <c r="G18" s="8"/>
      <c r="H18" s="8">
        <v>21387.81</v>
      </c>
    </row>
    <row r="19" spans="1:8" ht="24.95" customHeight="1" x14ac:dyDescent="0.25">
      <c r="D19" s="8"/>
      <c r="E19" s="8"/>
      <c r="F19" s="8"/>
      <c r="G19" s="8"/>
      <c r="H19" s="8"/>
    </row>
    <row r="20" spans="1:8" ht="24.95" customHeight="1" x14ac:dyDescent="0.25">
      <c r="A20" s="3" t="s">
        <v>29</v>
      </c>
      <c r="C20" s="3" t="s">
        <v>20</v>
      </c>
      <c r="D20" s="8">
        <v>750</v>
      </c>
      <c r="E20" s="8">
        <v>0</v>
      </c>
      <c r="F20" s="8">
        <v>25000</v>
      </c>
      <c r="G20" s="8"/>
      <c r="H20" s="8">
        <v>25075</v>
      </c>
    </row>
    <row r="21" spans="1:8" ht="24.95" customHeight="1" x14ac:dyDescent="0.25">
      <c r="A21" s="3" t="s">
        <v>29</v>
      </c>
      <c r="C21" s="3" t="s">
        <v>57</v>
      </c>
      <c r="D21" s="8">
        <v>1500</v>
      </c>
      <c r="E21" s="8">
        <v>0</v>
      </c>
      <c r="F21" s="8">
        <v>90574.06</v>
      </c>
      <c r="G21" s="11">
        <f>SUM(F20:F21)</f>
        <v>115574.06</v>
      </c>
      <c r="H21" s="8">
        <v>90649.06</v>
      </c>
    </row>
    <row r="22" spans="1:8" ht="24.95" customHeight="1" x14ac:dyDescent="0.25">
      <c r="D22" s="8"/>
      <c r="E22" s="8"/>
      <c r="F22" s="8"/>
      <c r="G22" s="8"/>
      <c r="H22" s="8"/>
    </row>
    <row r="23" spans="1:8" ht="24.95" customHeight="1" x14ac:dyDescent="0.25">
      <c r="A23" s="3" t="s">
        <v>45</v>
      </c>
      <c r="C23" s="3" t="s">
        <v>25</v>
      </c>
      <c r="D23" s="8">
        <v>750</v>
      </c>
      <c r="E23" s="8">
        <v>0</v>
      </c>
      <c r="F23" s="11">
        <v>26709.38</v>
      </c>
      <c r="G23" s="8"/>
      <c r="H23" s="8">
        <v>26784.38</v>
      </c>
    </row>
    <row r="24" spans="1:8" ht="24.95" customHeight="1" x14ac:dyDescent="0.25">
      <c r="D24" s="8"/>
      <c r="E24" s="8"/>
      <c r="F24" s="11"/>
      <c r="G24" s="8"/>
      <c r="H24" s="8"/>
    </row>
    <row r="25" spans="1:8" ht="24.95" customHeight="1" x14ac:dyDescent="0.25">
      <c r="A25" s="3" t="s">
        <v>53</v>
      </c>
      <c r="C25" s="3" t="s">
        <v>25</v>
      </c>
      <c r="D25" s="8">
        <v>1500</v>
      </c>
      <c r="E25" s="8">
        <v>0</v>
      </c>
      <c r="F25" s="11">
        <v>70276.78</v>
      </c>
      <c r="G25" s="8"/>
      <c r="H25" s="8">
        <v>70351.78</v>
      </c>
    </row>
    <row r="26" spans="1:8" x14ac:dyDescent="0.25">
      <c r="D26" s="8"/>
      <c r="E26" s="8"/>
      <c r="F26" s="8"/>
      <c r="G26" s="8"/>
      <c r="H26" s="8"/>
    </row>
    <row r="27" spans="1:8" x14ac:dyDescent="0.25">
      <c r="A27" s="9"/>
      <c r="B27" s="9"/>
      <c r="C27" s="9"/>
      <c r="D27" s="10">
        <f>SUM(D4:D25)</f>
        <v>12100</v>
      </c>
      <c r="E27" s="10">
        <f>SUM(E4:E25)</f>
        <v>0</v>
      </c>
      <c r="F27" s="10">
        <f>SUM(F4:F25)</f>
        <v>511719.16000000003</v>
      </c>
      <c r="G27" s="10"/>
      <c r="H27" s="10">
        <f>SUM(H4:H25)</f>
        <v>512694.16000000003</v>
      </c>
    </row>
  </sheetData>
  <mergeCells count="2">
    <mergeCell ref="A2:D2"/>
    <mergeCell ref="E2:H2"/>
  </mergeCells>
  <pageMargins left="0.7" right="0.7" top="0.25" bottom="0" header="0.3" footer="0.3"/>
  <pageSetup scale="8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E26A-5797-4A4A-B504-17CFA3CD1E14}">
  <dimension ref="A1:E19"/>
  <sheetViews>
    <sheetView workbookViewId="0">
      <selection activeCell="E11" sqref="E11"/>
    </sheetView>
  </sheetViews>
  <sheetFormatPr defaultRowHeight="15" x14ac:dyDescent="0.25"/>
  <cols>
    <col min="1" max="1" width="12.7109375" customWidth="1"/>
    <col min="2" max="2" width="15.85546875" customWidth="1"/>
    <col min="3" max="3" width="17" customWidth="1"/>
    <col min="4" max="4" width="15.5703125" customWidth="1"/>
    <col min="5" max="5" width="24.28515625" customWidth="1"/>
  </cols>
  <sheetData>
    <row r="1" spans="1:5" ht="24.95" customHeight="1" x14ac:dyDescent="0.25">
      <c r="A1" t="s">
        <v>95</v>
      </c>
      <c r="D1" s="1"/>
      <c r="E1" s="1">
        <v>45958.999988425923</v>
      </c>
    </row>
    <row r="2" spans="1:5" ht="24.95" customHeight="1" x14ac:dyDescent="0.25">
      <c r="A2" s="13" t="s">
        <v>0</v>
      </c>
      <c r="B2" s="2"/>
      <c r="C2" s="2"/>
      <c r="D2" s="14" t="s">
        <v>93</v>
      </c>
      <c r="E2" s="2"/>
    </row>
    <row r="3" spans="1:5" ht="24.95" customHeight="1" x14ac:dyDescent="0.25">
      <c r="A3" t="s">
        <v>3</v>
      </c>
      <c r="B3" t="s">
        <v>5</v>
      </c>
      <c r="C3" t="s">
        <v>6</v>
      </c>
      <c r="D3" t="s">
        <v>7</v>
      </c>
      <c r="E3" t="s">
        <v>8</v>
      </c>
    </row>
    <row r="4" spans="1:5" ht="24.95" customHeight="1" x14ac:dyDescent="0.25">
      <c r="A4" t="s">
        <v>66</v>
      </c>
      <c r="B4" t="s">
        <v>67</v>
      </c>
      <c r="C4" t="s">
        <v>68</v>
      </c>
      <c r="E4" t="s">
        <v>69</v>
      </c>
    </row>
    <row r="5" spans="1:5" ht="24.95" customHeight="1" x14ac:dyDescent="0.25">
      <c r="A5" s="15"/>
      <c r="B5" s="15"/>
      <c r="C5" s="15" t="s">
        <v>94</v>
      </c>
      <c r="D5" s="15"/>
      <c r="E5" s="15"/>
    </row>
    <row r="10" spans="1:5" x14ac:dyDescent="0.25">
      <c r="A10" t="s">
        <v>96</v>
      </c>
      <c r="B10" s="16"/>
      <c r="C10" s="16"/>
      <c r="D10" s="16"/>
    </row>
    <row r="15" spans="1:5" x14ac:dyDescent="0.25">
      <c r="A15" t="s">
        <v>97</v>
      </c>
      <c r="B15" s="16"/>
      <c r="C15" s="16"/>
      <c r="D15" s="16"/>
    </row>
    <row r="19" spans="1:2" x14ac:dyDescent="0.25">
      <c r="A19" t="s">
        <v>98</v>
      </c>
      <c r="B19" s="16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2025-10-28T18:54:03Z</cp:lastPrinted>
  <dcterms:created xsi:type="dcterms:W3CDTF">2025-10-28T18:22:03Z</dcterms:created>
  <dcterms:modified xsi:type="dcterms:W3CDTF">2025-10-28T19:04:30Z</dcterms:modified>
</cp:coreProperties>
</file>