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B9E37F41-641E-4DF4-BF07-E00328019BC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5" i="1"/>
  <c r="E15" i="1"/>
  <c r="D15" i="1"/>
  <c r="C15" i="1"/>
</calcChain>
</file>

<file path=xl/sharedStrings.xml><?xml version="1.0" encoding="utf-8"?>
<sst xmlns="http://schemas.openxmlformats.org/spreadsheetml/2006/main" count="113" uniqueCount="71">
  <si>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</si>
  <si>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</si>
  <si>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</si>
  <si>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</si>
  <si>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</si>
  <si>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</si>
  <si>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</si>
  <si>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</si>
  <si>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</si>
  <si>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</si>
  <si>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First Hyundai</t>
  </si>
  <si>
    <t>Rachel Gorham</t>
  </si>
  <si>
    <t>Mastria Mazda</t>
  </si>
  <si>
    <t>Neli Oliveira</t>
  </si>
  <si>
    <t>Patriot Auto Group Inc d/b/a</t>
  </si>
  <si>
    <t>Planet Subaru</t>
  </si>
  <si>
    <t>Richard Lundgren, Inc. d/b/a</t>
  </si>
  <si>
    <t>Volvo of Tiverton</t>
  </si>
  <si>
    <t>Column1</t>
  </si>
  <si>
    <t>Column2</t>
  </si>
  <si>
    <t>5900    6390</t>
  </si>
  <si>
    <t># 6</t>
  </si>
  <si>
    <t>COULOMBE</t>
  </si>
  <si>
    <t>FLOYD</t>
  </si>
  <si>
    <t>MELLEKAS1@GMAIL.COM</t>
  </si>
  <si>
    <t>EDSWNSN@GMAIL.COM</t>
  </si>
  <si>
    <t>MELLEKAS, NICHOLAS</t>
  </si>
  <si>
    <t>MELLEKAS, ERIKA</t>
  </si>
  <si>
    <t>Paper</t>
  </si>
  <si>
    <t>DealerTrack</t>
  </si>
  <si>
    <t>151144145</t>
  </si>
  <si>
    <t>BLUE</t>
  </si>
  <si>
    <t>JASONFANION@GMAIL.COM</t>
  </si>
  <si>
    <t>Fanion, Heidi</t>
  </si>
  <si>
    <t>E Contract</t>
  </si>
  <si>
    <t>Route One</t>
  </si>
  <si>
    <t>151144137e</t>
  </si>
  <si>
    <t>ALTALELA</t>
  </si>
  <si>
    <t>ENGO0369@GMAIL.COM</t>
  </si>
  <si>
    <t>NGO, EMILY</t>
  </si>
  <si>
    <t>151144111e</t>
  </si>
  <si>
    <t>GEOFFRION</t>
  </si>
  <si>
    <t>j.arcieri@icloud.com</t>
  </si>
  <si>
    <t>ALBANO, LAURA</t>
  </si>
  <si>
    <t>151144103e</t>
  </si>
  <si>
    <t>GRIFFITHS</t>
  </si>
  <si>
    <t>CGCHANDLER7@HOTMAIL.COM</t>
  </si>
  <si>
    <t>CHANDLER, CONSTANCE</t>
  </si>
  <si>
    <t>151144096e</t>
  </si>
  <si>
    <t>MARTIN</t>
  </si>
  <si>
    <t>CANDISBRODEUR17@GMAIL.COM</t>
  </si>
  <si>
    <t>BRODEUR, CANDIS</t>
  </si>
  <si>
    <t>151144088e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</si>
  <si>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</si>
  <si>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</si>
  <si>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</si>
  <si>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</si>
  <si>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</si>
  <si>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</si>
  <si>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</si>
  <si>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</si>
  <si>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</si>
  <si>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</si>
  <si>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</si>
  <si>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</si>
  <si>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</t>
  </si>
  <si>
    <t>Received By_______________________________________________________________</t>
  </si>
  <si>
    <t>Delivered By _______________________________________________________________</t>
  </si>
  <si>
    <t># 1</t>
  </si>
  <si>
    <t>Funding Worksheet - Signoff Version</t>
  </si>
  <si>
    <t>2330    8209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</si>
</sst>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C3D90DAF-307D-48E4-B8E3-4E93ADE36C98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A10BFF55-6732-4BC0-BD11-57FCFD79B8F7}" name="Column1" dataDxfId="25"/>
    <tableColumn id="8" xr3:uid="{ABEE60D7-C1CC-46E2-9510-B3902681781B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A29AEA-16A4-4130-B7CB-9F5033ED0CC2}" name="Table_13" displayName="Table_13" ref="A3:M10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C88D04-F8CB-4E02-A3A1-C76D2A673EE5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workbookViewId="0">
      <pane ySplit="3" topLeftCell="A4" activePane="bottomLeft" state="frozen"/>
      <selection pane="bottomLeft" activeCell="D29" sqref="D29"/>
    </sheetView>
  </sheetViews>
  <sheetFormatPr defaultRowHeight="15" x14ac:dyDescent="0.25"/>
  <cols>
    <col min="1" max="1" width="27" bestFit="1" customWidth="1"/>
    <col min="2" max="2" width="15.140625" bestFit="1" customWidth="1"/>
    <col min="3" max="3" width="11.140625" bestFit="1" customWidth="1"/>
    <col min="4" max="4" width="16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45688</v>
      </c>
      <c r="E1" t="s">
        <v>2</v>
      </c>
      <c r="H1" s="4">
        <v>45688.999988425923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18</v>
      </c>
      <c r="G3" t="s">
        <v>19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38748.85</v>
      </c>
      <c r="F4" s="2"/>
      <c r="G4" s="2" t="s">
        <v>70</v>
      </c>
      <c r="H4" s="2">
        <v>38823.85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200</v>
      </c>
      <c r="D6" s="2">
        <v>0</v>
      </c>
      <c r="E6" s="2">
        <v>11782.75</v>
      </c>
      <c r="F6" s="2"/>
      <c r="G6" s="2" t="s">
        <v>20</v>
      </c>
      <c r="H6" s="2">
        <v>11857.75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600</v>
      </c>
      <c r="D8" s="2">
        <v>0</v>
      </c>
      <c r="E8" s="2">
        <v>30508.31</v>
      </c>
      <c r="F8" s="2"/>
      <c r="G8" s="2"/>
      <c r="H8" s="2">
        <v>30583.31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450</v>
      </c>
      <c r="D10" s="2">
        <v>0</v>
      </c>
      <c r="E10" s="2">
        <v>20483.25</v>
      </c>
      <c r="F10" s="2"/>
      <c r="G10" s="2"/>
      <c r="H10" s="2">
        <v>20558.25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500</v>
      </c>
      <c r="D12" s="2">
        <v>0</v>
      </c>
      <c r="E12" s="2">
        <v>28258.44</v>
      </c>
      <c r="F12" s="2"/>
      <c r="G12" s="2"/>
      <c r="H12" s="2">
        <v>28333.439999999999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700</v>
      </c>
      <c r="D14" s="2">
        <v>0</v>
      </c>
      <c r="E14" s="2">
        <v>42455.4</v>
      </c>
      <c r="F14" s="2"/>
      <c r="G14" s="2"/>
      <c r="H14" s="2">
        <v>42530.400000000001</v>
      </c>
    </row>
    <row r="15" spans="1:8" x14ac:dyDescent="0.25">
      <c r="A15" s="1"/>
      <c r="B15" s="1"/>
      <c r="C15" s="3">
        <f>SUM(C4:C14)</f>
        <v>3100</v>
      </c>
      <c r="D15" s="3">
        <f>SUM(D4:D14)</f>
        <v>0</v>
      </c>
      <c r="E15" s="3">
        <f>SUM(E4:E14)</f>
        <v>172237</v>
      </c>
      <c r="F15" s="3"/>
      <c r="G15" s="3"/>
      <c r="H15" s="3">
        <f>SUM(H4:H14)</f>
        <v>172687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10FB-489D-448B-82C5-07A3FC742460}">
  <sheetPr>
    <pageSetUpPr fitToPage="1"/>
  </sheetPr>
  <dimension ref="A1:N13"/>
  <sheetViews>
    <sheetView workbookViewId="0">
      <pane ySplit="3" topLeftCell="A4" activePane="bottomLeft" state="frozen"/>
      <selection pane="bottomLeft" activeCell="A4" sqref="A4:A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85546875" style="8" bestFit="1" customWidth="1"/>
    <col min="5" max="5" width="21.28515625" style="8" bestFit="1" customWidth="1"/>
    <col min="6" max="6" width="27" style="8" bestFit="1" customWidth="1"/>
    <col min="7" max="7" width="15.140625" style="8" bestFit="1" customWidth="1"/>
    <col min="8" max="8" width="17.140625" style="8" bestFit="1" customWidth="1"/>
    <col min="9" max="9" width="32.140625" style="8" bestFit="1" customWidth="1"/>
    <col min="10" max="10" width="24.28515625" style="8" bestFit="1" customWidth="1"/>
    <col min="11" max="11" width="16.7109375" style="8" bestFit="1" customWidth="1"/>
    <col min="12" max="12" width="12.85546875" style="8" bestFit="1" customWidth="1"/>
    <col min="13" max="13" width="16.7109375" style="8" bestFit="1" customWidth="1"/>
    <col min="14" max="16384" width="9.140625" style="8"/>
  </cols>
  <sheetData>
    <row r="1" spans="1:14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45688</v>
      </c>
      <c r="L1" s="9" t="s">
        <v>2</v>
      </c>
      <c r="M1" s="10">
        <v>45688.999988425923</v>
      </c>
      <c r="N1" s="9"/>
    </row>
    <row r="2" spans="1:14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64</v>
      </c>
      <c r="H2" s="12"/>
      <c r="I2" s="12"/>
      <c r="J2" s="12"/>
      <c r="K2" s="12"/>
      <c r="L2" s="12"/>
      <c r="M2" s="12"/>
      <c r="N2" s="9"/>
    </row>
    <row r="3" spans="1:14" ht="39.950000000000003" customHeight="1" x14ac:dyDescent="0.25">
      <c r="A3" s="9" t="s">
        <v>63</v>
      </c>
      <c r="B3" s="9" t="s">
        <v>62</v>
      </c>
      <c r="C3" s="9" t="s">
        <v>61</v>
      </c>
      <c r="D3" s="9" t="s">
        <v>60</v>
      </c>
      <c r="E3" s="9" t="s">
        <v>59</v>
      </c>
      <c r="F3" s="9" t="s">
        <v>4</v>
      </c>
      <c r="G3" s="9" t="s">
        <v>5</v>
      </c>
      <c r="H3" s="9" t="s">
        <v>58</v>
      </c>
      <c r="I3" s="9" t="s">
        <v>57</v>
      </c>
      <c r="J3" s="9" t="s">
        <v>56</v>
      </c>
      <c r="K3" s="9" t="s">
        <v>55</v>
      </c>
      <c r="L3" s="9" t="s">
        <v>54</v>
      </c>
      <c r="M3" s="9" t="s">
        <v>53</v>
      </c>
      <c r="N3" s="9"/>
    </row>
    <row r="4" spans="1:14" ht="39.950000000000003" customHeight="1" x14ac:dyDescent="0.25">
      <c r="A4" s="9" t="s">
        <v>52</v>
      </c>
      <c r="B4" s="9" t="s">
        <v>29</v>
      </c>
      <c r="C4" s="9" t="s">
        <v>34</v>
      </c>
      <c r="D4" s="9" t="s">
        <v>51</v>
      </c>
      <c r="E4" s="9"/>
      <c r="F4" s="9" t="s">
        <v>10</v>
      </c>
      <c r="G4" s="9" t="s">
        <v>11</v>
      </c>
      <c r="H4" s="14">
        <v>38823.85</v>
      </c>
      <c r="I4" s="9" t="s">
        <v>50</v>
      </c>
      <c r="J4" s="9"/>
      <c r="K4" s="9" t="s">
        <v>49</v>
      </c>
      <c r="L4" s="9"/>
      <c r="M4" s="9"/>
      <c r="N4" s="9"/>
    </row>
    <row r="5" spans="1:14" ht="39.950000000000003" customHeight="1" x14ac:dyDescent="0.25">
      <c r="A5" s="9" t="s">
        <v>48</v>
      </c>
      <c r="B5" s="9" t="s">
        <v>29</v>
      </c>
      <c r="C5" s="9" t="s">
        <v>34</v>
      </c>
      <c r="D5" s="9" t="s">
        <v>47</v>
      </c>
      <c r="E5" s="9"/>
      <c r="F5" s="9" t="s">
        <v>15</v>
      </c>
      <c r="G5" s="9" t="s">
        <v>11</v>
      </c>
      <c r="H5" s="14">
        <v>20558.25</v>
      </c>
      <c r="I5" s="9" t="s">
        <v>46</v>
      </c>
      <c r="J5" s="9"/>
      <c r="K5" s="9" t="s">
        <v>45</v>
      </c>
      <c r="L5" s="9"/>
      <c r="M5" s="9"/>
      <c r="N5" s="9"/>
    </row>
    <row r="6" spans="1:14" ht="39.950000000000003" customHeight="1" x14ac:dyDescent="0.25">
      <c r="A6" s="9" t="s">
        <v>44</v>
      </c>
      <c r="B6" s="9" t="s">
        <v>35</v>
      </c>
      <c r="C6" s="9" t="s">
        <v>34</v>
      </c>
      <c r="D6" s="9" t="s">
        <v>43</v>
      </c>
      <c r="E6" s="9"/>
      <c r="F6" s="9" t="s">
        <v>14</v>
      </c>
      <c r="G6" s="9" t="s">
        <v>11</v>
      </c>
      <c r="H6" s="14">
        <v>30583.31</v>
      </c>
      <c r="I6" s="9" t="s">
        <v>42</v>
      </c>
      <c r="J6" s="9"/>
      <c r="K6" s="9" t="s">
        <v>41</v>
      </c>
      <c r="L6" s="9"/>
      <c r="M6" s="9"/>
      <c r="N6" s="9"/>
    </row>
    <row r="7" spans="1:14" ht="39.950000000000003" customHeight="1" x14ac:dyDescent="0.25">
      <c r="A7" s="9" t="s">
        <v>40</v>
      </c>
      <c r="B7" s="9" t="s">
        <v>29</v>
      </c>
      <c r="C7" s="9" t="s">
        <v>34</v>
      </c>
      <c r="D7" s="9" t="s">
        <v>39</v>
      </c>
      <c r="E7" s="9"/>
      <c r="F7" s="9" t="s">
        <v>16</v>
      </c>
      <c r="G7" s="9" t="s">
        <v>11</v>
      </c>
      <c r="H7" s="14">
        <v>28333.439999999999</v>
      </c>
      <c r="I7" s="9" t="s">
        <v>38</v>
      </c>
      <c r="J7" s="9"/>
      <c r="K7" s="9" t="s">
        <v>37</v>
      </c>
      <c r="L7" s="9"/>
      <c r="M7" s="9"/>
      <c r="N7" s="9"/>
    </row>
    <row r="8" spans="1:14" ht="39.950000000000003" customHeight="1" x14ac:dyDescent="0.25">
      <c r="A8" s="9" t="s">
        <v>36</v>
      </c>
      <c r="B8" s="9" t="s">
        <v>35</v>
      </c>
      <c r="C8" s="9" t="s">
        <v>34</v>
      </c>
      <c r="D8" s="9" t="s">
        <v>33</v>
      </c>
      <c r="E8" s="9"/>
      <c r="F8" s="9" t="s">
        <v>12</v>
      </c>
      <c r="G8" s="9" t="s">
        <v>13</v>
      </c>
      <c r="H8" s="14">
        <v>11857.75</v>
      </c>
      <c r="I8" s="9" t="s">
        <v>32</v>
      </c>
      <c r="J8" s="9"/>
      <c r="K8" s="9" t="s">
        <v>31</v>
      </c>
      <c r="L8" s="9"/>
      <c r="M8" s="9"/>
      <c r="N8" s="9"/>
    </row>
    <row r="9" spans="1:14" ht="39.950000000000003" customHeight="1" x14ac:dyDescent="0.25">
      <c r="A9" s="9" t="s">
        <v>30</v>
      </c>
      <c r="B9" s="9" t="s">
        <v>29</v>
      </c>
      <c r="C9" s="9" t="s">
        <v>28</v>
      </c>
      <c r="D9" s="9" t="s">
        <v>27</v>
      </c>
      <c r="E9" s="9" t="s">
        <v>26</v>
      </c>
      <c r="F9" s="9" t="s">
        <v>17</v>
      </c>
      <c r="G9" s="9" t="s">
        <v>11</v>
      </c>
      <c r="H9" s="14">
        <v>42530.400000000001</v>
      </c>
      <c r="I9" s="9" t="s">
        <v>25</v>
      </c>
      <c r="J9" s="9" t="s">
        <v>24</v>
      </c>
      <c r="K9" s="9" t="s">
        <v>23</v>
      </c>
      <c r="L9" s="9" t="s">
        <v>22</v>
      </c>
      <c r="M9" s="9"/>
      <c r="N9" s="9"/>
    </row>
    <row r="10" spans="1:14" ht="39.950000000000003" customHeight="1" x14ac:dyDescent="0.25">
      <c r="A10" s="15"/>
      <c r="B10" s="15"/>
      <c r="C10" s="15"/>
      <c r="D10" s="15" t="s">
        <v>21</v>
      </c>
      <c r="E10" s="15"/>
      <c r="F10" s="15"/>
      <c r="G10" s="15"/>
      <c r="H10" s="16">
        <f>SUM(H4:H9)</f>
        <v>172687</v>
      </c>
      <c r="I10" s="15"/>
      <c r="J10" s="15"/>
      <c r="K10" s="15"/>
      <c r="L10" s="15"/>
      <c r="M10" s="15"/>
      <c r="N10" s="9"/>
    </row>
    <row r="11" spans="1:14" ht="39.950000000000003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39.950000000000003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39.950000000000003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3C1A-4EB5-49CF-B64F-2BB9A008484D}">
  <sheetPr>
    <pageSetUpPr fitToPage="1"/>
  </sheetPr>
  <dimension ref="A1:F26"/>
  <sheetViews>
    <sheetView tabSelected="1" workbookViewId="0">
      <pane ySplit="3" topLeftCell="A4" activePane="bottomLeft" state="frozen"/>
      <selection pane="bottomLeft" activeCell="H18" sqref="H18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85546875" style="8" bestFit="1" customWidth="1"/>
    <col min="4" max="4" width="21.28515625" style="8" bestFit="1" customWidth="1"/>
    <col min="5" max="5" width="27" style="8" bestFit="1" customWidth="1"/>
    <col min="6" max="16384" width="9.140625" style="8"/>
  </cols>
  <sheetData>
    <row r="1" spans="1:6" x14ac:dyDescent="0.25">
      <c r="A1" s="9"/>
      <c r="B1" s="9"/>
      <c r="C1" s="9" t="s">
        <v>3</v>
      </c>
      <c r="D1" s="10">
        <v>45688</v>
      </c>
      <c r="E1" s="9" t="s">
        <v>2</v>
      </c>
      <c r="F1" s="9"/>
    </row>
    <row r="2" spans="1:6" x14ac:dyDescent="0.25">
      <c r="A2" s="11" t="s">
        <v>0</v>
      </c>
      <c r="B2" s="12"/>
      <c r="C2" s="12"/>
      <c r="D2" s="13" t="s">
        <v>69</v>
      </c>
      <c r="E2" s="12"/>
      <c r="F2" s="9"/>
    </row>
    <row r="3" spans="1:6" x14ac:dyDescent="0.25">
      <c r="A3" s="9" t="s">
        <v>63</v>
      </c>
      <c r="B3" s="9" t="s">
        <v>61</v>
      </c>
      <c r="C3" s="9" t="s">
        <v>60</v>
      </c>
      <c r="D3" s="9" t="s">
        <v>59</v>
      </c>
      <c r="E3" s="9" t="s">
        <v>4</v>
      </c>
      <c r="F3" s="9"/>
    </row>
    <row r="4" spans="1:6" x14ac:dyDescent="0.25">
      <c r="A4" s="9" t="s">
        <v>30</v>
      </c>
      <c r="B4" s="9" t="s">
        <v>28</v>
      </c>
      <c r="C4" s="9" t="s">
        <v>27</v>
      </c>
      <c r="D4" s="9" t="s">
        <v>26</v>
      </c>
      <c r="E4" s="9" t="s">
        <v>17</v>
      </c>
      <c r="F4" s="9"/>
    </row>
    <row r="5" spans="1:6" x14ac:dyDescent="0.25">
      <c r="A5" s="15"/>
      <c r="B5" s="15"/>
      <c r="C5" s="15" t="s">
        <v>68</v>
      </c>
      <c r="D5" s="15"/>
      <c r="E5" s="15"/>
      <c r="F5" s="9"/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 t="s">
        <v>67</v>
      </c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9" t="s">
        <v>66</v>
      </c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 t="s">
        <v>65</v>
      </c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</sheetData>
  <mergeCells count="2">
    <mergeCell ref="A2:C2"/>
    <mergeCell ref="D2:E2"/>
  </mergeCells>
  <pageMargins left="0.7" right="0.7" top="0.75" bottom="0.75" header="0.3" footer="0.3"/>
  <pageSetup scale="8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2025-01-31T19:14:23Z</cp:lastPrinted>
  <dcterms:created xsi:type="dcterms:W3CDTF">2025-01-31T19:02:36Z</dcterms:created>
  <dcterms:modified xsi:type="dcterms:W3CDTF">2025-01-31T19:22:44Z</dcterms:modified>
</cp:coreProperties>
</file>