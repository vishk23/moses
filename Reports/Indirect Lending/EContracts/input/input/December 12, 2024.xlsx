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DB25D37F-1059-4CE4-B131-9364AC3E3987}" xr6:coauthVersionLast="47" xr6:coauthVersionMax="47" xr10:uidLastSave="{00000000-0000-0000-0000-000000000000}"/>
  <bookViews>
    <workbookView xWindow="32730" yWindow="615" windowWidth="22125" windowHeight="1414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F18" i="2"/>
  <c r="E18" i="2"/>
  <c r="D18" i="2"/>
  <c r="H13" i="1"/>
</calcChain>
</file>

<file path=xl/sharedStrings.xml><?xml version="1.0" encoding="utf-8"?>
<sst xmlns="http://schemas.openxmlformats.org/spreadsheetml/2006/main" count="119" uniqueCount="72">
  <si>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</si>
  <si>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</si>
  <si>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</si>
  <si>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</si>
  <si>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</si>
  <si>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</si>
  <si>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</si>
  <si>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</si>
  <si>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</si>
  <si>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</si>
  <si>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</si>
  <si>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</si>
  <si>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</si>
  <si>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</si>
  <si>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</si>
  <si>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</si>
  <si>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</si>
  <si>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SMITH, COREY</t>
  </si>
  <si>
    <t>Tasca Automotive Group Rt 6 One Inc</t>
  </si>
  <si>
    <t>Marlene Braganca</t>
  </si>
  <si>
    <t>CAWMITH1285@GMAIL.COM</t>
  </si>
  <si>
    <t>Smith</t>
  </si>
  <si>
    <t>CONNOR, STEPHAN</t>
  </si>
  <si>
    <t>T F Murphy Enterprises Inc</t>
  </si>
  <si>
    <t>stephanconnor@gmail.com</t>
  </si>
  <si>
    <t>Loessel</t>
  </si>
  <si>
    <t>CONNOR GUITARS, INC.</t>
  </si>
  <si>
    <t>RICCI, LIBERATO</t>
  </si>
  <si>
    <t>Herb Chambers Cadillac Inc</t>
  </si>
  <si>
    <t>Rachel Gorham</t>
  </si>
  <si>
    <t>ROSSI</t>
  </si>
  <si>
    <t>151127406</t>
  </si>
  <si>
    <t>DealerTrack</t>
  </si>
  <si>
    <t>Paper</t>
  </si>
  <si>
    <t>SAWKA, KIMBERLEE</t>
  </si>
  <si>
    <t>Infiniti of Norwood</t>
  </si>
  <si>
    <t>KIMSWAKA@YAHOO.COM</t>
  </si>
  <si>
    <t>OUELLET</t>
  </si>
  <si>
    <t>PUGSLEY, CANDICE</t>
  </si>
  <si>
    <t>Colonial Ford Inc</t>
  </si>
  <si>
    <t>CPUGS1313@COMCAST.NET</t>
  </si>
  <si>
    <t>GENSON</t>
  </si>
  <si>
    <t>CHARRON, DONALD</t>
  </si>
  <si>
    <t>Tasca Ford</t>
  </si>
  <si>
    <t>BROUSSEAU</t>
  </si>
  <si>
    <t>151127539</t>
  </si>
  <si>
    <t>MCKENNA, TERENCE</t>
  </si>
  <si>
    <t>PALMER, HELEN</t>
  </si>
  <si>
    <t>Volvo of Tiverton</t>
  </si>
  <si>
    <t>TERENCEMCKENNA17@GMAIL.COM</t>
  </si>
  <si>
    <t>PALMERH10@GMAIL.COM</t>
  </si>
  <si>
    <t>HANNON</t>
  </si>
  <si>
    <t>FELLOWS</t>
  </si>
  <si>
    <t># 7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</si>
  <si>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</si>
  <si>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</si>
  <si>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</si>
  <si>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</si>
  <si>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</si>
  <si>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</si>
  <si>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</si>
  <si>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Funding Worksheet - Signoff Version</t>
  </si>
  <si>
    <t># 2</t>
  </si>
  <si>
    <t>Original Notes Delivered</t>
  </si>
  <si>
    <t>Delivered by:</t>
  </si>
  <si>
    <t>Received by:</t>
  </si>
  <si>
    <t>Date Signed:</t>
  </si>
  <si>
    <t>151127315 E</t>
  </si>
  <si>
    <t>151127323 E</t>
  </si>
  <si>
    <t>151127365 E</t>
  </si>
  <si>
    <t>151127513 E</t>
  </si>
  <si>
    <t>151127521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</si>
</sst>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7" fontId="1" fillId="0" borderId="0" xfId="0" applyNumberFormat="1" applyFont="1"/>
    <xf numFmtId="7" fontId="3" fillId="0" borderId="0" xfId="0" applyNumberFormat="1" applyFont="1"/>
    <xf numFmtId="0" fontId="2" fillId="0" borderId="0" xfId="0" applyFont="1"/>
    <xf numFmtId="7" fontId="2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/>
    <xf numFmtId="0" fontId="0" fillId="0" borderId="1" xfId="0" applyBorder="1"/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/>
    <xf numFmtId="164" fontId="3" fillId="0" borderId="0" xfId="0" applyNumberFormat="1" applyFont="1" applyAlignment="1">
      <alignment horizontal="right"/>
    </xf>
    <xf numFmtId="0" fontId="3" fillId="0" borderId="0" xfId="0" applyFont="1" applyAlignment="1"/>
    <xf numFmtId="0" fontId="3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4:L13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55BA9C-A545-4C62-9955-26C2140E3460}" name="Table_13" displayName="Table_13" ref="A3:H18" headerRowDxfId="17" dataDxfId="15" totalsRowDxfId="16">
  <tableColumns count="8">
    <tableColumn id="1" xr3:uid="{7BF6E958-3666-4EC4-9F55-7E96072E7DC0}" name="Dealer Name" dataDxfId="25"/>
    <tableColumn id="8" xr3:uid="{B3453B72-9B67-44E3-B55D-4020BBE38CE5}" name="Column2" dataDxfId="24"/>
    <tableColumn id="2" xr3:uid="{7D368456-F1B7-44D5-8CF5-087C70364FDD}" name="Funded by" dataDxfId="23"/>
    <tableColumn id="3" xr3:uid="{E0CAB815-A78D-4BA1-9CED-76AA9D223BFE}" name="Dealer Flat" dataDxfId="22"/>
    <tableColumn id="4" xr3:uid="{C20AFA43-5278-4B1B-80F2-8F24EBEB9355}" name="Dealer Split" dataDxfId="21"/>
    <tableColumn id="5" xr3:uid="{7B7EE858-57CD-4758-9829-8392B7E3A72B}" name="Net to Dealer" dataDxfId="20"/>
    <tableColumn id="7" xr3:uid="{9CF61C11-47E9-4E60-9D4D-7F38AB220D6C}" name="Column1" dataDxfId="19"/>
    <tableColumn id="6" xr3:uid="{F3A7BA08-5871-4270-8394-EA8825455A4C}" name="Contracted Amount Financed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0877C6-2CAD-4FC8-B48D-10444B60EA51}" name="Table_14" displayName="Table_14" ref="A4:F7">
  <tableColumns count="6">
    <tableColumn id="1" xr3:uid="{EF2BCC99-0C04-4F21-B580-C5D8A4F4CF61}" name="Account Number"/>
    <tableColumn id="2" xr3:uid="{479B2C5D-D737-4297-AB92-DA5012F3F7E8}" name="Contract Type"/>
    <tableColumn id="3" xr3:uid="{6749CAF9-3598-439F-94E5-8D7DFC432EA3}" name="Applicant Name"/>
    <tableColumn id="4" xr3:uid="{533975BC-99CF-4416-8A50-42B3650DA532}" name="Co-Applicant Name"/>
    <tableColumn id="5" xr3:uid="{38BD02F7-BB1A-49BB-8A55-08D455635AB0}" name="Dealer Name"/>
    <tableColumn id="6" xr3:uid="{98F744A7-701D-4B23-AE7A-FB23A646D131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"/>
  <sheetViews>
    <sheetView tabSelected="1" workbookViewId="0">
      <pane ySplit="4" topLeftCell="A5" activePane="bottomLeft" state="frozen"/>
      <selection pane="bottomLeft" activeCell="F19" sqref="F19"/>
    </sheetView>
  </sheetViews>
  <sheetFormatPr defaultRowHeight="15.75" x14ac:dyDescent="0.25"/>
  <cols>
    <col min="1" max="1" width="13" style="3" customWidth="1"/>
    <col min="2" max="2" width="12.140625" style="3" bestFit="1" customWidth="1"/>
    <col min="3" max="3" width="11.85546875" style="3" customWidth="1"/>
    <col min="4" max="4" width="20" style="3" bestFit="1" customWidth="1"/>
    <col min="5" max="5" width="18.7109375" style="3" bestFit="1" customWidth="1"/>
    <col min="6" max="6" width="29.85546875" style="3" customWidth="1"/>
    <col min="7" max="7" width="17.7109375" style="3" bestFit="1" customWidth="1"/>
    <col min="8" max="8" width="15.140625" style="3" customWidth="1"/>
    <col min="9" max="9" width="33.7109375" style="3" bestFit="1" customWidth="1"/>
    <col min="10" max="10" width="22" style="3" customWidth="1"/>
    <col min="11" max="11" width="12.140625" style="3" customWidth="1"/>
    <col min="12" max="12" width="12.85546875" style="3" bestFit="1" customWidth="1"/>
    <col min="13" max="16384" width="9.140625" style="3"/>
  </cols>
  <sheetData>
    <row r="1" spans="1:12" s="17" customFormat="1" x14ac:dyDescent="0.25">
      <c r="A1" s="16">
        <v>45638</v>
      </c>
      <c r="K1" s="18">
        <v>45638</v>
      </c>
      <c r="L1" s="19"/>
    </row>
    <row r="2" spans="1:12" s="17" customFormat="1" x14ac:dyDescent="0.25">
      <c r="A2" s="16"/>
      <c r="K2" s="20"/>
      <c r="L2" s="21"/>
    </row>
    <row r="3" spans="1:12" s="17" customFormat="1" x14ac:dyDescent="0.25">
      <c r="A3" s="5" t="s">
        <v>0</v>
      </c>
      <c r="B3" s="22"/>
      <c r="C3" s="22"/>
      <c r="D3" s="22"/>
      <c r="E3" s="22"/>
      <c r="F3" s="22"/>
      <c r="G3" s="7" t="s">
        <v>1</v>
      </c>
      <c r="H3" s="22"/>
      <c r="I3" s="22"/>
      <c r="J3" s="22"/>
      <c r="K3" s="22"/>
      <c r="L3" s="22"/>
    </row>
    <row r="4" spans="1:12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s="3" customFormat="1" ht="33" customHeight="1" x14ac:dyDescent="0.25">
      <c r="A5" s="3" t="s">
        <v>67</v>
      </c>
      <c r="B5" s="3" t="s">
        <v>15</v>
      </c>
      <c r="C5" s="3" t="s">
        <v>16</v>
      </c>
      <c r="D5" s="3" t="s">
        <v>17</v>
      </c>
      <c r="F5" s="3" t="s">
        <v>18</v>
      </c>
      <c r="G5" s="3" t="s">
        <v>19</v>
      </c>
      <c r="H5" s="8">
        <v>19190.830000000002</v>
      </c>
      <c r="I5" s="3" t="s">
        <v>20</v>
      </c>
      <c r="K5" s="3" t="s">
        <v>21</v>
      </c>
    </row>
    <row r="6" spans="1:12" s="3" customFormat="1" ht="33" customHeight="1" x14ac:dyDescent="0.25">
      <c r="A6" s="3" t="s">
        <v>68</v>
      </c>
      <c r="B6" s="3" t="s">
        <v>15</v>
      </c>
      <c r="C6" s="3" t="s">
        <v>16</v>
      </c>
      <c r="D6" s="3" t="s">
        <v>22</v>
      </c>
      <c r="E6" s="23" t="s">
        <v>26</v>
      </c>
      <c r="F6" s="3" t="s">
        <v>23</v>
      </c>
      <c r="G6" s="3" t="s">
        <v>19</v>
      </c>
      <c r="H6" s="8">
        <v>32684.31</v>
      </c>
      <c r="I6" s="3" t="s">
        <v>24</v>
      </c>
      <c r="K6" s="3" t="s">
        <v>25</v>
      </c>
    </row>
    <row r="7" spans="1:12" s="3" customFormat="1" ht="33" customHeight="1" x14ac:dyDescent="0.25">
      <c r="A7" s="3" t="s">
        <v>69</v>
      </c>
      <c r="B7" s="3" t="s">
        <v>15</v>
      </c>
      <c r="C7" s="3" t="s">
        <v>16</v>
      </c>
      <c r="D7" s="3" t="s">
        <v>27</v>
      </c>
      <c r="F7" s="3" t="s">
        <v>28</v>
      </c>
      <c r="G7" s="3" t="s">
        <v>29</v>
      </c>
      <c r="H7" s="8">
        <v>97581.85</v>
      </c>
      <c r="K7" s="3" t="s">
        <v>30</v>
      </c>
    </row>
    <row r="8" spans="1:12" s="3" customFormat="1" ht="33" customHeight="1" x14ac:dyDescent="0.25">
      <c r="A8" s="3" t="s">
        <v>31</v>
      </c>
      <c r="B8" s="3" t="s">
        <v>32</v>
      </c>
      <c r="C8" s="3" t="s">
        <v>33</v>
      </c>
      <c r="D8" s="3" t="s">
        <v>34</v>
      </c>
      <c r="F8" s="3" t="s">
        <v>35</v>
      </c>
      <c r="G8" s="3" t="s">
        <v>29</v>
      </c>
      <c r="H8" s="8">
        <v>37752.5</v>
      </c>
      <c r="I8" s="3" t="s">
        <v>36</v>
      </c>
      <c r="K8" s="3" t="s">
        <v>37</v>
      </c>
    </row>
    <row r="9" spans="1:12" s="3" customFormat="1" ht="33" customHeight="1" x14ac:dyDescent="0.25">
      <c r="A9" s="3" t="s">
        <v>70</v>
      </c>
      <c r="B9" s="3" t="s">
        <v>15</v>
      </c>
      <c r="C9" s="3" t="s">
        <v>16</v>
      </c>
      <c r="D9" s="3" t="s">
        <v>38</v>
      </c>
      <c r="F9" s="3" t="s">
        <v>39</v>
      </c>
      <c r="G9" s="3" t="s">
        <v>29</v>
      </c>
      <c r="H9" s="8">
        <v>28565.94</v>
      </c>
      <c r="I9" s="3" t="s">
        <v>40</v>
      </c>
      <c r="K9" s="3" t="s">
        <v>41</v>
      </c>
    </row>
    <row r="10" spans="1:12" s="3" customFormat="1" ht="33" customHeight="1" x14ac:dyDescent="0.25">
      <c r="A10" s="3" t="s">
        <v>71</v>
      </c>
      <c r="B10" s="3" t="s">
        <v>15</v>
      </c>
      <c r="C10" s="3" t="s">
        <v>16</v>
      </c>
      <c r="D10" s="3" t="s">
        <v>42</v>
      </c>
      <c r="F10" s="3" t="s">
        <v>43</v>
      </c>
      <c r="G10" s="3" t="s">
        <v>29</v>
      </c>
      <c r="H10" s="8">
        <v>46715.33</v>
      </c>
      <c r="K10" s="3" t="s">
        <v>44</v>
      </c>
    </row>
    <row r="11" spans="1:12" s="3" customFormat="1" ht="33" customHeight="1" x14ac:dyDescent="0.25">
      <c r="A11" s="3" t="s">
        <v>45</v>
      </c>
      <c r="B11" s="3" t="s">
        <v>32</v>
      </c>
      <c r="C11" s="3" t="s">
        <v>33</v>
      </c>
      <c r="D11" s="3" t="s">
        <v>46</v>
      </c>
      <c r="E11" s="3" t="s">
        <v>47</v>
      </c>
      <c r="F11" s="3" t="s">
        <v>48</v>
      </c>
      <c r="G11" s="3" t="s">
        <v>29</v>
      </c>
      <c r="H11" s="8">
        <v>25368.26</v>
      </c>
      <c r="I11" s="3" t="s">
        <v>49</v>
      </c>
      <c r="J11" s="3" t="s">
        <v>50</v>
      </c>
      <c r="K11" s="3" t="s">
        <v>51</v>
      </c>
      <c r="L11" s="3" t="s">
        <v>52</v>
      </c>
    </row>
    <row r="12" spans="1:12" s="3" customFormat="1" ht="19.5" customHeight="1" x14ac:dyDescent="0.25">
      <c r="H12" s="8"/>
    </row>
    <row r="13" spans="1:12" s="3" customFormat="1" ht="14.25" customHeight="1" x14ac:dyDescent="0.25">
      <c r="A13" s="10"/>
      <c r="B13" s="10"/>
      <c r="C13" s="10"/>
      <c r="D13" s="10" t="s">
        <v>53</v>
      </c>
      <c r="E13" s="10"/>
      <c r="F13" s="10"/>
      <c r="G13" s="10"/>
      <c r="H13" s="11">
        <f>SUM(H5:H11)</f>
        <v>287859.02</v>
      </c>
      <c r="I13" s="10"/>
      <c r="J13" s="10"/>
      <c r="K13" s="10"/>
      <c r="L13" s="10"/>
    </row>
  </sheetData>
  <mergeCells count="3">
    <mergeCell ref="A3:F3"/>
    <mergeCell ref="G3:L3"/>
    <mergeCell ref="K1:L1"/>
  </mergeCells>
  <pageMargins left="0.7" right="0" top="0.75" bottom="0.75" header="0.3" footer="0.3"/>
  <pageSetup paperSize="5" scale="7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B630-8D7E-4E48-95F9-32A9ADB8AD22}">
  <sheetPr>
    <pageSetUpPr fitToPage="1"/>
  </sheetPr>
  <dimension ref="A1:H18"/>
  <sheetViews>
    <sheetView workbookViewId="0">
      <selection activeCell="F18" sqref="F18"/>
    </sheetView>
  </sheetViews>
  <sheetFormatPr defaultRowHeight="15.75" x14ac:dyDescent="0.25"/>
  <cols>
    <col min="1" max="1" width="17.7109375" style="3" customWidth="1"/>
    <col min="2" max="2" width="11.5703125" style="3" customWidth="1"/>
    <col min="3" max="3" width="17.42578125" style="3" customWidth="1"/>
    <col min="4" max="4" width="14.85546875" style="3" customWidth="1"/>
    <col min="5" max="5" width="16.42578125" style="3" customWidth="1"/>
    <col min="6" max="6" width="13.140625" style="3" customWidth="1"/>
    <col min="7" max="7" width="7.42578125" style="3" customWidth="1"/>
    <col min="8" max="8" width="21" style="3" customWidth="1"/>
    <col min="9" max="16384" width="9.140625" style="3"/>
  </cols>
  <sheetData>
    <row r="1" spans="1:8" x14ac:dyDescent="0.25">
      <c r="E1" s="4"/>
      <c r="H1" s="4">
        <v>45638.999988425923</v>
      </c>
    </row>
    <row r="2" spans="1:8" x14ac:dyDescent="0.25">
      <c r="A2" s="5" t="s">
        <v>0</v>
      </c>
      <c r="B2" s="5"/>
      <c r="C2" s="6"/>
      <c r="D2" s="6"/>
      <c r="E2" s="7" t="s">
        <v>54</v>
      </c>
      <c r="F2" s="6"/>
      <c r="G2" s="6"/>
      <c r="H2" s="6"/>
    </row>
    <row r="3" spans="1:8" x14ac:dyDescent="0.25">
      <c r="A3" s="3" t="s">
        <v>7</v>
      </c>
      <c r="B3" s="3" t="s">
        <v>60</v>
      </c>
      <c r="C3" s="3" t="s">
        <v>8</v>
      </c>
      <c r="D3" s="3" t="s">
        <v>55</v>
      </c>
      <c r="E3" s="3" t="s">
        <v>56</v>
      </c>
      <c r="F3" s="3" t="s">
        <v>57</v>
      </c>
      <c r="G3" s="3" t="s">
        <v>59</v>
      </c>
      <c r="H3" s="3" t="s">
        <v>58</v>
      </c>
    </row>
    <row r="4" spans="1:8" ht="27" customHeight="1" x14ac:dyDescent="0.25">
      <c r="A4" s="3" t="s">
        <v>39</v>
      </c>
      <c r="C4" s="3" t="s">
        <v>29</v>
      </c>
      <c r="D4" s="8">
        <v>500</v>
      </c>
      <c r="E4" s="8">
        <v>0</v>
      </c>
      <c r="F4" s="9">
        <v>28490.94</v>
      </c>
      <c r="G4" s="8"/>
      <c r="H4" s="8">
        <v>28565.94</v>
      </c>
    </row>
    <row r="5" spans="1:8" ht="27" customHeight="1" x14ac:dyDescent="0.25">
      <c r="D5" s="8"/>
      <c r="E5" s="8"/>
      <c r="F5" s="9"/>
      <c r="G5" s="8"/>
      <c r="H5" s="8"/>
    </row>
    <row r="6" spans="1:8" ht="27" customHeight="1" x14ac:dyDescent="0.25">
      <c r="A6" s="3" t="s">
        <v>28</v>
      </c>
      <c r="C6" s="3" t="s">
        <v>29</v>
      </c>
      <c r="D6" s="8">
        <v>1200</v>
      </c>
      <c r="E6" s="8">
        <v>0</v>
      </c>
      <c r="F6" s="9">
        <v>97506.85</v>
      </c>
      <c r="G6" s="8"/>
      <c r="H6" s="8">
        <v>97581.85</v>
      </c>
    </row>
    <row r="7" spans="1:8" ht="27" customHeight="1" x14ac:dyDescent="0.25">
      <c r="D7" s="8"/>
      <c r="E7" s="8"/>
      <c r="F7" s="9"/>
      <c r="G7" s="8"/>
      <c r="H7" s="8"/>
    </row>
    <row r="8" spans="1:8" ht="27" customHeight="1" x14ac:dyDescent="0.25">
      <c r="A8" s="3" t="s">
        <v>35</v>
      </c>
      <c r="C8" s="3" t="s">
        <v>29</v>
      </c>
      <c r="D8" s="8">
        <v>650</v>
      </c>
      <c r="E8" s="8">
        <v>0</v>
      </c>
      <c r="F8" s="9">
        <v>37677.5</v>
      </c>
      <c r="G8" s="8"/>
      <c r="H8" s="8">
        <v>37752.5</v>
      </c>
    </row>
    <row r="9" spans="1:8" ht="27" customHeight="1" x14ac:dyDescent="0.25">
      <c r="D9" s="8"/>
      <c r="E9" s="8"/>
      <c r="F9" s="9"/>
      <c r="G9" s="8"/>
      <c r="H9" s="8"/>
    </row>
    <row r="10" spans="1:8" ht="27" customHeight="1" x14ac:dyDescent="0.25">
      <c r="A10" s="3" t="s">
        <v>23</v>
      </c>
      <c r="C10" s="3" t="s">
        <v>19</v>
      </c>
      <c r="D10" s="8">
        <v>600</v>
      </c>
      <c r="E10" s="8">
        <v>0</v>
      </c>
      <c r="F10" s="9">
        <v>32609.31</v>
      </c>
      <c r="G10" s="8"/>
      <c r="H10" s="8">
        <v>32684.31</v>
      </c>
    </row>
    <row r="11" spans="1:8" ht="27" customHeight="1" x14ac:dyDescent="0.25">
      <c r="D11" s="8"/>
      <c r="E11" s="8"/>
      <c r="F11" s="9"/>
      <c r="G11" s="8"/>
      <c r="H11" s="8"/>
    </row>
    <row r="12" spans="1:8" ht="27" customHeight="1" x14ac:dyDescent="0.25">
      <c r="A12" s="3" t="s">
        <v>18</v>
      </c>
      <c r="C12" s="3" t="s">
        <v>19</v>
      </c>
      <c r="D12" s="8">
        <v>350</v>
      </c>
      <c r="E12" s="8">
        <v>0</v>
      </c>
      <c r="F12" s="9">
        <v>19115.830000000002</v>
      </c>
      <c r="G12" s="8"/>
      <c r="H12" s="8">
        <v>19190.830000000002</v>
      </c>
    </row>
    <row r="13" spans="1:8" ht="27" customHeight="1" x14ac:dyDescent="0.25">
      <c r="D13" s="8"/>
      <c r="E13" s="8"/>
      <c r="F13" s="9"/>
      <c r="G13" s="8"/>
      <c r="H13" s="8"/>
    </row>
    <row r="14" spans="1:8" ht="27" customHeight="1" x14ac:dyDescent="0.25">
      <c r="A14" s="3" t="s">
        <v>43</v>
      </c>
      <c r="C14" s="3" t="s">
        <v>29</v>
      </c>
      <c r="D14" s="8">
        <v>800</v>
      </c>
      <c r="E14" s="8">
        <v>0</v>
      </c>
      <c r="F14" s="9">
        <v>46640.33</v>
      </c>
      <c r="G14" s="8"/>
      <c r="H14" s="8">
        <v>46715.33</v>
      </c>
    </row>
    <row r="15" spans="1:8" ht="27" customHeight="1" x14ac:dyDescent="0.25">
      <c r="D15" s="8"/>
      <c r="E15" s="8"/>
      <c r="F15" s="9"/>
      <c r="G15" s="8"/>
      <c r="H15" s="8"/>
    </row>
    <row r="16" spans="1:8" ht="27" customHeight="1" x14ac:dyDescent="0.25">
      <c r="A16" s="3" t="s">
        <v>48</v>
      </c>
      <c r="C16" s="3" t="s">
        <v>29</v>
      </c>
      <c r="D16" s="8">
        <v>500</v>
      </c>
      <c r="E16" s="8">
        <v>0</v>
      </c>
      <c r="F16" s="9">
        <v>25293.26</v>
      </c>
      <c r="G16" s="8"/>
      <c r="H16" s="8">
        <v>25368.26</v>
      </c>
    </row>
    <row r="17" spans="1:8" ht="15.75" customHeight="1" x14ac:dyDescent="0.25">
      <c r="D17" s="8"/>
      <c r="E17" s="8"/>
      <c r="F17" s="8"/>
      <c r="G17" s="8"/>
      <c r="H17" s="8"/>
    </row>
    <row r="18" spans="1:8" x14ac:dyDescent="0.25">
      <c r="A18" s="10"/>
      <c r="B18" s="10"/>
      <c r="C18" s="10"/>
      <c r="D18" s="11">
        <f>SUM(D4:D16)</f>
        <v>4600</v>
      </c>
      <c r="E18" s="11">
        <f>SUM(E4:E16)</f>
        <v>0</v>
      </c>
      <c r="F18" s="11">
        <f>SUM(F4:F16)</f>
        <v>287334.02</v>
      </c>
      <c r="G18" s="11"/>
      <c r="H18" s="11">
        <f>SUM(H4:H16)</f>
        <v>287859.02</v>
      </c>
    </row>
  </sheetData>
  <mergeCells count="2">
    <mergeCell ref="A2:D2"/>
    <mergeCell ref="E2:H2"/>
  </mergeCells>
  <pageMargins left="0.7" right="0.7" top="0.75" bottom="0.75" header="0.3" footer="0.3"/>
  <pageSetup scale="95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7E00-7A16-495A-A9CD-DD580D2BDD4A}">
  <sheetPr>
    <pageSetUpPr fitToPage="1"/>
  </sheetPr>
  <dimension ref="A2:F23"/>
  <sheetViews>
    <sheetView workbookViewId="0">
      <selection activeCell="J14" sqref="J13:J14"/>
    </sheetView>
  </sheetViews>
  <sheetFormatPr defaultRowHeight="15" x14ac:dyDescent="0.25"/>
  <cols>
    <col min="1" max="1" width="11.7109375" customWidth="1"/>
    <col min="3" max="3" width="15.140625" customWidth="1"/>
    <col min="4" max="4" width="17" customWidth="1"/>
    <col min="5" max="5" width="14.7109375" customWidth="1"/>
    <col min="6" max="6" width="18.140625" customWidth="1"/>
  </cols>
  <sheetData>
    <row r="2" spans="1:6" ht="24.95" customHeight="1" x14ac:dyDescent="0.25">
      <c r="A2" t="s">
        <v>63</v>
      </c>
      <c r="D2" s="1"/>
      <c r="F2" s="1">
        <v>45638.999988425923</v>
      </c>
    </row>
    <row r="3" spans="1:6" ht="24.95" customHeight="1" x14ac:dyDescent="0.25">
      <c r="A3" s="12" t="s">
        <v>0</v>
      </c>
      <c r="B3" s="2"/>
      <c r="C3" s="2"/>
      <c r="D3" s="13" t="s">
        <v>61</v>
      </c>
      <c r="E3" s="2"/>
      <c r="F3" s="2"/>
    </row>
    <row r="4" spans="1:6" ht="24.95" customHeight="1" x14ac:dyDescent="0.25">
      <c r="A4" t="s">
        <v>2</v>
      </c>
      <c r="B4" t="s">
        <v>4</v>
      </c>
      <c r="C4" t="s">
        <v>5</v>
      </c>
      <c r="D4" t="s">
        <v>6</v>
      </c>
      <c r="E4" t="s">
        <v>7</v>
      </c>
      <c r="F4" t="s">
        <v>14</v>
      </c>
    </row>
    <row r="5" spans="1:6" ht="24.95" customHeight="1" x14ac:dyDescent="0.25">
      <c r="A5" t="s">
        <v>31</v>
      </c>
      <c r="B5" t="s">
        <v>33</v>
      </c>
      <c r="C5" t="s">
        <v>34</v>
      </c>
      <c r="E5" t="s">
        <v>35</v>
      </c>
    </row>
    <row r="6" spans="1:6" ht="24.95" customHeight="1" x14ac:dyDescent="0.25">
      <c r="A6" t="s">
        <v>45</v>
      </c>
      <c r="B6" t="s">
        <v>33</v>
      </c>
      <c r="C6" t="s">
        <v>46</v>
      </c>
      <c r="D6" t="s">
        <v>47</v>
      </c>
      <c r="E6" t="s">
        <v>48</v>
      </c>
    </row>
    <row r="7" spans="1:6" ht="24.95" customHeight="1" x14ac:dyDescent="0.25">
      <c r="A7" s="14"/>
      <c r="B7" s="14"/>
      <c r="C7" s="14" t="s">
        <v>62</v>
      </c>
      <c r="D7" s="14"/>
      <c r="E7" s="14"/>
      <c r="F7" s="14"/>
    </row>
    <row r="13" spans="1:6" x14ac:dyDescent="0.25">
      <c r="A13" t="s">
        <v>64</v>
      </c>
      <c r="B13" s="15"/>
      <c r="C13" s="15"/>
      <c r="D13" s="15"/>
      <c r="E13" s="15"/>
    </row>
    <row r="18" spans="1:5" x14ac:dyDescent="0.25">
      <c r="A18" t="s">
        <v>65</v>
      </c>
      <c r="B18" s="15"/>
      <c r="C18" s="15"/>
      <c r="D18" s="15"/>
      <c r="E18" s="15"/>
    </row>
    <row r="23" spans="1:5" x14ac:dyDescent="0.25">
      <c r="A23" t="s">
        <v>66</v>
      </c>
      <c r="B23" s="15"/>
      <c r="C23" s="15"/>
    </row>
  </sheetData>
  <mergeCells count="2">
    <mergeCell ref="A3:C3"/>
    <mergeCell ref="D3:F3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2024-12-12T19:35:22Z</cp:lastPrinted>
  <dcterms:created xsi:type="dcterms:W3CDTF">2024-12-12T19:23:08Z</dcterms:created>
  <dcterms:modified xsi:type="dcterms:W3CDTF">2024-12-12T19:54:00Z</dcterms:modified>
</cp:coreProperties>
</file>