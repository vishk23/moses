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545342ED-FD76-441B-AF2E-8EE1D987DF16}" xr6:coauthVersionLast="47" xr6:coauthVersionMax="47" xr10:uidLastSave="{00000000-0000-0000-0000-000000000000}"/>
  <bookViews>
    <workbookView xWindow="30675" yWindow="450" windowWidth="22575" windowHeight="12210" xr2:uid="{00000000-000D-0000-FFFF-FFFF00000000}"/>
  </bookViews>
  <sheets>
    <sheet name="Funding Worksheet - Folder Vers" sheetId="4" r:id="rId1"/>
    <sheet name="Funding Worksheet - ACH" sheetId="2" r:id="rId2"/>
    <sheet name="Original Note Log" sheetId="3" r:id="rId3"/>
  </sheets>
  <definedNames>
    <definedName name="_xlnm.Print_Area" localSheetId="2">'Original Note Log'!$A$1:$E$24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4" l="1"/>
  <c r="G8" i="2"/>
  <c r="H16" i="2"/>
  <c r="F16" i="2"/>
  <c r="E16" i="2"/>
  <c r="D16" i="2"/>
</calcChain>
</file>

<file path=xl/sharedStrings.xml><?xml version="1.0" encoding="utf-8"?>
<sst xmlns="http://schemas.openxmlformats.org/spreadsheetml/2006/main" count="112" uniqueCount="69">
  <si>
    <t>Bristol County Savings Bank</t>
  </si>
  <si>
    <t>Applicant Name</t>
  </si>
  <si>
    <t>Co-Applicant Name</t>
  </si>
  <si>
    <t>Portal</t>
  </si>
  <si>
    <t>Dealer Name</t>
  </si>
  <si>
    <t>Funded by</t>
  </si>
  <si>
    <t>Dealer Flat</t>
  </si>
  <si>
    <t>Dealer Split</t>
  </si>
  <si>
    <t>Net to Dealer</t>
  </si>
  <si>
    <t>GARDNER, JOSEPH</t>
  </si>
  <si>
    <t>DealerTrack</t>
  </si>
  <si>
    <t>Robertson's GMC Truck, Inc</t>
  </si>
  <si>
    <t>Neli Oliveira</t>
  </si>
  <si>
    <t>508REALEST8LLC</t>
  </si>
  <si>
    <t>E Contract</t>
  </si>
  <si>
    <t>HAMMAR, LUCAS</t>
  </si>
  <si>
    <t>Route One</t>
  </si>
  <si>
    <t>Mathieu Ford Sales, Inc</t>
  </si>
  <si>
    <t>Rachel Gorham</t>
  </si>
  <si>
    <t>WHITNEY, DONALD</t>
  </si>
  <si>
    <t>WHITNEY, MARGARET</t>
  </si>
  <si>
    <t>CENNAMI, SCOTT</t>
  </si>
  <si>
    <t>Hylan Auto Sales</t>
  </si>
  <si>
    <t>Marlene Braganca</t>
  </si>
  <si>
    <t>SCOTT'S TRUCK REPAIR, INC</t>
  </si>
  <si>
    <t>Paper</t>
  </si>
  <si>
    <t>151132603</t>
  </si>
  <si>
    <t>CLIFFORD, ADAM</t>
  </si>
  <si>
    <t>AutoMax Preowned(Framingham)</t>
  </si>
  <si>
    <t>IVES, TIMOTHY</t>
  </si>
  <si>
    <t>Metro Honda</t>
  </si>
  <si>
    <t>HARRINGTON, JOHN</t>
  </si>
  <si>
    <t># 7</t>
  </si>
  <si>
    <t>Funding Worksheet - ACH Version</t>
  </si>
  <si>
    <t>Contracted Amount Financed</t>
  </si>
  <si>
    <t>Funding Worksheet - Signoff Version</t>
  </si>
  <si>
    <t>Account Number</t>
  </si>
  <si>
    <t>Contract Type</t>
  </si>
  <si>
    <t># 1</t>
  </si>
  <si>
    <t>Original Notes Delivered</t>
  </si>
  <si>
    <t>Delivered by:</t>
  </si>
  <si>
    <t>Received by:</t>
  </si>
  <si>
    <t xml:space="preserve">Date Signed: </t>
  </si>
  <si>
    <t>Column1</t>
  </si>
  <si>
    <t>Column2</t>
  </si>
  <si>
    <t>NE -AutoMax Preowned(Framingham)</t>
  </si>
  <si>
    <t>Funding Worksheet - Folder Version</t>
  </si>
  <si>
    <t>Amount Financed</t>
  </si>
  <si>
    <t>Applicant Email</t>
  </si>
  <si>
    <t>Co-Applicant Email</t>
  </si>
  <si>
    <t>App MMN</t>
  </si>
  <si>
    <t>Co-App MMN</t>
  </si>
  <si>
    <t>MOORE</t>
  </si>
  <si>
    <t>ldhammar34@gmail.com</t>
  </si>
  <si>
    <t>DUNNE</t>
  </si>
  <si>
    <t>SCOTT3406@MSN.COM</t>
  </si>
  <si>
    <t>McGrath</t>
  </si>
  <si>
    <t>CUTLER</t>
  </si>
  <si>
    <t>SMITH</t>
  </si>
  <si>
    <t>COURTNEY</t>
  </si>
  <si>
    <t>Livermore</t>
  </si>
  <si>
    <t>BLAKE@508REALEST8.COM</t>
  </si>
  <si>
    <t>GOULET</t>
  </si>
  <si>
    <t>151132570 E</t>
  </si>
  <si>
    <t>151132588 E</t>
  </si>
  <si>
    <t>151132611 E</t>
  </si>
  <si>
    <t>151132637 E</t>
  </si>
  <si>
    <t>151132653 E</t>
  </si>
  <si>
    <t>151132679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</si>
</sst>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/>
    <xf numFmtId="14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/>
    <xf numFmtId="14" fontId="0" fillId="0" borderId="0" xfId="0" applyNumberForma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3" fillId="0" borderId="0" xfId="0" applyFont="1"/>
    <xf numFmtId="7" fontId="3" fillId="0" borderId="0" xfId="0" applyNumberFormat="1" applyFon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6B5F0C-5A56-4138-A115-B80C52C15374}" name="Table_18" displayName="Table_18" ref="A3:L11">
  <tableColumns count="12">
    <tableColumn id="1" xr3:uid="{196EF248-CD81-40BC-ACF0-EE6E06243772}" name="Account Number"/>
    <tableColumn id="2" xr3:uid="{6648C457-AA37-46DE-A580-51A636FDE939}" name="Portal"/>
    <tableColumn id="3" xr3:uid="{818D3203-0606-40BB-92B2-8DF6C0CE802D}" name="Contract Type"/>
    <tableColumn id="4" xr3:uid="{EA99E2B3-88B8-4CCE-BFC9-B423C2872C5A}" name="Applicant Name"/>
    <tableColumn id="5" xr3:uid="{48D55836-3BBD-44B1-A9E4-7D834D1F90E2}" name="Co-Applicant Name"/>
    <tableColumn id="6" xr3:uid="{A6C85230-CADE-4576-B3DB-97E70AE694B9}" name="Dealer Name"/>
    <tableColumn id="7" xr3:uid="{85120699-6369-4756-9908-4D44144B69F5}" name="Funded by"/>
    <tableColumn id="8" xr3:uid="{D191085F-1A47-4C76-A443-B3C1F7EA4FDB}" name="Amount Financed"/>
    <tableColumn id="9" xr3:uid="{41E60A69-A707-47C3-A8C0-DCED0B6B948A}" name="Applicant Email"/>
    <tableColumn id="10" xr3:uid="{CDD4579E-D7BD-4456-9BA4-D6278C74D4B8}" name="Co-Applicant Email"/>
    <tableColumn id="11" xr3:uid="{8F60CD3E-07E6-46DF-97EE-AD0366583B06}" name="App MMN"/>
    <tableColumn id="12" xr3:uid="{BDEEB197-4C0D-4F2D-85DC-7D0452447E24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178284-BE41-4E95-BE34-235E09AA2092}" name="Table_14" displayName="Table_14" ref="A3:H16" headerRowDxfId="2" dataDxfId="0" totalsRowDxfId="1">
  <sortState xmlns:xlrd2="http://schemas.microsoft.com/office/spreadsheetml/2017/richdata2" ref="A4:H16">
    <sortCondition ref="A4:A16"/>
  </sortState>
  <tableColumns count="8">
    <tableColumn id="1" xr3:uid="{FA0E092C-4BD5-4F21-9E8E-A86FF65F182E}" name="Dealer Name" dataDxfId="10"/>
    <tableColumn id="8" xr3:uid="{B0C24C8E-8D26-414F-8C0B-545D289AD975}" name="Column2" dataDxfId="9"/>
    <tableColumn id="2" xr3:uid="{6E4CAE75-F66B-498C-B781-C475EC36252E}" name="Funded by" dataDxfId="8"/>
    <tableColumn id="3" xr3:uid="{84DF1985-6918-4263-9E3C-18691166E71D}" name="Dealer Flat" dataDxfId="7"/>
    <tableColumn id="4" xr3:uid="{69F3648D-0929-48DE-B32E-C9F01A45B53B}" name="Dealer Split" dataDxfId="6"/>
    <tableColumn id="5" xr3:uid="{0C75407D-ACBF-4AEB-B100-F3E9DF789D15}" name="Net to Dealer" dataDxfId="5"/>
    <tableColumn id="7" xr3:uid="{1BA86D4F-2514-4A93-8298-38E6A7D47F63}" name="Column1" dataDxfId="4"/>
    <tableColumn id="6" xr3:uid="{E787010F-C219-4A9B-813F-773113284FB4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643A02-E289-47C0-AD83-E2AFBDC3362B}" name="Table_16" displayName="Table_16" ref="A3:E5">
  <tableColumns count="5">
    <tableColumn id="1" xr3:uid="{BF761958-0C6C-4DD8-9DA0-05D7A1F35E71}" name="Account Number"/>
    <tableColumn id="2" xr3:uid="{F2E99D3E-5C8D-4352-BD71-94E142FB4AEE}" name="Contract Type"/>
    <tableColumn id="3" xr3:uid="{9AE70E68-78EB-4241-8F64-147D745B9469}" name="Applicant Name"/>
    <tableColumn id="4" xr3:uid="{C3364CC4-AA86-4E9B-B72E-8057A7F4F416}" name="Co-Applicant Name"/>
    <tableColumn id="5" xr3:uid="{6841B069-A118-42AB-9954-2F92E6C8062A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8179-8030-4F6F-AFD2-A71924563FAC}">
  <sheetPr>
    <pageSetUpPr fitToPage="1"/>
  </sheetPr>
  <dimension ref="A1:L11"/>
  <sheetViews>
    <sheetView tabSelected="1" workbookViewId="0">
      <selection activeCell="D14" sqref="D14"/>
    </sheetView>
  </sheetViews>
  <sheetFormatPr defaultRowHeight="15" x14ac:dyDescent="0.25"/>
  <cols>
    <col min="1" max="1" width="14" customWidth="1"/>
    <col min="2" max="2" width="13.28515625" customWidth="1"/>
    <col min="3" max="3" width="12.7109375" customWidth="1"/>
    <col min="4" max="4" width="20.140625" customWidth="1"/>
    <col min="5" max="5" width="25.42578125" customWidth="1"/>
    <col min="6" max="6" width="21.28515625" customWidth="1"/>
    <col min="7" max="7" width="16.85546875" customWidth="1"/>
    <col min="8" max="8" width="15.28515625" customWidth="1"/>
    <col min="9" max="9" width="20.28515625" customWidth="1"/>
    <col min="10" max="10" width="2.85546875" customWidth="1"/>
    <col min="11" max="11" width="11.28515625" customWidth="1"/>
    <col min="12" max="12" width="15" customWidth="1"/>
  </cols>
  <sheetData>
    <row r="1" spans="1:12" x14ac:dyDescent="0.25">
      <c r="A1" s="12">
        <v>45657</v>
      </c>
      <c r="K1" s="10">
        <v>45657</v>
      </c>
      <c r="L1" s="11"/>
    </row>
    <row r="2" spans="1:12" x14ac:dyDescent="0.25">
      <c r="A2" s="5" t="s">
        <v>0</v>
      </c>
      <c r="B2" s="6"/>
      <c r="C2" s="6"/>
      <c r="D2" s="6"/>
      <c r="E2" s="6"/>
      <c r="F2" s="6"/>
      <c r="G2" s="7" t="s">
        <v>46</v>
      </c>
      <c r="H2" s="6"/>
      <c r="I2" s="6"/>
      <c r="J2" s="6"/>
      <c r="K2" s="6"/>
      <c r="L2" s="6"/>
    </row>
    <row r="3" spans="1:12" ht="30" customHeight="1" x14ac:dyDescent="0.25">
      <c r="A3" t="s">
        <v>36</v>
      </c>
      <c r="B3" t="s">
        <v>3</v>
      </c>
      <c r="C3" t="s">
        <v>37</v>
      </c>
      <c r="D3" t="s">
        <v>1</v>
      </c>
      <c r="E3" t="s">
        <v>2</v>
      </c>
      <c r="F3" t="s">
        <v>4</v>
      </c>
      <c r="G3" t="s">
        <v>5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</row>
    <row r="4" spans="1:12" ht="30" customHeight="1" x14ac:dyDescent="0.25">
      <c r="A4" t="s">
        <v>63</v>
      </c>
      <c r="B4" t="s">
        <v>10</v>
      </c>
      <c r="C4" t="s">
        <v>14</v>
      </c>
      <c r="D4" t="s">
        <v>29</v>
      </c>
      <c r="F4" t="s">
        <v>30</v>
      </c>
      <c r="G4" t="s">
        <v>23</v>
      </c>
      <c r="H4" s="2">
        <v>27134.05</v>
      </c>
      <c r="K4" t="s">
        <v>52</v>
      </c>
    </row>
    <row r="5" spans="1:12" ht="30" customHeight="1" x14ac:dyDescent="0.25">
      <c r="A5" t="s">
        <v>64</v>
      </c>
      <c r="B5" t="s">
        <v>16</v>
      </c>
      <c r="C5" t="s">
        <v>14</v>
      </c>
      <c r="D5" t="s">
        <v>15</v>
      </c>
      <c r="F5" t="s">
        <v>17</v>
      </c>
      <c r="G5" t="s">
        <v>18</v>
      </c>
      <c r="H5" s="2">
        <v>34764.6</v>
      </c>
      <c r="I5" t="s">
        <v>53</v>
      </c>
      <c r="K5" t="s">
        <v>54</v>
      </c>
    </row>
    <row r="6" spans="1:12" ht="30" customHeight="1" x14ac:dyDescent="0.25">
      <c r="A6" t="s">
        <v>26</v>
      </c>
      <c r="B6" t="s">
        <v>10</v>
      </c>
      <c r="C6" t="s">
        <v>25</v>
      </c>
      <c r="D6" t="s">
        <v>21</v>
      </c>
      <c r="E6" t="s">
        <v>24</v>
      </c>
      <c r="F6" t="s">
        <v>22</v>
      </c>
      <c r="G6" t="s">
        <v>23</v>
      </c>
      <c r="H6" s="2">
        <v>70642.19</v>
      </c>
      <c r="I6" t="s">
        <v>55</v>
      </c>
      <c r="K6" t="s">
        <v>56</v>
      </c>
    </row>
    <row r="7" spans="1:12" ht="30" customHeight="1" x14ac:dyDescent="0.25">
      <c r="A7" t="s">
        <v>65</v>
      </c>
      <c r="B7" t="s">
        <v>16</v>
      </c>
      <c r="C7" t="s">
        <v>14</v>
      </c>
      <c r="D7" t="s">
        <v>31</v>
      </c>
      <c r="F7" t="s">
        <v>17</v>
      </c>
      <c r="G7" t="s">
        <v>12</v>
      </c>
      <c r="H7" s="2">
        <v>37846.06</v>
      </c>
      <c r="K7" t="s">
        <v>57</v>
      </c>
    </row>
    <row r="8" spans="1:12" ht="30" customHeight="1" x14ac:dyDescent="0.25">
      <c r="A8" t="s">
        <v>66</v>
      </c>
      <c r="B8" t="s">
        <v>16</v>
      </c>
      <c r="C8" t="s">
        <v>14</v>
      </c>
      <c r="D8" t="s">
        <v>19</v>
      </c>
      <c r="E8" t="s">
        <v>20</v>
      </c>
      <c r="F8" t="s">
        <v>17</v>
      </c>
      <c r="G8" t="s">
        <v>18</v>
      </c>
      <c r="H8" s="2">
        <v>13427.06</v>
      </c>
      <c r="K8" t="s">
        <v>58</v>
      </c>
      <c r="L8" t="s">
        <v>59</v>
      </c>
    </row>
    <row r="9" spans="1:12" ht="30" customHeight="1" x14ac:dyDescent="0.25">
      <c r="A9" t="s">
        <v>67</v>
      </c>
      <c r="B9" t="s">
        <v>10</v>
      </c>
      <c r="C9" t="s">
        <v>14</v>
      </c>
      <c r="D9" t="s">
        <v>27</v>
      </c>
      <c r="F9" t="s">
        <v>28</v>
      </c>
      <c r="G9" t="s">
        <v>23</v>
      </c>
      <c r="H9" s="2">
        <v>8308.94</v>
      </c>
      <c r="K9" t="s">
        <v>60</v>
      </c>
    </row>
    <row r="10" spans="1:12" ht="30" customHeight="1" x14ac:dyDescent="0.25">
      <c r="A10" t="s">
        <v>68</v>
      </c>
      <c r="B10" t="s">
        <v>10</v>
      </c>
      <c r="C10" t="s">
        <v>14</v>
      </c>
      <c r="D10" t="s">
        <v>9</v>
      </c>
      <c r="E10" t="s">
        <v>13</v>
      </c>
      <c r="F10" t="s">
        <v>11</v>
      </c>
      <c r="G10" t="s">
        <v>12</v>
      </c>
      <c r="H10" s="2">
        <v>53863.31</v>
      </c>
      <c r="I10" t="s">
        <v>61</v>
      </c>
      <c r="K10" t="s">
        <v>62</v>
      </c>
    </row>
    <row r="11" spans="1:12" ht="23.25" customHeight="1" x14ac:dyDescent="0.25">
      <c r="A11" s="1"/>
      <c r="B11" s="1"/>
      <c r="C11" s="1"/>
      <c r="D11" s="1" t="s">
        <v>32</v>
      </c>
      <c r="E11" s="1"/>
      <c r="F11" s="1"/>
      <c r="G11" s="1"/>
      <c r="H11" s="3">
        <f>SUM(H4:H10)</f>
        <v>245986.21</v>
      </c>
      <c r="I11" s="1"/>
      <c r="J11" s="1"/>
      <c r="K11" s="1"/>
      <c r="L11" s="1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8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2094-FFED-43F9-8ADD-EA9E2177590F}">
  <sheetPr>
    <pageSetUpPr fitToPage="1"/>
  </sheetPr>
  <dimension ref="A1:H16"/>
  <sheetViews>
    <sheetView workbookViewId="0">
      <selection activeCell="H1" sqref="H1"/>
    </sheetView>
  </sheetViews>
  <sheetFormatPr defaultRowHeight="15.75" x14ac:dyDescent="0.25"/>
  <cols>
    <col min="1" max="1" width="22" style="13" customWidth="1"/>
    <col min="2" max="2" width="6.42578125" style="13" customWidth="1"/>
    <col min="3" max="3" width="23.140625" style="13" customWidth="1"/>
    <col min="4" max="4" width="13.28515625" style="13" customWidth="1"/>
    <col min="5" max="5" width="12.85546875" style="13" customWidth="1"/>
    <col min="6" max="6" width="22" style="13" customWidth="1"/>
    <col min="7" max="7" width="13.28515625" style="13" customWidth="1"/>
    <col min="8" max="8" width="22" style="13" customWidth="1"/>
    <col min="9" max="16384" width="9.140625" style="13"/>
  </cols>
  <sheetData>
    <row r="1" spans="1:8" x14ac:dyDescent="0.25">
      <c r="E1" s="14"/>
      <c r="H1" s="14">
        <v>45657.999988425923</v>
      </c>
    </row>
    <row r="2" spans="1:8" x14ac:dyDescent="0.25">
      <c r="A2" s="15" t="s">
        <v>0</v>
      </c>
      <c r="B2" s="15"/>
      <c r="C2" s="16"/>
      <c r="D2" s="16"/>
      <c r="E2" s="17" t="s">
        <v>33</v>
      </c>
      <c r="F2" s="16"/>
      <c r="G2" s="16"/>
      <c r="H2" s="16"/>
    </row>
    <row r="3" spans="1:8" x14ac:dyDescent="0.25">
      <c r="A3" s="13" t="s">
        <v>4</v>
      </c>
      <c r="B3" s="13" t="s">
        <v>44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43</v>
      </c>
      <c r="H3" s="13" t="s">
        <v>34</v>
      </c>
    </row>
    <row r="4" spans="1:8" ht="27" customHeight="1" x14ac:dyDescent="0.25">
      <c r="A4" s="13" t="s">
        <v>22</v>
      </c>
      <c r="C4" s="13" t="s">
        <v>23</v>
      </c>
      <c r="D4" s="18">
        <v>1200</v>
      </c>
      <c r="E4" s="18">
        <v>0</v>
      </c>
      <c r="F4" s="19">
        <v>70567.19</v>
      </c>
      <c r="G4" s="18"/>
      <c r="H4" s="18">
        <v>70642.19</v>
      </c>
    </row>
    <row r="5" spans="1:8" ht="27" customHeight="1" x14ac:dyDescent="0.25">
      <c r="D5" s="18"/>
      <c r="E5" s="18"/>
      <c r="F5" s="18"/>
      <c r="G5" s="18"/>
      <c r="H5" s="18"/>
    </row>
    <row r="6" spans="1:8" ht="27" customHeight="1" x14ac:dyDescent="0.25">
      <c r="A6" s="13" t="s">
        <v>17</v>
      </c>
      <c r="C6" s="13" t="s">
        <v>18</v>
      </c>
      <c r="D6" s="18">
        <v>200</v>
      </c>
      <c r="E6" s="18">
        <v>0</v>
      </c>
      <c r="F6" s="18">
        <v>13352.06</v>
      </c>
      <c r="G6" s="18"/>
      <c r="H6" s="18">
        <v>13427.06</v>
      </c>
    </row>
    <row r="7" spans="1:8" ht="27" customHeight="1" x14ac:dyDescent="0.25">
      <c r="A7" s="13" t="s">
        <v>17</v>
      </c>
      <c r="C7" s="13" t="s">
        <v>18</v>
      </c>
      <c r="D7" s="18">
        <v>600</v>
      </c>
      <c r="E7" s="18">
        <v>0</v>
      </c>
      <c r="F7" s="18">
        <v>34689.599999999999</v>
      </c>
      <c r="G7" s="18"/>
      <c r="H7" s="18">
        <v>34764.6</v>
      </c>
    </row>
    <row r="8" spans="1:8" ht="27" customHeight="1" x14ac:dyDescent="0.25">
      <c r="A8" s="13" t="s">
        <v>17</v>
      </c>
      <c r="C8" s="13" t="s">
        <v>12</v>
      </c>
      <c r="D8" s="18">
        <v>650</v>
      </c>
      <c r="E8" s="18">
        <v>0</v>
      </c>
      <c r="F8" s="18">
        <v>37771.06</v>
      </c>
      <c r="G8" s="19">
        <f>SUM(F6:F8)</f>
        <v>85812.72</v>
      </c>
      <c r="H8" s="18">
        <v>37846.06</v>
      </c>
    </row>
    <row r="9" spans="1:8" ht="27" customHeight="1" x14ac:dyDescent="0.25">
      <c r="D9" s="18"/>
      <c r="E9" s="18"/>
      <c r="F9" s="18"/>
      <c r="G9" s="18"/>
      <c r="H9" s="18"/>
    </row>
    <row r="10" spans="1:8" ht="27" customHeight="1" x14ac:dyDescent="0.25">
      <c r="A10" s="13" t="s">
        <v>30</v>
      </c>
      <c r="C10" s="13" t="s">
        <v>23</v>
      </c>
      <c r="D10" s="18">
        <v>500</v>
      </c>
      <c r="E10" s="18">
        <v>0</v>
      </c>
      <c r="F10" s="19">
        <v>27059.05</v>
      </c>
      <c r="G10" s="18"/>
      <c r="H10" s="18">
        <v>27134.05</v>
      </c>
    </row>
    <row r="11" spans="1:8" ht="27" customHeight="1" x14ac:dyDescent="0.25">
      <c r="D11" s="18"/>
      <c r="E11" s="18"/>
      <c r="F11" s="19"/>
      <c r="G11" s="18"/>
      <c r="H11" s="18"/>
    </row>
    <row r="12" spans="1:8" ht="27" customHeight="1" x14ac:dyDescent="0.25">
      <c r="A12" s="13" t="s">
        <v>45</v>
      </c>
      <c r="C12" s="13" t="s">
        <v>23</v>
      </c>
      <c r="D12" s="18">
        <v>100</v>
      </c>
      <c r="E12" s="18">
        <v>0</v>
      </c>
      <c r="F12" s="19">
        <v>8233.94</v>
      </c>
      <c r="G12" s="18"/>
      <c r="H12" s="18">
        <v>8308.94</v>
      </c>
    </row>
    <row r="13" spans="1:8" ht="27" customHeight="1" x14ac:dyDescent="0.25">
      <c r="D13" s="18"/>
      <c r="E13" s="18"/>
      <c r="F13" s="19"/>
      <c r="G13" s="18"/>
      <c r="H13" s="18"/>
    </row>
    <row r="14" spans="1:8" ht="27" customHeight="1" x14ac:dyDescent="0.25">
      <c r="A14" s="13" t="s">
        <v>11</v>
      </c>
      <c r="C14" s="13" t="s">
        <v>12</v>
      </c>
      <c r="D14" s="18">
        <v>1000</v>
      </c>
      <c r="E14" s="18">
        <v>0</v>
      </c>
      <c r="F14" s="19">
        <v>53788.31</v>
      </c>
      <c r="G14" s="18"/>
      <c r="H14" s="18">
        <v>53863.31</v>
      </c>
    </row>
    <row r="15" spans="1:8" x14ac:dyDescent="0.25">
      <c r="D15" s="18"/>
      <c r="E15" s="18"/>
      <c r="F15" s="18"/>
      <c r="G15" s="18"/>
      <c r="H15" s="18"/>
    </row>
    <row r="16" spans="1:8" x14ac:dyDescent="0.25">
      <c r="A16" s="20"/>
      <c r="B16" s="20"/>
      <c r="C16" s="20"/>
      <c r="D16" s="21">
        <f>SUM(D4:D15)</f>
        <v>4250</v>
      </c>
      <c r="E16" s="21">
        <f>SUM(E4:E15)</f>
        <v>0</v>
      </c>
      <c r="F16" s="21">
        <f>SUM(F4:F15)</f>
        <v>245461.21</v>
      </c>
      <c r="G16" s="21"/>
      <c r="H16" s="21">
        <f>SUM(H4:H15)</f>
        <v>245986.21</v>
      </c>
    </row>
  </sheetData>
  <mergeCells count="2">
    <mergeCell ref="A2:D2"/>
    <mergeCell ref="E2:H2"/>
  </mergeCells>
  <pageMargins left="0.7" right="0.2" top="0.75" bottom="0.75" header="0.3" footer="0.3"/>
  <pageSetup scale="8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7C81-F7C8-4344-80C1-2CD0E310459B}">
  <dimension ref="A1:E20"/>
  <sheetViews>
    <sheetView zoomScaleNormal="100" workbookViewId="0">
      <selection activeCell="D22" sqref="D22"/>
    </sheetView>
  </sheetViews>
  <sheetFormatPr defaultRowHeight="15" x14ac:dyDescent="0.25"/>
  <cols>
    <col min="1" max="1" width="14.7109375" customWidth="1"/>
    <col min="2" max="2" width="11.85546875" customWidth="1"/>
    <col min="3" max="3" width="17.28515625" customWidth="1"/>
    <col min="4" max="4" width="17.7109375" customWidth="1"/>
    <col min="5" max="5" width="21.28515625" customWidth="1"/>
  </cols>
  <sheetData>
    <row r="1" spans="1:5" x14ac:dyDescent="0.25">
      <c r="A1" t="s">
        <v>39</v>
      </c>
      <c r="D1" s="4"/>
      <c r="E1" s="9">
        <v>45657</v>
      </c>
    </row>
    <row r="2" spans="1:5" ht="27" customHeight="1" x14ac:dyDescent="0.25">
      <c r="A2" s="5" t="s">
        <v>0</v>
      </c>
      <c r="B2" s="6"/>
      <c r="C2" s="6"/>
      <c r="D2" s="7" t="s">
        <v>35</v>
      </c>
      <c r="E2" s="6"/>
    </row>
    <row r="3" spans="1:5" ht="27" customHeight="1" x14ac:dyDescent="0.25">
      <c r="A3" t="s">
        <v>36</v>
      </c>
      <c r="B3" t="s">
        <v>37</v>
      </c>
      <c r="C3" t="s">
        <v>1</v>
      </c>
      <c r="D3" t="s">
        <v>2</v>
      </c>
      <c r="E3" t="s">
        <v>4</v>
      </c>
    </row>
    <row r="4" spans="1:5" ht="27" customHeight="1" x14ac:dyDescent="0.25">
      <c r="A4" t="s">
        <v>26</v>
      </c>
      <c r="B4" t="s">
        <v>25</v>
      </c>
      <c r="C4" t="s">
        <v>21</v>
      </c>
      <c r="D4" t="s">
        <v>24</v>
      </c>
      <c r="E4" t="s">
        <v>22</v>
      </c>
    </row>
    <row r="5" spans="1:5" ht="27" customHeight="1" x14ac:dyDescent="0.25">
      <c r="A5" s="1"/>
      <c r="B5" s="1"/>
      <c r="C5" s="1" t="s">
        <v>38</v>
      </c>
      <c r="D5" s="1"/>
      <c r="E5" s="1"/>
    </row>
    <row r="10" spans="1:5" x14ac:dyDescent="0.25">
      <c r="A10" t="s">
        <v>40</v>
      </c>
      <c r="B10" s="8"/>
      <c r="C10" s="8"/>
      <c r="D10" s="8"/>
    </row>
    <row r="15" spans="1:5" x14ac:dyDescent="0.25">
      <c r="A15" t="s">
        <v>41</v>
      </c>
      <c r="B15" s="8"/>
      <c r="C15" s="8"/>
      <c r="D15" s="8"/>
    </row>
    <row r="20" spans="1:3" x14ac:dyDescent="0.25">
      <c r="A20" t="s">
        <v>42</v>
      </c>
      <c r="B20" s="8"/>
      <c r="C20" s="8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Funding Worksheet - Folder Vers</vt:lpstr>
      <vt:lpstr>Funding Worksheet - ACH</vt:lpstr>
      <vt:lpstr>Original Note Log</vt:lpstr>
      <vt:lpstr>'Original Note Log'!Print_Area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2024-12-31T16:28:39Z</cp:lastPrinted>
  <dcterms:created xsi:type="dcterms:W3CDTF">2024-12-31T16:04:24Z</dcterms:created>
  <dcterms:modified xsi:type="dcterms:W3CDTF">2024-12-31T16:35:33Z</dcterms:modified>
</cp:coreProperties>
</file>