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B635726C-2406-4AA4-9654-18079A2B4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17" i="1"/>
  <c r="F22" i="1"/>
  <c r="F27" i="1"/>
  <c r="F32" i="1"/>
  <c r="H33" i="1"/>
  <c r="E33" i="1"/>
  <c r="D33" i="1"/>
  <c r="C33" i="1"/>
</calcChain>
</file>

<file path=xl/sharedStrings.xml><?xml version="1.0" encoding="utf-8"?>
<sst xmlns="http://schemas.openxmlformats.org/spreadsheetml/2006/main" count="241" uniqueCount="123">
  <si>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</si>
  <si>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</si>
  <si>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</si>
  <si>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</si>
  <si>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</si>
  <si>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</si>
  <si>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</si>
  <si>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</si>
  <si>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</si>
  <si>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</si>
  <si>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Bald Hill Dodge Chrysler</t>
  </si>
  <si>
    <t>Rachel Gorham</t>
  </si>
  <si>
    <t>Coastal Volkswagon</t>
  </si>
  <si>
    <t>Frank Battles Inc</t>
  </si>
  <si>
    <t>Neli Oliveira</t>
  </si>
  <si>
    <t>Grieco Hyundai</t>
  </si>
  <si>
    <t>Marlene Braganca</t>
  </si>
  <si>
    <t>Grieco Toyota</t>
  </si>
  <si>
    <t>Hiller Co Inc</t>
  </si>
  <si>
    <t>Lucchettis Service Center Inc</t>
  </si>
  <si>
    <t>Mastria Buick Pontiac</t>
  </si>
  <si>
    <t>Paul Masse Buick GMC South, Inc</t>
  </si>
  <si>
    <t>Planet Automotive Sales LLC</t>
  </si>
  <si>
    <t>T F Murphy Enterprises Inc</t>
  </si>
  <si>
    <t>Tasca Ford</t>
  </si>
  <si>
    <t>Toyota of Dartmouth</t>
  </si>
  <si>
    <t>Column1</t>
  </si>
  <si>
    <t>Column2</t>
  </si>
  <si>
    <t>4453    2150</t>
  </si>
  <si>
    <t># 17</t>
  </si>
  <si>
    <t>SHEEHAN</t>
  </si>
  <si>
    <t>KNPKAT@VERIZON.NET</t>
  </si>
  <si>
    <t>COUGHLIN, KATHLEEN</t>
  </si>
  <si>
    <t>E Contract</t>
  </si>
  <si>
    <t>Route One</t>
  </si>
  <si>
    <t>151169680e</t>
  </si>
  <si>
    <t>HAGGARD</t>
  </si>
  <si>
    <t>jimjr807@gmail.com</t>
  </si>
  <si>
    <t>MARTINEZ, JAMES</t>
  </si>
  <si>
    <t>151169630e</t>
  </si>
  <si>
    <t>PAIVA</t>
  </si>
  <si>
    <t>LOVE</t>
  </si>
  <si>
    <t>NANCYJLEARY@GMAIL.COM</t>
  </si>
  <si>
    <t>DML@LEARYS.COM</t>
  </si>
  <si>
    <t>LEARY, NANCY</t>
  </si>
  <si>
    <t>LEARY, DENNIS</t>
  </si>
  <si>
    <t>Paper</t>
  </si>
  <si>
    <t>151169599</t>
  </si>
  <si>
    <t>HEMSWORTH</t>
  </si>
  <si>
    <t>SHUYNH88@GMAIL.COM</t>
  </si>
  <si>
    <t>SCHUTT, REUKI</t>
  </si>
  <si>
    <t>DealerTrack</t>
  </si>
  <si>
    <t>151169581</t>
  </si>
  <si>
    <t>CROTEAU</t>
  </si>
  <si>
    <t>bmcclurg40@gmail.com</t>
  </si>
  <si>
    <t>MCCLURG, BRIAN</t>
  </si>
  <si>
    <t>151169531e</t>
  </si>
  <si>
    <t>JOHNSON</t>
  </si>
  <si>
    <t>LMCDANIEL1993@GMAIL.COM</t>
  </si>
  <si>
    <t>SONES, LINDSAY</t>
  </si>
  <si>
    <t>151169466e</t>
  </si>
  <si>
    <t>KENDRAOBRIEN85@GMAIL.COM</t>
  </si>
  <si>
    <t>OBRIEN, KENDRA</t>
  </si>
  <si>
    <t>151169408</t>
  </si>
  <si>
    <t>CARREIRO</t>
  </si>
  <si>
    <t>BOTELHO, BRENDON</t>
  </si>
  <si>
    <t>151169391</t>
  </si>
  <si>
    <t>LIMA</t>
  </si>
  <si>
    <t>BUBBAGUMP6666@YAHOO.COM</t>
  </si>
  <si>
    <t>VIEIRA, LISA</t>
  </si>
  <si>
    <t>151169359e</t>
  </si>
  <si>
    <t>VOUNG</t>
  </si>
  <si>
    <t>FOURNIER</t>
  </si>
  <si>
    <t>DOUCETTELY@GMAIL.COM</t>
  </si>
  <si>
    <t>LY, KENNY</t>
  </si>
  <si>
    <t>DOUCETTE-LY, JENNIFER</t>
  </si>
  <si>
    <t>151169341e</t>
  </si>
  <si>
    <t>JORDAN</t>
  </si>
  <si>
    <t>jpveneri22@gmail.com</t>
  </si>
  <si>
    <t>VENERI, JORDAN</t>
  </si>
  <si>
    <t>151169333e</t>
  </si>
  <si>
    <t>JEST</t>
  </si>
  <si>
    <t>GESPO1851@GMAIL.COM</t>
  </si>
  <si>
    <t>ESPOSITO, GARY</t>
  </si>
  <si>
    <t>151169325e</t>
  </si>
  <si>
    <t>OCEAN STATE BUSINESS SOLUTIONS INC</t>
  </si>
  <si>
    <t>DeGeorge</t>
  </si>
  <si>
    <t>NETFRED@OSBS.COM</t>
  </si>
  <si>
    <t>MEDEIROS, FREDERICK</t>
  </si>
  <si>
    <t>151169317e</t>
  </si>
  <si>
    <t>SCHULZE</t>
  </si>
  <si>
    <t>DEANSCORNER@GMAIL.COM</t>
  </si>
  <si>
    <t>RUBINO, DEAN</t>
  </si>
  <si>
    <t>151169309e</t>
  </si>
  <si>
    <t>Ortiz</t>
  </si>
  <si>
    <t>GIOVANNAPEREZ2017@GMAIL.COM</t>
  </si>
  <si>
    <t>PEREZ, GIOVANNA</t>
  </si>
  <si>
    <t>151169292e</t>
  </si>
  <si>
    <t>HANDUP MANAGER LLC</t>
  </si>
  <si>
    <t>Bauer</t>
  </si>
  <si>
    <t>DYSON, ERIK</t>
  </si>
  <si>
    <t>151169193</t>
  </si>
  <si>
    <t>PERKINS</t>
  </si>
  <si>
    <t>TLIBBY1964@YAHOO.COM</t>
  </si>
  <si>
    <t>LIBBY, TIMOTHY</t>
  </si>
  <si>
    <t>151169185e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</si>
  <si>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</si>
  <si>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</si>
  <si>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</si>
  <si>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</si>
  <si>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</si>
  <si>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</si>
  <si>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</si>
  <si>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</si>
  <si>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</si>
  <si>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</si>
  <si>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</si>
  <si>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</t>
  </si>
  <si>
    <t>Received By___________________________________________________________________________________</t>
  </si>
  <si>
    <t>Delivered By___________________________________________________________________________________</t>
  </si>
  <si>
    <t># 5</t>
  </si>
  <si>
    <t>Funding Worksheet - Signoff Version</t>
  </si>
  <si>
    <t>3376    3754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</si>
</sst>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431348B5-F3D8-430F-8A52-C63F71AB0170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CF0C1213-E011-4293-B03F-8F947BA8C809}" name="Column1" dataDxfId="23"/>
    <tableColumn id="8" xr3:uid="{58BA1B72-AFA7-4403-9854-0D910430057D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132B2-B2CF-42B1-8E01-107665B68D0C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AA207B-9319-4A52-AF17-4337133C2079}" name="Table_14" displayName="Table_14" ref="A3:E9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workbookViewId="0">
      <pane ySplit="3" topLeftCell="A4" activePane="bottomLeft" state="frozen"/>
      <selection pane="bottomLeft" activeCell="G31" sqref="G31"/>
    </sheetView>
  </sheetViews>
  <sheetFormatPr defaultRowHeight="15" x14ac:dyDescent="0.25"/>
  <cols>
    <col min="1" max="1" width="31.5703125" bestFit="1" customWidth="1"/>
    <col min="2" max="2" width="17.7109375" bestFit="1" customWidth="1"/>
    <col min="3" max="3" width="11.140625" bestFit="1" customWidth="1"/>
    <col min="4" max="4" width="14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45763</v>
      </c>
      <c r="E1" t="s">
        <v>2</v>
      </c>
      <c r="H1" s="4">
        <v>45763.999988425923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26</v>
      </c>
      <c r="G3" t="s">
        <v>27</v>
      </c>
      <c r="H3" t="s">
        <v>9</v>
      </c>
    </row>
    <row r="4" spans="1:8" x14ac:dyDescent="0.25">
      <c r="A4" t="s">
        <v>10</v>
      </c>
      <c r="B4" t="s">
        <v>11</v>
      </c>
      <c r="C4" s="2">
        <v>300</v>
      </c>
      <c r="D4" s="2">
        <v>0</v>
      </c>
      <c r="E4" s="2">
        <v>13701.52</v>
      </c>
      <c r="F4" s="2"/>
      <c r="G4" s="2"/>
      <c r="H4" s="2">
        <v>13776.52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1050</v>
      </c>
      <c r="D6" s="2">
        <v>0</v>
      </c>
      <c r="E6" s="2">
        <v>43115.38</v>
      </c>
      <c r="F6" s="2"/>
      <c r="G6" s="2"/>
      <c r="H6" s="2">
        <v>43190.38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1350</v>
      </c>
      <c r="D8" s="2">
        <v>0</v>
      </c>
      <c r="E8" s="2">
        <v>52382.17</v>
      </c>
      <c r="F8" s="2"/>
      <c r="G8" s="2"/>
      <c r="H8" s="2">
        <v>52457.17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16</v>
      </c>
      <c r="C10" s="2">
        <v>500</v>
      </c>
      <c r="D10" s="2">
        <v>0</v>
      </c>
      <c r="E10" s="2">
        <v>16683.669999999998</v>
      </c>
      <c r="F10" s="2"/>
      <c r="G10" s="2"/>
      <c r="H10" s="2">
        <v>16758.669999999998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11</v>
      </c>
      <c r="C12" s="2">
        <v>950</v>
      </c>
      <c r="D12" s="2">
        <v>0</v>
      </c>
      <c r="E12" s="2">
        <v>36603.01</v>
      </c>
      <c r="F12" s="2"/>
      <c r="G12" s="2"/>
      <c r="H12" s="2">
        <v>36678.01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16</v>
      </c>
      <c r="C14" s="2">
        <v>1050</v>
      </c>
      <c r="D14" s="2">
        <v>0</v>
      </c>
      <c r="E14" s="2">
        <v>41118.559999999998</v>
      </c>
      <c r="F14" s="2"/>
      <c r="G14" s="2"/>
      <c r="H14" s="2">
        <v>41193.56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11</v>
      </c>
      <c r="C16" s="2">
        <v>1050</v>
      </c>
      <c r="D16" s="2">
        <v>0</v>
      </c>
      <c r="E16" s="2">
        <v>43298.82</v>
      </c>
      <c r="F16" s="2"/>
      <c r="G16" s="2"/>
      <c r="H16" s="2">
        <v>43373.82</v>
      </c>
    </row>
    <row r="17" spans="1:8" x14ac:dyDescent="0.25">
      <c r="A17" t="s">
        <v>19</v>
      </c>
      <c r="B17" t="s">
        <v>14</v>
      </c>
      <c r="C17" s="2">
        <v>950</v>
      </c>
      <c r="D17" s="2">
        <v>0</v>
      </c>
      <c r="E17" s="2">
        <v>37677.230000000003</v>
      </c>
      <c r="F17" s="2">
        <f>SUM(E16:E17)</f>
        <v>80976.05</v>
      </c>
      <c r="G17" s="2"/>
      <c r="H17" s="2">
        <v>37752.230000000003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11</v>
      </c>
      <c r="C19" s="2">
        <v>1500</v>
      </c>
      <c r="D19" s="2">
        <v>0</v>
      </c>
      <c r="E19" s="2">
        <v>72127.22</v>
      </c>
      <c r="F19" s="2"/>
      <c r="G19" s="2" t="s">
        <v>28</v>
      </c>
      <c r="H19" s="2">
        <v>72202.22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11</v>
      </c>
      <c r="C21" s="2">
        <v>1350</v>
      </c>
      <c r="D21" s="2">
        <v>0</v>
      </c>
      <c r="E21" s="2">
        <v>54910.93</v>
      </c>
      <c r="F21" s="2"/>
      <c r="G21" s="2"/>
      <c r="H21" s="2">
        <v>54985.93</v>
      </c>
    </row>
    <row r="22" spans="1:8" x14ac:dyDescent="0.25">
      <c r="A22" t="s">
        <v>21</v>
      </c>
      <c r="B22" t="s">
        <v>14</v>
      </c>
      <c r="C22" s="2">
        <v>1150</v>
      </c>
      <c r="D22" s="2">
        <v>0</v>
      </c>
      <c r="E22" s="2">
        <v>49053.13</v>
      </c>
      <c r="F22" s="2">
        <f>SUM(E21:E22)</f>
        <v>103964.06</v>
      </c>
      <c r="G22" s="2"/>
      <c r="H22" s="2">
        <v>49128.13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11</v>
      </c>
      <c r="C24" s="2">
        <v>850</v>
      </c>
      <c r="D24" s="2">
        <v>0</v>
      </c>
      <c r="E24" s="2">
        <v>31373.439999999999</v>
      </c>
      <c r="F24" s="2"/>
      <c r="G24" s="2"/>
      <c r="H24" s="2">
        <v>31448.44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23</v>
      </c>
      <c r="B26" t="s">
        <v>11</v>
      </c>
      <c r="C26" s="2">
        <v>750</v>
      </c>
      <c r="D26" s="2">
        <v>0</v>
      </c>
      <c r="E26" s="2">
        <v>28309.39</v>
      </c>
      <c r="F26" s="2"/>
      <c r="G26" s="2"/>
      <c r="H26" s="2">
        <v>28384.39</v>
      </c>
    </row>
    <row r="27" spans="1:8" x14ac:dyDescent="0.25">
      <c r="A27" t="s">
        <v>23</v>
      </c>
      <c r="B27" t="s">
        <v>14</v>
      </c>
      <c r="C27" s="2">
        <v>650</v>
      </c>
      <c r="D27" s="2">
        <v>0</v>
      </c>
      <c r="E27" s="2">
        <v>23393.31</v>
      </c>
      <c r="F27" s="2">
        <f>SUM(E26:E27)</f>
        <v>51702.7</v>
      </c>
      <c r="G27" s="2"/>
      <c r="H27" s="2">
        <v>23468.31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24</v>
      </c>
      <c r="B29" t="s">
        <v>14</v>
      </c>
      <c r="C29" s="2">
        <v>950</v>
      </c>
      <c r="D29" s="2">
        <v>0</v>
      </c>
      <c r="E29" s="2">
        <v>34970.17</v>
      </c>
      <c r="F29" s="2"/>
      <c r="G29" s="2"/>
      <c r="H29" s="2">
        <v>35045.17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25</v>
      </c>
      <c r="B31" t="s">
        <v>11</v>
      </c>
      <c r="C31" s="2">
        <v>750</v>
      </c>
      <c r="D31" s="2">
        <v>0</v>
      </c>
      <c r="E31" s="2">
        <v>26656</v>
      </c>
      <c r="F31" s="2"/>
      <c r="G31" s="2"/>
      <c r="H31" s="2">
        <v>26731</v>
      </c>
    </row>
    <row r="32" spans="1:8" x14ac:dyDescent="0.25">
      <c r="A32" t="s">
        <v>25</v>
      </c>
      <c r="B32" t="s">
        <v>11</v>
      </c>
      <c r="C32" s="2">
        <v>1050</v>
      </c>
      <c r="D32" s="2">
        <v>0</v>
      </c>
      <c r="E32" s="2">
        <v>43846.63</v>
      </c>
      <c r="F32" s="2">
        <f>SUM(E31:E32)</f>
        <v>70502.63</v>
      </c>
      <c r="G32" s="2" t="s">
        <v>122</v>
      </c>
      <c r="H32" s="2">
        <v>43921.63</v>
      </c>
    </row>
    <row r="33" spans="1:8" x14ac:dyDescent="0.25">
      <c r="A33" s="1"/>
      <c r="B33" s="1"/>
      <c r="C33" s="3">
        <f>SUM(C4:C32)</f>
        <v>16200</v>
      </c>
      <c r="D33" s="3">
        <f>SUM(D4:D32)</f>
        <v>0</v>
      </c>
      <c r="E33" s="3">
        <f>SUM(E4:E32)</f>
        <v>649220.58000000007</v>
      </c>
      <c r="F33" s="3"/>
      <c r="G33" s="3"/>
      <c r="H33" s="3">
        <f>SUM(H4:H32)</f>
        <v>650495.58000000007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80F5-13F8-4FE5-8D22-9D47F0464B9D}">
  <sheetPr>
    <pageSetUpPr fitToPage="1"/>
  </sheetPr>
  <dimension ref="A1:M24"/>
  <sheetViews>
    <sheetView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5703125" style="8" bestFit="1" customWidth="1"/>
    <col min="5" max="5" width="18.7109375" style="8" bestFit="1" customWidth="1"/>
    <col min="6" max="6" width="31.5703125" style="8" bestFit="1" customWidth="1"/>
    <col min="7" max="7" width="17.7109375" style="8" bestFit="1" customWidth="1"/>
    <col min="8" max="8" width="17.140625" style="8" bestFit="1" customWidth="1"/>
    <col min="9" max="9" width="34.140625" style="8" bestFit="1" customWidth="1"/>
    <col min="10" max="10" width="26.28515625" style="8" bestFit="1" customWidth="1"/>
    <col min="11" max="11" width="14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45763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116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115</v>
      </c>
      <c r="B3" s="9" t="s">
        <v>114</v>
      </c>
      <c r="C3" s="9" t="s">
        <v>113</v>
      </c>
      <c r="D3" s="9" t="s">
        <v>112</v>
      </c>
      <c r="E3" s="9" t="s">
        <v>111</v>
      </c>
      <c r="F3" s="9" t="s">
        <v>4</v>
      </c>
      <c r="G3" s="9" t="s">
        <v>5</v>
      </c>
      <c r="H3" s="9" t="s">
        <v>110</v>
      </c>
      <c r="I3" s="9" t="s">
        <v>109</v>
      </c>
      <c r="J3" s="9" t="s">
        <v>108</v>
      </c>
      <c r="K3" s="9" t="s">
        <v>107</v>
      </c>
      <c r="L3" s="9" t="s">
        <v>106</v>
      </c>
      <c r="M3" s="9"/>
    </row>
    <row r="4" spans="1:13" ht="35.1" customHeight="1" x14ac:dyDescent="0.25">
      <c r="A4" s="9" t="s">
        <v>105</v>
      </c>
      <c r="B4" s="9" t="s">
        <v>34</v>
      </c>
      <c r="C4" s="9" t="s">
        <v>33</v>
      </c>
      <c r="D4" s="9" t="s">
        <v>104</v>
      </c>
      <c r="E4" s="9"/>
      <c r="F4" s="9" t="s">
        <v>21</v>
      </c>
      <c r="G4" s="9" t="s">
        <v>14</v>
      </c>
      <c r="H4" s="14">
        <v>49128.13</v>
      </c>
      <c r="I4" s="9" t="s">
        <v>103</v>
      </c>
      <c r="J4" s="9"/>
      <c r="K4" s="9" t="s">
        <v>102</v>
      </c>
      <c r="L4" s="9"/>
      <c r="M4" s="9"/>
    </row>
    <row r="5" spans="1:13" ht="35.1" customHeight="1" x14ac:dyDescent="0.25">
      <c r="A5" s="9" t="s">
        <v>101</v>
      </c>
      <c r="B5" s="9" t="s">
        <v>34</v>
      </c>
      <c r="C5" s="9" t="s">
        <v>46</v>
      </c>
      <c r="D5" s="9" t="s">
        <v>98</v>
      </c>
      <c r="E5" s="9" t="s">
        <v>100</v>
      </c>
      <c r="F5" s="9" t="s">
        <v>18</v>
      </c>
      <c r="G5" s="9" t="s">
        <v>16</v>
      </c>
      <c r="H5" s="14">
        <v>41193.56</v>
      </c>
      <c r="I5" s="9"/>
      <c r="J5" s="9"/>
      <c r="K5" s="9" t="s">
        <v>99</v>
      </c>
      <c r="L5" s="9"/>
      <c r="M5" s="9"/>
    </row>
    <row r="6" spans="1:13" ht="35.1" customHeight="1" x14ac:dyDescent="0.25">
      <c r="A6" s="9" t="s">
        <v>97</v>
      </c>
      <c r="B6" s="9" t="s">
        <v>51</v>
      </c>
      <c r="C6" s="9" t="s">
        <v>33</v>
      </c>
      <c r="D6" s="9" t="s">
        <v>96</v>
      </c>
      <c r="E6" s="9"/>
      <c r="F6" s="9" t="s">
        <v>15</v>
      </c>
      <c r="G6" s="9" t="s">
        <v>16</v>
      </c>
      <c r="H6" s="14">
        <v>16758.669999999998</v>
      </c>
      <c r="I6" s="9" t="s">
        <v>95</v>
      </c>
      <c r="J6" s="9"/>
      <c r="K6" s="9" t="s">
        <v>94</v>
      </c>
      <c r="L6" s="9"/>
      <c r="M6" s="9"/>
    </row>
    <row r="7" spans="1:13" ht="35.1" customHeight="1" x14ac:dyDescent="0.25">
      <c r="A7" s="9" t="s">
        <v>93</v>
      </c>
      <c r="B7" s="9" t="s">
        <v>34</v>
      </c>
      <c r="C7" s="9" t="s">
        <v>33</v>
      </c>
      <c r="D7" s="9" t="s">
        <v>92</v>
      </c>
      <c r="E7" s="9"/>
      <c r="F7" s="9" t="s">
        <v>20</v>
      </c>
      <c r="G7" s="9" t="s">
        <v>11</v>
      </c>
      <c r="H7" s="14">
        <v>72202.22</v>
      </c>
      <c r="I7" s="9" t="s">
        <v>91</v>
      </c>
      <c r="J7" s="9"/>
      <c r="K7" s="9" t="s">
        <v>90</v>
      </c>
      <c r="L7" s="9"/>
      <c r="M7" s="9"/>
    </row>
    <row r="8" spans="1:13" ht="35.1" customHeight="1" x14ac:dyDescent="0.25">
      <c r="A8" s="9" t="s">
        <v>89</v>
      </c>
      <c r="B8" s="9" t="s">
        <v>34</v>
      </c>
      <c r="C8" s="9" t="s">
        <v>33</v>
      </c>
      <c r="D8" s="9" t="s">
        <v>85</v>
      </c>
      <c r="E8" s="9" t="s">
        <v>88</v>
      </c>
      <c r="F8" s="9" t="s">
        <v>21</v>
      </c>
      <c r="G8" s="9" t="s">
        <v>11</v>
      </c>
      <c r="H8" s="14">
        <v>54985.93</v>
      </c>
      <c r="I8" s="9" t="s">
        <v>87</v>
      </c>
      <c r="J8" s="9"/>
      <c r="K8" s="9" t="s">
        <v>86</v>
      </c>
      <c r="L8" s="9"/>
      <c r="M8" s="9"/>
    </row>
    <row r="9" spans="1:13" ht="35.1" customHeight="1" x14ac:dyDescent="0.25">
      <c r="A9" s="9" t="s">
        <v>84</v>
      </c>
      <c r="B9" s="9" t="s">
        <v>34</v>
      </c>
      <c r="C9" s="9" t="s">
        <v>33</v>
      </c>
      <c r="D9" s="9" t="s">
        <v>83</v>
      </c>
      <c r="E9" s="9"/>
      <c r="F9" s="9" t="s">
        <v>24</v>
      </c>
      <c r="G9" s="9" t="s">
        <v>14</v>
      </c>
      <c r="H9" s="14">
        <v>35045.17</v>
      </c>
      <c r="I9" s="9" t="s">
        <v>82</v>
      </c>
      <c r="J9" s="9"/>
      <c r="K9" s="9" t="s">
        <v>81</v>
      </c>
      <c r="L9" s="9"/>
      <c r="M9" s="9"/>
    </row>
    <row r="10" spans="1:13" ht="35.1" customHeight="1" x14ac:dyDescent="0.25">
      <c r="A10" s="9" t="s">
        <v>80</v>
      </c>
      <c r="B10" s="9" t="s">
        <v>34</v>
      </c>
      <c r="C10" s="9" t="s">
        <v>33</v>
      </c>
      <c r="D10" s="9" t="s">
        <v>79</v>
      </c>
      <c r="E10" s="9"/>
      <c r="F10" s="9" t="s">
        <v>23</v>
      </c>
      <c r="G10" s="9" t="s">
        <v>14</v>
      </c>
      <c r="H10" s="14">
        <v>23468.31</v>
      </c>
      <c r="I10" s="9" t="s">
        <v>78</v>
      </c>
      <c r="J10" s="9"/>
      <c r="K10" s="9" t="s">
        <v>77</v>
      </c>
      <c r="L10" s="9"/>
      <c r="M10" s="9"/>
    </row>
    <row r="11" spans="1:13" ht="35.1" customHeight="1" x14ac:dyDescent="0.25">
      <c r="A11" s="9" t="s">
        <v>76</v>
      </c>
      <c r="B11" s="9" t="s">
        <v>51</v>
      </c>
      <c r="C11" s="9" t="s">
        <v>33</v>
      </c>
      <c r="D11" s="9" t="s">
        <v>75</v>
      </c>
      <c r="E11" s="9" t="s">
        <v>74</v>
      </c>
      <c r="F11" s="9" t="s">
        <v>12</v>
      </c>
      <c r="G11" s="9" t="s">
        <v>11</v>
      </c>
      <c r="H11" s="14">
        <v>43190.38</v>
      </c>
      <c r="I11" s="9" t="s">
        <v>73</v>
      </c>
      <c r="J11" s="9"/>
      <c r="K11" s="9" t="s">
        <v>72</v>
      </c>
      <c r="L11" s="9" t="s">
        <v>71</v>
      </c>
      <c r="M11" s="9"/>
    </row>
    <row r="12" spans="1:13" ht="35.1" customHeight="1" x14ac:dyDescent="0.25">
      <c r="A12" s="9" t="s">
        <v>70</v>
      </c>
      <c r="B12" s="9" t="s">
        <v>34</v>
      </c>
      <c r="C12" s="9" t="s">
        <v>33</v>
      </c>
      <c r="D12" s="9" t="s">
        <v>69</v>
      </c>
      <c r="E12" s="9"/>
      <c r="F12" s="9" t="s">
        <v>17</v>
      </c>
      <c r="G12" s="9" t="s">
        <v>11</v>
      </c>
      <c r="H12" s="14">
        <v>36678.01</v>
      </c>
      <c r="I12" s="9" t="s">
        <v>68</v>
      </c>
      <c r="J12" s="9"/>
      <c r="K12" s="9" t="s">
        <v>67</v>
      </c>
      <c r="L12" s="9"/>
      <c r="M12" s="9"/>
    </row>
    <row r="13" spans="1:13" ht="35.1" customHeight="1" x14ac:dyDescent="0.25">
      <c r="A13" s="9" t="s">
        <v>66</v>
      </c>
      <c r="B13" s="9" t="s">
        <v>51</v>
      </c>
      <c r="C13" s="9" t="s">
        <v>46</v>
      </c>
      <c r="D13" s="9" t="s">
        <v>65</v>
      </c>
      <c r="E13" s="9"/>
      <c r="F13" s="9" t="s">
        <v>13</v>
      </c>
      <c r="G13" s="9" t="s">
        <v>14</v>
      </c>
      <c r="H13" s="14">
        <v>52457.17</v>
      </c>
      <c r="I13" s="9"/>
      <c r="J13" s="9"/>
      <c r="K13" s="9" t="s">
        <v>64</v>
      </c>
      <c r="L13" s="9"/>
      <c r="M13" s="9"/>
    </row>
    <row r="14" spans="1:13" ht="35.1" customHeight="1" x14ac:dyDescent="0.25">
      <c r="A14" s="9" t="s">
        <v>63</v>
      </c>
      <c r="B14" s="9" t="s">
        <v>34</v>
      </c>
      <c r="C14" s="9" t="s">
        <v>46</v>
      </c>
      <c r="D14" s="9" t="s">
        <v>62</v>
      </c>
      <c r="E14" s="9"/>
      <c r="F14" s="9" t="s">
        <v>23</v>
      </c>
      <c r="G14" s="9" t="s">
        <v>11</v>
      </c>
      <c r="H14" s="14">
        <v>28384.39</v>
      </c>
      <c r="I14" s="9" t="s">
        <v>61</v>
      </c>
      <c r="J14" s="9"/>
      <c r="K14" s="9" t="s">
        <v>57</v>
      </c>
      <c r="L14" s="9"/>
      <c r="M14" s="9"/>
    </row>
    <row r="15" spans="1:13" ht="35.1" customHeight="1" x14ac:dyDescent="0.25">
      <c r="A15" s="9" t="s">
        <v>60</v>
      </c>
      <c r="B15" s="9" t="s">
        <v>34</v>
      </c>
      <c r="C15" s="9" t="s">
        <v>33</v>
      </c>
      <c r="D15" s="9" t="s">
        <v>59</v>
      </c>
      <c r="E15" s="9"/>
      <c r="F15" s="9" t="s">
        <v>19</v>
      </c>
      <c r="G15" s="9" t="s">
        <v>14</v>
      </c>
      <c r="H15" s="14">
        <v>37752.230000000003</v>
      </c>
      <c r="I15" s="9" t="s">
        <v>58</v>
      </c>
      <c r="J15" s="9"/>
      <c r="K15" s="9" t="s">
        <v>57</v>
      </c>
      <c r="L15" s="9"/>
      <c r="M15" s="9"/>
    </row>
    <row r="16" spans="1:13" ht="35.1" customHeight="1" x14ac:dyDescent="0.25">
      <c r="A16" s="9" t="s">
        <v>56</v>
      </c>
      <c r="B16" s="9" t="s">
        <v>34</v>
      </c>
      <c r="C16" s="9" t="s">
        <v>33</v>
      </c>
      <c r="D16" s="9" t="s">
        <v>55</v>
      </c>
      <c r="E16" s="9"/>
      <c r="F16" s="9" t="s">
        <v>25</v>
      </c>
      <c r="G16" s="9" t="s">
        <v>11</v>
      </c>
      <c r="H16" s="14">
        <v>43921.63</v>
      </c>
      <c r="I16" s="9" t="s">
        <v>54</v>
      </c>
      <c r="J16" s="9"/>
      <c r="K16" s="9" t="s">
        <v>53</v>
      </c>
      <c r="L16" s="9"/>
      <c r="M16" s="9"/>
    </row>
    <row r="17" spans="1:13" ht="35.1" customHeight="1" x14ac:dyDescent="0.25">
      <c r="A17" s="9" t="s">
        <v>52</v>
      </c>
      <c r="B17" s="9" t="s">
        <v>51</v>
      </c>
      <c r="C17" s="9" t="s">
        <v>46</v>
      </c>
      <c r="D17" s="9" t="s">
        <v>50</v>
      </c>
      <c r="E17" s="9"/>
      <c r="F17" s="9" t="s">
        <v>22</v>
      </c>
      <c r="G17" s="9" t="s">
        <v>11</v>
      </c>
      <c r="H17" s="14">
        <v>31448.44</v>
      </c>
      <c r="I17" s="9" t="s">
        <v>49</v>
      </c>
      <c r="J17" s="9"/>
      <c r="K17" s="9" t="s">
        <v>48</v>
      </c>
      <c r="L17" s="9"/>
      <c r="M17" s="9"/>
    </row>
    <row r="18" spans="1:13" ht="35.1" customHeight="1" x14ac:dyDescent="0.25">
      <c r="A18" s="9" t="s">
        <v>47</v>
      </c>
      <c r="B18" s="9" t="s">
        <v>34</v>
      </c>
      <c r="C18" s="9" t="s">
        <v>46</v>
      </c>
      <c r="D18" s="9" t="s">
        <v>45</v>
      </c>
      <c r="E18" s="9" t="s">
        <v>44</v>
      </c>
      <c r="F18" s="9" t="s">
        <v>25</v>
      </c>
      <c r="G18" s="9" t="s">
        <v>11</v>
      </c>
      <c r="H18" s="14">
        <v>26731</v>
      </c>
      <c r="I18" s="9" t="s">
        <v>43</v>
      </c>
      <c r="J18" s="9" t="s">
        <v>42</v>
      </c>
      <c r="K18" s="9" t="s">
        <v>41</v>
      </c>
      <c r="L18" s="9" t="s">
        <v>40</v>
      </c>
      <c r="M18" s="9"/>
    </row>
    <row r="19" spans="1:13" ht="35.1" customHeight="1" x14ac:dyDescent="0.25">
      <c r="A19" s="9" t="s">
        <v>39</v>
      </c>
      <c r="B19" s="9" t="s">
        <v>34</v>
      </c>
      <c r="C19" s="9" t="s">
        <v>33</v>
      </c>
      <c r="D19" s="9" t="s">
        <v>38</v>
      </c>
      <c r="E19" s="9"/>
      <c r="F19" s="9" t="s">
        <v>10</v>
      </c>
      <c r="G19" s="9" t="s">
        <v>11</v>
      </c>
      <c r="H19" s="14">
        <v>13776.52</v>
      </c>
      <c r="I19" s="9" t="s">
        <v>37</v>
      </c>
      <c r="J19" s="9"/>
      <c r="K19" s="9" t="s">
        <v>36</v>
      </c>
      <c r="L19" s="9"/>
      <c r="M19" s="9"/>
    </row>
    <row r="20" spans="1:13" ht="35.1" customHeight="1" x14ac:dyDescent="0.25">
      <c r="A20" s="9" t="s">
        <v>35</v>
      </c>
      <c r="B20" s="9" t="s">
        <v>34</v>
      </c>
      <c r="C20" s="9" t="s">
        <v>33</v>
      </c>
      <c r="D20" s="9" t="s">
        <v>32</v>
      </c>
      <c r="E20" s="9"/>
      <c r="F20" s="9" t="s">
        <v>19</v>
      </c>
      <c r="G20" s="9" t="s">
        <v>11</v>
      </c>
      <c r="H20" s="14">
        <v>43373.82</v>
      </c>
      <c r="I20" s="9" t="s">
        <v>31</v>
      </c>
      <c r="J20" s="9"/>
      <c r="K20" s="9" t="s">
        <v>30</v>
      </c>
      <c r="L20" s="9"/>
      <c r="M20" s="9"/>
    </row>
    <row r="21" spans="1:13" ht="35.1" customHeight="1" x14ac:dyDescent="0.25">
      <c r="A21" s="15"/>
      <c r="B21" s="15"/>
      <c r="C21" s="15"/>
      <c r="D21" s="15" t="s">
        <v>29</v>
      </c>
      <c r="E21" s="15"/>
      <c r="F21" s="15"/>
      <c r="G21" s="15"/>
      <c r="H21" s="16">
        <f>SUM(H4:H20)</f>
        <v>650495.57999999984</v>
      </c>
      <c r="I21" s="15"/>
      <c r="J21" s="15"/>
      <c r="K21" s="15"/>
      <c r="L21" s="15"/>
      <c r="M21" s="9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35.1" customHeight="1" x14ac:dyDescent="0.25"/>
    <row r="24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D253-8AA7-400B-951D-149849C1E1B5}">
  <sheetPr>
    <pageSetUpPr fitToPage="1"/>
  </sheetPr>
  <dimension ref="A1:E24"/>
  <sheetViews>
    <sheetView workbookViewId="0">
      <pane ySplit="3" topLeftCell="A4" activePane="bottomLeft" state="frozen"/>
      <selection pane="bottomLeft" activeCell="D31" sqref="D31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5703125" style="8" bestFit="1" customWidth="1"/>
    <col min="4" max="4" width="18.7109375" style="8" bestFit="1" customWidth="1"/>
    <col min="5" max="5" width="31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45763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121</v>
      </c>
      <c r="E2" s="12"/>
    </row>
    <row r="3" spans="1:5" x14ac:dyDescent="0.25">
      <c r="A3" s="9" t="s">
        <v>115</v>
      </c>
      <c r="B3" s="9" t="s">
        <v>113</v>
      </c>
      <c r="C3" s="9" t="s">
        <v>112</v>
      </c>
      <c r="D3" s="9" t="s">
        <v>111</v>
      </c>
      <c r="E3" s="9" t="s">
        <v>4</v>
      </c>
    </row>
    <row r="4" spans="1:5" x14ac:dyDescent="0.25">
      <c r="A4" s="9" t="s">
        <v>101</v>
      </c>
      <c r="B4" s="9" t="s">
        <v>46</v>
      </c>
      <c r="C4" s="9" t="s">
        <v>98</v>
      </c>
      <c r="D4" s="9" t="s">
        <v>100</v>
      </c>
      <c r="E4" s="9" t="s">
        <v>18</v>
      </c>
    </row>
    <row r="5" spans="1:5" x14ac:dyDescent="0.25">
      <c r="A5" s="9" t="s">
        <v>66</v>
      </c>
      <c r="B5" s="9" t="s">
        <v>46</v>
      </c>
      <c r="C5" s="9" t="s">
        <v>65</v>
      </c>
      <c r="D5" s="9"/>
      <c r="E5" s="9" t="s">
        <v>13</v>
      </c>
    </row>
    <row r="6" spans="1:5" x14ac:dyDescent="0.25">
      <c r="A6" s="9" t="s">
        <v>63</v>
      </c>
      <c r="B6" s="9" t="s">
        <v>46</v>
      </c>
      <c r="C6" s="9" t="s">
        <v>62</v>
      </c>
      <c r="D6" s="9"/>
      <c r="E6" s="9" t="s">
        <v>23</v>
      </c>
    </row>
    <row r="7" spans="1:5" x14ac:dyDescent="0.25">
      <c r="A7" s="9" t="s">
        <v>52</v>
      </c>
      <c r="B7" s="9" t="s">
        <v>46</v>
      </c>
      <c r="C7" s="9" t="s">
        <v>50</v>
      </c>
      <c r="D7" s="9"/>
      <c r="E7" s="9" t="s">
        <v>22</v>
      </c>
    </row>
    <row r="8" spans="1:5" x14ac:dyDescent="0.25">
      <c r="A8" s="9" t="s">
        <v>47</v>
      </c>
      <c r="B8" s="9" t="s">
        <v>46</v>
      </c>
      <c r="C8" s="9" t="s">
        <v>45</v>
      </c>
      <c r="D8" s="9" t="s">
        <v>44</v>
      </c>
      <c r="E8" s="9" t="s">
        <v>25</v>
      </c>
    </row>
    <row r="9" spans="1:5" x14ac:dyDescent="0.25">
      <c r="A9" s="15"/>
      <c r="B9" s="15"/>
      <c r="C9" s="15" t="s">
        <v>120</v>
      </c>
      <c r="D9" s="15"/>
      <c r="E9" s="15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119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118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 t="s">
        <v>117</v>
      </c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</sheetData>
  <mergeCells count="2">
    <mergeCell ref="A2:C2"/>
    <mergeCell ref="D2:E2"/>
  </mergeCells>
  <pageMargins left="0.7" right="0.7" top="0.75" bottom="0.75" header="0.3" footer="0.3"/>
  <pageSetup scale="8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2025-04-16T18:36:54Z</cp:lastPrinted>
  <dcterms:created xsi:type="dcterms:W3CDTF">2025-04-16T18:29:17Z</dcterms:created>
  <dcterms:modified xsi:type="dcterms:W3CDTF">2025-04-16T18:55:43Z</dcterms:modified>
</cp:coreProperties>
</file>