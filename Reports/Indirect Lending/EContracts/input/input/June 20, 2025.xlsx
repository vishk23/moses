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6D74279-C602-42DE-A57B-3108F7EC6FDD}" xr6:coauthVersionLast="47" xr6:coauthVersionMax="47" xr10:uidLastSave="{00000000-0000-0000-0000-000000000000}"/>
  <bookViews>
    <workbookView xWindow="33750" yWindow="1095" windowWidth="19860" windowHeight="139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6" i="2"/>
  <c r="H36" i="2"/>
  <c r="F36" i="2"/>
  <c r="E36" i="2"/>
  <c r="D36" i="2"/>
  <c r="H22" i="1"/>
</calcChain>
</file>

<file path=xl/sharedStrings.xml><?xml version="1.0" encoding="utf-8"?>
<sst xmlns="http://schemas.openxmlformats.org/spreadsheetml/2006/main" count="240" uniqueCount="125">
  <si>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</si>
  <si>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</si>
  <si>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</si>
  <si>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</si>
  <si>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</si>
  <si>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</si>
  <si>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</si>
  <si>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</si>
  <si>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</si>
  <si>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</si>
  <si>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</si>
  <si>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</si>
  <si>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</si>
  <si>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</si>
  <si>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</si>
  <si>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</si>
  <si>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ALEXANDER-URBAITIS, BARBARA</t>
  </si>
  <si>
    <t>Planet Subaru</t>
  </si>
  <si>
    <t>Marlene Braganca</t>
  </si>
  <si>
    <t>MYBUDDYSAM@COMCAST.NET</t>
  </si>
  <si>
    <t>Fisher</t>
  </si>
  <si>
    <t>151194554</t>
  </si>
  <si>
    <t>Route One</t>
  </si>
  <si>
    <t>Paper</t>
  </si>
  <si>
    <t>ANAPO, HEATHER</t>
  </si>
  <si>
    <t>Tasca Automotive Group Rt 6 One Inc</t>
  </si>
  <si>
    <t>Rachel Gorham</t>
  </si>
  <si>
    <t>HWILSONANAPO@GMAIL.COM</t>
  </si>
  <si>
    <t>REYNOLDS</t>
  </si>
  <si>
    <t>BANFIELD, MARYANNE</t>
  </si>
  <si>
    <t>MARRYANNEBUTCH@AOL.COM</t>
  </si>
  <si>
    <t>FLEMMING</t>
  </si>
  <si>
    <t>PIERCE, BRITTANY</t>
  </si>
  <si>
    <t>Alden Mazda</t>
  </si>
  <si>
    <t>BRIT@GMAIL.COM</t>
  </si>
  <si>
    <t>Carter</t>
  </si>
  <si>
    <t>151194603</t>
  </si>
  <si>
    <t>RAZUKIEWICZ, MANDI</t>
  </si>
  <si>
    <t>Planet Automotive Sales LLC</t>
  </si>
  <si>
    <t>mrazukiewicz@gmail.com</t>
  </si>
  <si>
    <t>Menoche</t>
  </si>
  <si>
    <t>CASHMORE, STEVEN</t>
  </si>
  <si>
    <t>RAH FALL RIVER VW, LLC</t>
  </si>
  <si>
    <t>STEVENCASHMORE@GMAIL.COM</t>
  </si>
  <si>
    <t>ROBINSON</t>
  </si>
  <si>
    <t>151194629</t>
  </si>
  <si>
    <t>CHOMES, NICHOLAS</t>
  </si>
  <si>
    <t>CHOMES, MANDY</t>
  </si>
  <si>
    <t>nickchomes@icloud.com</t>
  </si>
  <si>
    <t>LaFlamme</t>
  </si>
  <si>
    <t>Maurice</t>
  </si>
  <si>
    <t>FOX, KENNETH</t>
  </si>
  <si>
    <t>Priority Automotive LLC</t>
  </si>
  <si>
    <t>KJFOL@COMCAST.NET</t>
  </si>
  <si>
    <t>PARSONS</t>
  </si>
  <si>
    <t>YEE, MICHAEL</t>
  </si>
  <si>
    <t>617MIKEYEE@GMAIL.COM</t>
  </si>
  <si>
    <t>Wong</t>
  </si>
  <si>
    <t>MACAROCO, STACEY</t>
  </si>
  <si>
    <t>Hiller Co Inc</t>
  </si>
  <si>
    <t>smacaroco77@gmail.com</t>
  </si>
  <si>
    <t>Matos</t>
  </si>
  <si>
    <t>SAULN, EMILY</t>
  </si>
  <si>
    <t>Battles Nissan, LLC</t>
  </si>
  <si>
    <t>SAULNALEX@GMAIL.COM</t>
  </si>
  <si>
    <t>McGinty</t>
  </si>
  <si>
    <t>VAZQUEZ-BARRADAS, KATALINA</t>
  </si>
  <si>
    <t>Mastria Mazda</t>
  </si>
  <si>
    <t>katalina1219@gmail.com</t>
  </si>
  <si>
    <t>LaPlante</t>
  </si>
  <si>
    <t>LAFORD, ROBERT</t>
  </si>
  <si>
    <t>Mathieu Ford Sales, Inc</t>
  </si>
  <si>
    <t>rflaford@tiac.net</t>
  </si>
  <si>
    <t>DETOUR</t>
  </si>
  <si>
    <t>BARDSLEY, KRISTEN</t>
  </si>
  <si>
    <t>Coastal Volkswagon</t>
  </si>
  <si>
    <t>KBOEB@YAHOO.COM</t>
  </si>
  <si>
    <t>WALSH</t>
  </si>
  <si>
    <t>151194801</t>
  </si>
  <si>
    <t>WITHROW, CHASE</t>
  </si>
  <si>
    <t>Volvo of Tiverton</t>
  </si>
  <si>
    <t>CWITHROW325@GMAIL.COM</t>
  </si>
  <si>
    <t>CHASE</t>
  </si>
  <si>
    <t>KRAATZ, JOSEPH</t>
  </si>
  <si>
    <t>Mastria Volkswagen</t>
  </si>
  <si>
    <t>KRAATZY@GMAIL.COM</t>
  </si>
  <si>
    <t>RAY</t>
  </si>
  <si>
    <t>DENIETOLIS, CARY</t>
  </si>
  <si>
    <t>EMAILCARY@GMAIL.COM</t>
  </si>
  <si>
    <t>JARVIS</t>
  </si>
  <si>
    <t>HOYLE, SHAWN</t>
  </si>
  <si>
    <t>HOYLE, ALEXAVIER</t>
  </si>
  <si>
    <t>Grieco Toyota</t>
  </si>
  <si>
    <t>LeBlanc</t>
  </si>
  <si>
    <t>Rosario</t>
  </si>
  <si>
    <t># 18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</si>
  <si>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</si>
  <si>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</si>
  <si>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</si>
  <si>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</si>
  <si>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</si>
  <si>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</si>
  <si>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</si>
  <si>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5900-6390</t>
  </si>
  <si>
    <t>9285-9043</t>
  </si>
  <si>
    <t>151194497 E</t>
  </si>
  <si>
    <t>151194562 E</t>
  </si>
  <si>
    <t>151194570 E</t>
  </si>
  <si>
    <t>151194611 E</t>
  </si>
  <si>
    <t>151194637 E</t>
  </si>
  <si>
    <t>151194710 E</t>
  </si>
  <si>
    <t>151194744 E</t>
  </si>
  <si>
    <t>151194760 E</t>
  </si>
  <si>
    <t>151194778 E</t>
  </si>
  <si>
    <t>151194786 E</t>
  </si>
  <si>
    <t>151194794 E</t>
  </si>
  <si>
    <t>151194819 E</t>
  </si>
  <si>
    <t>151194827 E</t>
  </si>
  <si>
    <t>151194877 E</t>
  </si>
  <si>
    <t>Funding Worksheet - Signoff Version</t>
  </si>
  <si>
    <t># 4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</si>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</sst>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14" fontId="0" fillId="0" borderId="0" xfId="0" applyNumberFormat="1"/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2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D5D838-FE01-408E-A2CA-485951B0F556}" name="Table_14" displayName="Table_14" ref="A3:H36" headerRowDxfId="5" dataDxfId="3" totalsRowDxfId="4">
  <tableColumns count="8">
    <tableColumn id="1" xr3:uid="{A640661A-FF3B-4D35-8248-6AF46E5D4FE1}" name="Dealer Name" dataDxfId="2"/>
    <tableColumn id="8" xr3:uid="{FE552CF8-58C0-424B-A480-52A262F2CAEE}" name="Column2" dataDxfId="0"/>
    <tableColumn id="2" xr3:uid="{5444A5C5-606D-4519-8D82-94F30D3BAC13}" name="Funded by" dataDxfId="1"/>
    <tableColumn id="3" xr3:uid="{5E32C773-552F-4B2F-99FB-A543AF74FDE0}" name="Dealer Flat" dataDxfId="10"/>
    <tableColumn id="4" xr3:uid="{CB39A950-C61D-4F62-872C-45FFFC411F0D}" name="Dealer Split" dataDxfId="9"/>
    <tableColumn id="5" xr3:uid="{5F0F660A-C025-4A81-8626-8DB5ADB4B82A}" name="Net to Dealer" dataDxfId="8"/>
    <tableColumn id="7" xr3:uid="{2FFB2383-70CB-4A81-BFA7-D3161F2F8F86}" name="Column1" dataDxfId="7"/>
    <tableColumn id="6" xr3:uid="{B24827B5-F962-471B-A102-013674BEEDD3}" name="Contracted Amount Financed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86970-6511-49F5-BBB2-B1147A23CA77}" name="Table_16" displayName="Table_16" ref="A3:E8">
  <tableColumns count="5">
    <tableColumn id="1" xr3:uid="{87261374-08D9-49FD-B5BB-E8E0F52D807A}" name="Account Number"/>
    <tableColumn id="2" xr3:uid="{D1FD8F1E-8EB5-49FF-B714-22E45C1887C9}" name="Contract Type"/>
    <tableColumn id="3" xr3:uid="{36944A9D-B437-4ED6-ADAC-DBD4D70DBD1F}" name="Applicant Name"/>
    <tableColumn id="4" xr3:uid="{4F042165-CFCE-457B-8BC6-1C8D879397D8}" name="Co-Applicant Name"/>
    <tableColumn id="5" xr3:uid="{B2B625B2-C8F9-4B3F-B41C-C2F0B53EB4F5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workbookViewId="0">
      <pane ySplit="3" topLeftCell="A12" activePane="bottomLeft" state="frozen"/>
      <selection pane="bottomLeft" activeCell="B23" sqref="B23"/>
    </sheetView>
  </sheetViews>
  <sheetFormatPr defaultRowHeight="15" x14ac:dyDescent="0.25"/>
  <cols>
    <col min="1" max="1" width="13.5703125" customWidth="1"/>
    <col min="2" max="2" width="12.140625" bestFit="1" customWidth="1"/>
    <col min="3" max="3" width="12.28515625" customWidth="1"/>
    <col min="4" max="4" width="28" customWidth="1"/>
    <col min="5" max="5" width="18.7109375" bestFit="1" customWidth="1"/>
    <col min="6" max="6" width="24.85546875" customWidth="1"/>
    <col min="7" max="7" width="17.7109375" bestFit="1" customWidth="1"/>
    <col min="8" max="8" width="17.140625" bestFit="1" customWidth="1"/>
    <col min="9" max="9" width="31.28515625" bestFit="1" customWidth="1"/>
    <col min="10" max="10" width="23.7109375" bestFit="1" customWidth="1"/>
    <col min="11" max="11" width="13.7109375" bestFit="1" customWidth="1"/>
    <col min="12" max="12" width="12.85546875" bestFit="1" customWidth="1"/>
  </cols>
  <sheetData>
    <row r="1" spans="1:12" x14ac:dyDescent="0.25">
      <c r="K1" s="19">
        <v>45828</v>
      </c>
      <c r="L1" s="20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105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  <c r="H4" s="2">
        <v>26903.31</v>
      </c>
      <c r="I4" t="s">
        <v>19</v>
      </c>
      <c r="K4" t="s">
        <v>20</v>
      </c>
    </row>
    <row r="5" spans="1:12" x14ac:dyDescent="0.25">
      <c r="A5" t="s">
        <v>21</v>
      </c>
      <c r="B5" t="s">
        <v>22</v>
      </c>
      <c r="C5" t="s">
        <v>23</v>
      </c>
      <c r="D5" t="s">
        <v>24</v>
      </c>
      <c r="F5" t="s">
        <v>25</v>
      </c>
      <c r="G5" t="s">
        <v>26</v>
      </c>
      <c r="H5" s="2">
        <v>41347.33</v>
      </c>
      <c r="I5" t="s">
        <v>27</v>
      </c>
      <c r="K5" t="s">
        <v>28</v>
      </c>
    </row>
    <row r="6" spans="1:12" x14ac:dyDescent="0.25">
      <c r="A6" t="s">
        <v>106</v>
      </c>
      <c r="B6" t="s">
        <v>14</v>
      </c>
      <c r="C6" t="s">
        <v>15</v>
      </c>
      <c r="D6" t="s">
        <v>29</v>
      </c>
      <c r="F6" t="s">
        <v>17</v>
      </c>
      <c r="G6" t="s">
        <v>26</v>
      </c>
      <c r="H6" s="2">
        <v>19411.21</v>
      </c>
      <c r="I6" t="s">
        <v>30</v>
      </c>
      <c r="K6" t="s">
        <v>31</v>
      </c>
    </row>
    <row r="7" spans="1:12" ht="33" customHeight="1" x14ac:dyDescent="0.25">
      <c r="A7" t="s">
        <v>107</v>
      </c>
      <c r="B7" t="s">
        <v>22</v>
      </c>
      <c r="C7" t="s">
        <v>15</v>
      </c>
      <c r="D7" t="s">
        <v>32</v>
      </c>
      <c r="F7" t="s">
        <v>33</v>
      </c>
      <c r="G7" t="s">
        <v>18</v>
      </c>
      <c r="H7" s="2">
        <v>29687.75</v>
      </c>
      <c r="I7" t="s">
        <v>34</v>
      </c>
      <c r="K7" t="s">
        <v>35</v>
      </c>
    </row>
    <row r="8" spans="1:12" ht="33" customHeight="1" x14ac:dyDescent="0.25">
      <c r="A8" t="s">
        <v>36</v>
      </c>
      <c r="B8" t="s">
        <v>14</v>
      </c>
      <c r="C8" t="s">
        <v>23</v>
      </c>
      <c r="D8" t="s">
        <v>37</v>
      </c>
      <c r="F8" t="s">
        <v>38</v>
      </c>
      <c r="G8" t="s">
        <v>18</v>
      </c>
      <c r="H8" s="2">
        <v>35151.65</v>
      </c>
      <c r="I8" t="s">
        <v>39</v>
      </c>
      <c r="K8" t="s">
        <v>40</v>
      </c>
    </row>
    <row r="9" spans="1:12" ht="33" customHeight="1" x14ac:dyDescent="0.25">
      <c r="A9" t="s">
        <v>108</v>
      </c>
      <c r="B9" t="s">
        <v>14</v>
      </c>
      <c r="C9" t="s">
        <v>15</v>
      </c>
      <c r="D9" t="s">
        <v>41</v>
      </c>
      <c r="F9" t="s">
        <v>42</v>
      </c>
      <c r="G9" t="s">
        <v>26</v>
      </c>
      <c r="H9" s="2">
        <v>42332</v>
      </c>
      <c r="I9" t="s">
        <v>43</v>
      </c>
      <c r="K9" t="s">
        <v>44</v>
      </c>
    </row>
    <row r="10" spans="1:12" ht="33" customHeight="1" x14ac:dyDescent="0.25">
      <c r="A10" t="s">
        <v>45</v>
      </c>
      <c r="B10" t="s">
        <v>14</v>
      </c>
      <c r="C10" t="s">
        <v>23</v>
      </c>
      <c r="D10" t="s">
        <v>46</v>
      </c>
      <c r="E10" t="s">
        <v>47</v>
      </c>
      <c r="F10" t="s">
        <v>38</v>
      </c>
      <c r="G10" t="s">
        <v>18</v>
      </c>
      <c r="H10" s="2">
        <v>31154.69</v>
      </c>
      <c r="I10" t="s">
        <v>48</v>
      </c>
      <c r="J10" t="s">
        <v>48</v>
      </c>
      <c r="K10" t="s">
        <v>49</v>
      </c>
      <c r="L10" t="s">
        <v>50</v>
      </c>
    </row>
    <row r="11" spans="1:12" ht="33" customHeight="1" x14ac:dyDescent="0.25">
      <c r="A11" t="s">
        <v>109</v>
      </c>
      <c r="B11" t="s">
        <v>14</v>
      </c>
      <c r="C11" t="s">
        <v>15</v>
      </c>
      <c r="D11" t="s">
        <v>51</v>
      </c>
      <c r="F11" t="s">
        <v>52</v>
      </c>
      <c r="G11" t="s">
        <v>26</v>
      </c>
      <c r="H11" s="2">
        <v>34078.19</v>
      </c>
      <c r="I11" t="s">
        <v>53</v>
      </c>
      <c r="K11" t="s">
        <v>54</v>
      </c>
    </row>
    <row r="12" spans="1:12" ht="33" customHeight="1" x14ac:dyDescent="0.25">
      <c r="A12" t="s">
        <v>110</v>
      </c>
      <c r="B12" t="s">
        <v>14</v>
      </c>
      <c r="C12" t="s">
        <v>15</v>
      </c>
      <c r="D12" t="s">
        <v>55</v>
      </c>
      <c r="F12" t="s">
        <v>17</v>
      </c>
      <c r="G12" t="s">
        <v>18</v>
      </c>
      <c r="H12" s="2">
        <v>30075</v>
      </c>
      <c r="I12" t="s">
        <v>56</v>
      </c>
      <c r="K12" t="s">
        <v>57</v>
      </c>
    </row>
    <row r="13" spans="1:12" ht="33" customHeight="1" x14ac:dyDescent="0.25">
      <c r="A13" t="s">
        <v>111</v>
      </c>
      <c r="B13" t="s">
        <v>22</v>
      </c>
      <c r="C13" t="s">
        <v>15</v>
      </c>
      <c r="D13" t="s">
        <v>58</v>
      </c>
      <c r="F13" t="s">
        <v>59</v>
      </c>
      <c r="G13" t="s">
        <v>18</v>
      </c>
      <c r="H13" s="2">
        <v>34224.78</v>
      </c>
      <c r="I13" t="s">
        <v>60</v>
      </c>
      <c r="K13" t="s">
        <v>61</v>
      </c>
    </row>
    <row r="14" spans="1:12" ht="33" customHeight="1" x14ac:dyDescent="0.25">
      <c r="A14" t="s">
        <v>112</v>
      </c>
      <c r="B14" t="s">
        <v>14</v>
      </c>
      <c r="C14" t="s">
        <v>15</v>
      </c>
      <c r="D14" t="s">
        <v>62</v>
      </c>
      <c r="F14" t="s">
        <v>63</v>
      </c>
      <c r="G14" t="s">
        <v>18</v>
      </c>
      <c r="H14" s="2">
        <v>26102.13</v>
      </c>
      <c r="I14" t="s">
        <v>64</v>
      </c>
      <c r="K14" t="s">
        <v>65</v>
      </c>
    </row>
    <row r="15" spans="1:12" ht="33" customHeight="1" x14ac:dyDescent="0.25">
      <c r="A15" t="s">
        <v>113</v>
      </c>
      <c r="B15" t="s">
        <v>22</v>
      </c>
      <c r="C15" t="s">
        <v>15</v>
      </c>
      <c r="D15" t="s">
        <v>66</v>
      </c>
      <c r="F15" t="s">
        <v>67</v>
      </c>
      <c r="G15" t="s">
        <v>18</v>
      </c>
      <c r="H15" s="2">
        <v>32685.360000000001</v>
      </c>
      <c r="I15" t="s">
        <v>68</v>
      </c>
      <c r="K15" t="s">
        <v>69</v>
      </c>
    </row>
    <row r="16" spans="1:12" ht="33" customHeight="1" x14ac:dyDescent="0.25">
      <c r="A16" t="s">
        <v>114</v>
      </c>
      <c r="B16" t="s">
        <v>22</v>
      </c>
      <c r="C16" t="s">
        <v>15</v>
      </c>
      <c r="D16" t="s">
        <v>70</v>
      </c>
      <c r="F16" t="s">
        <v>71</v>
      </c>
      <c r="G16" t="s">
        <v>26</v>
      </c>
      <c r="H16" s="2">
        <v>32124.48</v>
      </c>
      <c r="I16" t="s">
        <v>72</v>
      </c>
      <c r="K16" t="s">
        <v>73</v>
      </c>
    </row>
    <row r="17" spans="1:12" ht="33" customHeight="1" x14ac:dyDescent="0.25">
      <c r="A17" t="s">
        <v>115</v>
      </c>
      <c r="B17" t="s">
        <v>14</v>
      </c>
      <c r="C17" t="s">
        <v>15</v>
      </c>
      <c r="D17" t="s">
        <v>74</v>
      </c>
      <c r="F17" t="s">
        <v>75</v>
      </c>
      <c r="G17" t="s">
        <v>26</v>
      </c>
      <c r="H17" s="2">
        <v>54239.06</v>
      </c>
      <c r="I17" t="s">
        <v>76</v>
      </c>
      <c r="K17" t="s">
        <v>77</v>
      </c>
    </row>
    <row r="18" spans="1:12" ht="33" customHeight="1" x14ac:dyDescent="0.25">
      <c r="A18" t="s">
        <v>78</v>
      </c>
      <c r="B18" t="s">
        <v>14</v>
      </c>
      <c r="C18" t="s">
        <v>23</v>
      </c>
      <c r="D18" t="s">
        <v>79</v>
      </c>
      <c r="F18" t="s">
        <v>80</v>
      </c>
      <c r="G18" t="s">
        <v>26</v>
      </c>
      <c r="H18" s="2">
        <v>38278.879999999997</v>
      </c>
      <c r="I18" t="s">
        <v>81</v>
      </c>
      <c r="K18" t="s">
        <v>82</v>
      </c>
    </row>
    <row r="19" spans="1:12" ht="33" customHeight="1" x14ac:dyDescent="0.25">
      <c r="A19" t="s">
        <v>116</v>
      </c>
      <c r="B19" t="s">
        <v>14</v>
      </c>
      <c r="C19" t="s">
        <v>15</v>
      </c>
      <c r="D19" t="s">
        <v>83</v>
      </c>
      <c r="F19" t="s">
        <v>84</v>
      </c>
      <c r="G19" t="s">
        <v>26</v>
      </c>
      <c r="H19" s="2">
        <v>20000</v>
      </c>
      <c r="I19" t="s">
        <v>85</v>
      </c>
      <c r="K19" t="s">
        <v>86</v>
      </c>
    </row>
    <row r="20" spans="1:12" ht="33" customHeight="1" x14ac:dyDescent="0.25">
      <c r="A20" t="s">
        <v>117</v>
      </c>
      <c r="B20" t="s">
        <v>14</v>
      </c>
      <c r="C20" t="s">
        <v>15</v>
      </c>
      <c r="D20" t="s">
        <v>87</v>
      </c>
      <c r="F20" t="s">
        <v>17</v>
      </c>
      <c r="G20" t="s">
        <v>26</v>
      </c>
      <c r="H20" s="2">
        <v>18593.25</v>
      </c>
      <c r="I20" t="s">
        <v>88</v>
      </c>
      <c r="K20" t="s">
        <v>89</v>
      </c>
    </row>
    <row r="21" spans="1:12" ht="33" customHeight="1" x14ac:dyDescent="0.25">
      <c r="A21" t="s">
        <v>118</v>
      </c>
      <c r="B21" t="s">
        <v>22</v>
      </c>
      <c r="C21" t="s">
        <v>15</v>
      </c>
      <c r="D21" t="s">
        <v>90</v>
      </c>
      <c r="E21" t="s">
        <v>91</v>
      </c>
      <c r="F21" t="s">
        <v>92</v>
      </c>
      <c r="G21" t="s">
        <v>18</v>
      </c>
      <c r="H21" s="2">
        <v>40243.53</v>
      </c>
      <c r="K21" t="s">
        <v>93</v>
      </c>
      <c r="L21" t="s">
        <v>94</v>
      </c>
    </row>
    <row r="22" spans="1:12" x14ac:dyDescent="0.25">
      <c r="A22" s="1"/>
      <c r="B22" s="1"/>
      <c r="C22" s="1"/>
      <c r="D22" s="1" t="s">
        <v>95</v>
      </c>
      <c r="E22" s="1"/>
      <c r="F22" s="1"/>
      <c r="G22" s="1"/>
      <c r="H22" s="3">
        <f>SUM(H4:H21)</f>
        <v>586632.60000000009</v>
      </c>
      <c r="I22" s="1"/>
      <c r="J22" s="1"/>
      <c r="K22" s="1"/>
      <c r="L22" s="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18CD-F429-46F4-9CB6-5E11C0D91F82}">
  <sheetPr>
    <pageSetUpPr fitToPage="1"/>
  </sheetPr>
  <dimension ref="A1:H36"/>
  <sheetViews>
    <sheetView workbookViewId="0">
      <selection activeCell="K5" sqref="K5"/>
    </sheetView>
  </sheetViews>
  <sheetFormatPr defaultRowHeight="15.75" x14ac:dyDescent="0.25"/>
  <cols>
    <col min="1" max="1" width="26.5703125" style="8" customWidth="1"/>
    <col min="2" max="2" width="13.7109375" style="8" customWidth="1"/>
    <col min="3" max="3" width="18.5703125" style="8" customWidth="1"/>
    <col min="4" max="4" width="12" style="8" customWidth="1"/>
    <col min="5" max="5" width="9.5703125" style="8" customWidth="1"/>
    <col min="6" max="7" width="16.85546875" style="8" customWidth="1"/>
    <col min="8" max="8" width="14.42578125" style="8" customWidth="1"/>
    <col min="9" max="16384" width="9.140625" style="8"/>
  </cols>
  <sheetData>
    <row r="1" spans="1:8" x14ac:dyDescent="0.25">
      <c r="E1" s="9"/>
      <c r="H1" s="9">
        <v>45828.999988425923</v>
      </c>
    </row>
    <row r="2" spans="1:8" x14ac:dyDescent="0.25">
      <c r="A2" s="10" t="s">
        <v>0</v>
      </c>
      <c r="B2" s="10"/>
      <c r="C2" s="11"/>
      <c r="D2" s="11"/>
      <c r="E2" s="12" t="s">
        <v>96</v>
      </c>
      <c r="F2" s="11"/>
      <c r="G2" s="11"/>
      <c r="H2" s="11"/>
    </row>
    <row r="3" spans="1:8" x14ac:dyDescent="0.25">
      <c r="A3" s="8" t="s">
        <v>7</v>
      </c>
      <c r="B3" s="8" t="s">
        <v>102</v>
      </c>
      <c r="C3" s="8" t="s">
        <v>8</v>
      </c>
      <c r="D3" s="8" t="s">
        <v>97</v>
      </c>
      <c r="E3" s="8" t="s">
        <v>98</v>
      </c>
      <c r="F3" s="8" t="s">
        <v>99</v>
      </c>
      <c r="G3" s="8" t="s">
        <v>101</v>
      </c>
      <c r="H3" s="8" t="s">
        <v>100</v>
      </c>
    </row>
    <row r="4" spans="1:8" ht="27" customHeight="1" x14ac:dyDescent="0.25">
      <c r="A4" s="8" t="s">
        <v>33</v>
      </c>
      <c r="B4" s="17"/>
      <c r="C4" s="8" t="s">
        <v>18</v>
      </c>
      <c r="D4" s="13">
        <v>750</v>
      </c>
      <c r="E4" s="13">
        <v>0</v>
      </c>
      <c r="F4" s="16">
        <v>29612.75</v>
      </c>
      <c r="G4" s="13"/>
      <c r="H4" s="13">
        <v>29687.75</v>
      </c>
    </row>
    <row r="5" spans="1:8" ht="27" customHeight="1" x14ac:dyDescent="0.25">
      <c r="B5" s="17"/>
      <c r="D5" s="13"/>
      <c r="E5" s="13"/>
      <c r="F5" s="16"/>
      <c r="G5" s="13"/>
      <c r="H5" s="13"/>
    </row>
    <row r="6" spans="1:8" ht="27" customHeight="1" x14ac:dyDescent="0.25">
      <c r="A6" s="8" t="s">
        <v>63</v>
      </c>
      <c r="B6" s="17"/>
      <c r="C6" s="8" t="s">
        <v>18</v>
      </c>
      <c r="D6" s="13">
        <v>750</v>
      </c>
      <c r="E6" s="13">
        <v>0</v>
      </c>
      <c r="F6" s="16">
        <v>26027.13</v>
      </c>
      <c r="G6" s="13"/>
      <c r="H6" s="13">
        <v>26102.13</v>
      </c>
    </row>
    <row r="7" spans="1:8" ht="27" customHeight="1" x14ac:dyDescent="0.25">
      <c r="B7" s="17"/>
      <c r="D7" s="13"/>
      <c r="E7" s="13"/>
      <c r="F7" s="16"/>
      <c r="G7" s="13"/>
      <c r="H7" s="13"/>
    </row>
    <row r="8" spans="1:8" ht="27" customHeight="1" x14ac:dyDescent="0.25">
      <c r="A8" s="8" t="s">
        <v>75</v>
      </c>
      <c r="B8" s="17"/>
      <c r="C8" s="8" t="s">
        <v>26</v>
      </c>
      <c r="D8" s="13">
        <v>1350</v>
      </c>
      <c r="E8" s="13">
        <v>0</v>
      </c>
      <c r="F8" s="16">
        <v>54164.06</v>
      </c>
      <c r="G8" s="13"/>
      <c r="H8" s="13">
        <v>54239.06</v>
      </c>
    </row>
    <row r="9" spans="1:8" ht="27" customHeight="1" x14ac:dyDescent="0.25">
      <c r="B9" s="17"/>
      <c r="D9" s="13"/>
      <c r="E9" s="13"/>
      <c r="F9" s="16"/>
      <c r="G9" s="13"/>
      <c r="H9" s="13"/>
    </row>
    <row r="10" spans="1:8" ht="27" customHeight="1" x14ac:dyDescent="0.25">
      <c r="A10" s="8" t="s">
        <v>92</v>
      </c>
      <c r="B10" s="17"/>
      <c r="C10" s="8" t="s">
        <v>18</v>
      </c>
      <c r="D10" s="13">
        <v>1050</v>
      </c>
      <c r="E10" s="13">
        <v>0</v>
      </c>
      <c r="F10" s="16">
        <v>40168.53</v>
      </c>
      <c r="G10" s="13"/>
      <c r="H10" s="13">
        <v>40243.53</v>
      </c>
    </row>
    <row r="11" spans="1:8" ht="27" customHeight="1" x14ac:dyDescent="0.25">
      <c r="B11" s="17"/>
      <c r="D11" s="13"/>
      <c r="E11" s="13"/>
      <c r="F11" s="16"/>
      <c r="G11" s="13"/>
      <c r="H11" s="13"/>
    </row>
    <row r="12" spans="1:8" ht="27" customHeight="1" x14ac:dyDescent="0.25">
      <c r="A12" s="8" t="s">
        <v>59</v>
      </c>
      <c r="B12" s="17"/>
      <c r="C12" s="8" t="s">
        <v>18</v>
      </c>
      <c r="D12" s="13">
        <v>850</v>
      </c>
      <c r="E12" s="13">
        <v>0</v>
      </c>
      <c r="F12" s="16">
        <v>34149.78</v>
      </c>
      <c r="G12" s="13"/>
      <c r="H12" s="13">
        <v>34224.78</v>
      </c>
    </row>
    <row r="13" spans="1:8" ht="27" customHeight="1" x14ac:dyDescent="0.25">
      <c r="B13" s="17"/>
      <c r="D13" s="13"/>
      <c r="E13" s="13"/>
      <c r="F13" s="16"/>
      <c r="G13" s="13"/>
      <c r="H13" s="13"/>
    </row>
    <row r="14" spans="1:8" ht="27" customHeight="1" x14ac:dyDescent="0.25">
      <c r="A14" s="8" t="s">
        <v>67</v>
      </c>
      <c r="B14" s="17" t="s">
        <v>103</v>
      </c>
      <c r="C14" s="8" t="s">
        <v>18</v>
      </c>
      <c r="D14" s="13">
        <v>850</v>
      </c>
      <c r="E14" s="13">
        <v>0</v>
      </c>
      <c r="F14" s="16">
        <v>32610.36</v>
      </c>
      <c r="G14" s="13"/>
      <c r="H14" s="13">
        <v>32685.360000000001</v>
      </c>
    </row>
    <row r="15" spans="1:8" ht="27" customHeight="1" x14ac:dyDescent="0.25">
      <c r="B15" s="17"/>
      <c r="D15" s="13"/>
      <c r="E15" s="13"/>
      <c r="F15" s="16"/>
      <c r="G15" s="13"/>
      <c r="H15" s="13"/>
    </row>
    <row r="16" spans="1:8" ht="27" customHeight="1" x14ac:dyDescent="0.25">
      <c r="A16" s="8" t="s">
        <v>84</v>
      </c>
      <c r="B16" s="17" t="s">
        <v>104</v>
      </c>
      <c r="C16" s="8" t="s">
        <v>26</v>
      </c>
      <c r="D16" s="13">
        <v>650</v>
      </c>
      <c r="E16" s="13">
        <v>0</v>
      </c>
      <c r="F16" s="16">
        <v>19925</v>
      </c>
      <c r="G16" s="13"/>
      <c r="H16" s="13">
        <v>20000</v>
      </c>
    </row>
    <row r="17" spans="1:8" ht="27" customHeight="1" x14ac:dyDescent="0.25">
      <c r="B17" s="17"/>
      <c r="D17" s="13"/>
      <c r="E17" s="13"/>
      <c r="F17" s="16"/>
      <c r="G17" s="13"/>
      <c r="H17" s="13"/>
    </row>
    <row r="18" spans="1:8" ht="27" customHeight="1" x14ac:dyDescent="0.25">
      <c r="A18" s="8" t="s">
        <v>71</v>
      </c>
      <c r="B18" s="17"/>
      <c r="C18" s="8" t="s">
        <v>26</v>
      </c>
      <c r="D18" s="13">
        <v>850</v>
      </c>
      <c r="E18" s="13">
        <v>0</v>
      </c>
      <c r="F18" s="16">
        <v>32049.48</v>
      </c>
      <c r="G18" s="13"/>
      <c r="H18" s="13">
        <v>32124.48</v>
      </c>
    </row>
    <row r="19" spans="1:8" ht="27" customHeight="1" x14ac:dyDescent="0.25">
      <c r="B19" s="17"/>
      <c r="D19" s="13"/>
      <c r="E19" s="13"/>
      <c r="F19" s="13"/>
      <c r="G19" s="13"/>
      <c r="H19" s="13"/>
    </row>
    <row r="20" spans="1:8" ht="27" customHeight="1" x14ac:dyDescent="0.25">
      <c r="A20" s="8" t="s">
        <v>38</v>
      </c>
      <c r="B20" s="17"/>
      <c r="C20" s="8" t="s">
        <v>18</v>
      </c>
      <c r="D20" s="13">
        <v>850</v>
      </c>
      <c r="E20" s="13">
        <v>0</v>
      </c>
      <c r="F20" s="13">
        <v>31079.69</v>
      </c>
      <c r="G20" s="13"/>
      <c r="H20" s="13">
        <v>31154.69</v>
      </c>
    </row>
    <row r="21" spans="1:8" ht="27" customHeight="1" x14ac:dyDescent="0.25">
      <c r="A21" s="8" t="s">
        <v>38</v>
      </c>
      <c r="B21" s="17"/>
      <c r="C21" s="8" t="s">
        <v>18</v>
      </c>
      <c r="D21" s="13">
        <v>950</v>
      </c>
      <c r="E21" s="13">
        <v>0</v>
      </c>
      <c r="F21" s="13">
        <v>35076.65</v>
      </c>
      <c r="G21" s="16">
        <f>SUM(F20:F21)</f>
        <v>66156.34</v>
      </c>
      <c r="H21" s="13">
        <v>35151.65</v>
      </c>
    </row>
    <row r="22" spans="1:8" ht="27" customHeight="1" x14ac:dyDescent="0.25">
      <c r="B22" s="17"/>
      <c r="D22" s="13"/>
      <c r="E22" s="13"/>
      <c r="F22" s="13"/>
      <c r="G22" s="13"/>
      <c r="H22" s="13"/>
    </row>
    <row r="23" spans="1:8" ht="27" customHeight="1" x14ac:dyDescent="0.25">
      <c r="A23" s="8" t="s">
        <v>17</v>
      </c>
      <c r="B23" s="17"/>
      <c r="C23" s="8" t="s">
        <v>18</v>
      </c>
      <c r="D23" s="13">
        <v>850</v>
      </c>
      <c r="E23" s="13">
        <v>0</v>
      </c>
      <c r="F23" s="13">
        <v>30000</v>
      </c>
      <c r="G23" s="13"/>
      <c r="H23" s="13">
        <v>30075</v>
      </c>
    </row>
    <row r="24" spans="1:8" ht="27" customHeight="1" x14ac:dyDescent="0.25">
      <c r="A24" s="8" t="s">
        <v>17</v>
      </c>
      <c r="B24" s="17"/>
      <c r="C24" s="8" t="s">
        <v>18</v>
      </c>
      <c r="D24" s="13">
        <v>750</v>
      </c>
      <c r="E24" s="13">
        <v>0</v>
      </c>
      <c r="F24" s="13">
        <v>26828.31</v>
      </c>
      <c r="G24" s="13"/>
      <c r="H24" s="13">
        <v>26903.31</v>
      </c>
    </row>
    <row r="25" spans="1:8" ht="27" customHeight="1" x14ac:dyDescent="0.25">
      <c r="A25" s="8" t="s">
        <v>17</v>
      </c>
      <c r="B25" s="17"/>
      <c r="C25" s="8" t="s">
        <v>26</v>
      </c>
      <c r="D25" s="13">
        <v>500</v>
      </c>
      <c r="E25" s="13">
        <v>0</v>
      </c>
      <c r="F25" s="13">
        <v>19336.21</v>
      </c>
      <c r="G25" s="13"/>
      <c r="H25" s="13">
        <v>19411.21</v>
      </c>
    </row>
    <row r="26" spans="1:8" ht="27" customHeight="1" x14ac:dyDescent="0.25">
      <c r="A26" s="8" t="s">
        <v>17</v>
      </c>
      <c r="B26" s="17"/>
      <c r="C26" s="8" t="s">
        <v>26</v>
      </c>
      <c r="D26" s="13">
        <v>500</v>
      </c>
      <c r="E26" s="13">
        <v>0</v>
      </c>
      <c r="F26" s="13">
        <v>18518.25</v>
      </c>
      <c r="G26" s="16">
        <f>SUM(F23:F26)</f>
        <v>94682.76999999999</v>
      </c>
      <c r="H26" s="13">
        <v>18593.25</v>
      </c>
    </row>
    <row r="27" spans="1:8" ht="27" customHeight="1" x14ac:dyDescent="0.25">
      <c r="B27" s="17"/>
      <c r="D27" s="13"/>
      <c r="E27" s="13"/>
      <c r="F27" s="13"/>
      <c r="G27" s="13"/>
      <c r="H27" s="13"/>
    </row>
    <row r="28" spans="1:8" ht="27" customHeight="1" x14ac:dyDescent="0.25">
      <c r="A28" s="8" t="s">
        <v>52</v>
      </c>
      <c r="B28" s="17"/>
      <c r="C28" s="8" t="s">
        <v>26</v>
      </c>
      <c r="D28" s="13">
        <v>850</v>
      </c>
      <c r="E28" s="13">
        <v>0</v>
      </c>
      <c r="F28" s="16">
        <v>34003.19</v>
      </c>
      <c r="G28" s="13"/>
      <c r="H28" s="13">
        <v>34078.19</v>
      </c>
    </row>
    <row r="29" spans="1:8" ht="27" customHeight="1" x14ac:dyDescent="0.25">
      <c r="B29" s="17"/>
      <c r="D29" s="13"/>
      <c r="E29" s="13"/>
      <c r="F29" s="16"/>
      <c r="G29" s="13"/>
      <c r="H29" s="13"/>
    </row>
    <row r="30" spans="1:8" ht="27" customHeight="1" x14ac:dyDescent="0.25">
      <c r="A30" s="8" t="s">
        <v>42</v>
      </c>
      <c r="B30" s="17"/>
      <c r="C30" s="8" t="s">
        <v>26</v>
      </c>
      <c r="D30" s="13">
        <v>1050</v>
      </c>
      <c r="E30" s="13">
        <v>0</v>
      </c>
      <c r="F30" s="16">
        <v>42257</v>
      </c>
      <c r="G30" s="13"/>
      <c r="H30" s="13">
        <v>42332</v>
      </c>
    </row>
    <row r="31" spans="1:8" ht="27" customHeight="1" x14ac:dyDescent="0.25">
      <c r="B31" s="17"/>
      <c r="D31" s="13"/>
      <c r="E31" s="13"/>
      <c r="F31" s="16"/>
      <c r="G31" s="13"/>
      <c r="H31" s="13"/>
    </row>
    <row r="32" spans="1:8" ht="27" customHeight="1" x14ac:dyDescent="0.25">
      <c r="A32" s="8" t="s">
        <v>25</v>
      </c>
      <c r="B32" s="17"/>
      <c r="C32" s="8" t="s">
        <v>26</v>
      </c>
      <c r="D32" s="13">
        <v>1050</v>
      </c>
      <c r="E32" s="13">
        <v>0</v>
      </c>
      <c r="F32" s="16">
        <v>41272.33</v>
      </c>
      <c r="G32" s="13"/>
      <c r="H32" s="13">
        <v>41347.33</v>
      </c>
    </row>
    <row r="33" spans="1:8" ht="27" customHeight="1" x14ac:dyDescent="0.25">
      <c r="B33" s="17"/>
      <c r="D33" s="13"/>
      <c r="E33" s="13"/>
      <c r="F33" s="16"/>
      <c r="G33" s="13"/>
      <c r="H33" s="13"/>
    </row>
    <row r="34" spans="1:8" ht="27" customHeight="1" x14ac:dyDescent="0.25">
      <c r="A34" s="8" t="s">
        <v>80</v>
      </c>
      <c r="B34" s="17"/>
      <c r="C34" s="8" t="s">
        <v>26</v>
      </c>
      <c r="D34" s="13">
        <v>950</v>
      </c>
      <c r="E34" s="13">
        <v>0</v>
      </c>
      <c r="F34" s="16">
        <v>38203.879999999997</v>
      </c>
      <c r="G34" s="13"/>
      <c r="H34" s="13">
        <v>38278.879999999997</v>
      </c>
    </row>
    <row r="35" spans="1:8" ht="27" customHeight="1" x14ac:dyDescent="0.25">
      <c r="B35" s="17"/>
      <c r="D35" s="13"/>
      <c r="E35" s="13"/>
      <c r="F35" s="13"/>
      <c r="G35" s="13"/>
      <c r="H35" s="13"/>
    </row>
    <row r="36" spans="1:8" x14ac:dyDescent="0.25">
      <c r="A36" s="14"/>
      <c r="B36" s="18"/>
      <c r="C36" s="14"/>
      <c r="D36" s="15">
        <f>SUM(D4:D34)</f>
        <v>15400</v>
      </c>
      <c r="E36" s="15">
        <f>SUM(E4:E34)</f>
        <v>0</v>
      </c>
      <c r="F36" s="15">
        <f>SUM(F4:F34)</f>
        <v>585282.6</v>
      </c>
      <c r="G36" s="15"/>
      <c r="H36" s="15">
        <f>SUM(H4:H34)</f>
        <v>586632.6</v>
      </c>
    </row>
  </sheetData>
  <mergeCells count="2">
    <mergeCell ref="A2:D2"/>
    <mergeCell ref="E2:H2"/>
  </mergeCells>
  <pageMargins left="0.7" right="0.25" top="0.75" bottom="0.75" header="0.3" footer="0.3"/>
  <pageSetup scale="87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FAAD-272F-460A-92DF-B6A7CB51A98C}">
  <sheetPr>
    <pageSetUpPr fitToPage="1"/>
  </sheetPr>
  <dimension ref="A1:E22"/>
  <sheetViews>
    <sheetView workbookViewId="0">
      <selection activeCell="E21" sqref="E21"/>
    </sheetView>
  </sheetViews>
  <sheetFormatPr defaultRowHeight="15" x14ac:dyDescent="0.25"/>
  <cols>
    <col min="1" max="1" width="11.85546875" customWidth="1"/>
    <col min="2" max="2" width="12" customWidth="1"/>
    <col min="3" max="3" width="20" customWidth="1"/>
    <col min="4" max="4" width="16.140625" customWidth="1"/>
    <col min="5" max="5" width="34" customWidth="1"/>
  </cols>
  <sheetData>
    <row r="1" spans="1:5" x14ac:dyDescent="0.25">
      <c r="A1" t="s">
        <v>121</v>
      </c>
      <c r="D1" s="4"/>
      <c r="E1" s="21">
        <v>45828</v>
      </c>
    </row>
    <row r="2" spans="1:5" x14ac:dyDescent="0.25">
      <c r="A2" s="5" t="s">
        <v>0</v>
      </c>
      <c r="B2" s="6"/>
      <c r="C2" s="6"/>
      <c r="D2" s="7" t="s">
        <v>119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21</v>
      </c>
      <c r="B4" t="s">
        <v>23</v>
      </c>
      <c r="C4" t="s">
        <v>24</v>
      </c>
      <c r="E4" t="s">
        <v>25</v>
      </c>
    </row>
    <row r="5" spans="1:5" ht="24.95" customHeight="1" x14ac:dyDescent="0.25">
      <c r="A5" t="s">
        <v>36</v>
      </c>
      <c r="B5" t="s">
        <v>23</v>
      </c>
      <c r="C5" t="s">
        <v>37</v>
      </c>
      <c r="E5" t="s">
        <v>38</v>
      </c>
    </row>
    <row r="6" spans="1:5" ht="24.95" customHeight="1" x14ac:dyDescent="0.25">
      <c r="A6" t="s">
        <v>45</v>
      </c>
      <c r="B6" t="s">
        <v>23</v>
      </c>
      <c r="C6" t="s">
        <v>46</v>
      </c>
      <c r="D6" t="s">
        <v>47</v>
      </c>
      <c r="E6" t="s">
        <v>38</v>
      </c>
    </row>
    <row r="7" spans="1:5" ht="24.95" customHeight="1" x14ac:dyDescent="0.25">
      <c r="A7" t="s">
        <v>78</v>
      </c>
      <c r="B7" t="s">
        <v>23</v>
      </c>
      <c r="C7" t="s">
        <v>79</v>
      </c>
      <c r="E7" t="s">
        <v>80</v>
      </c>
    </row>
    <row r="8" spans="1:5" x14ac:dyDescent="0.25">
      <c r="A8" s="1"/>
      <c r="B8" s="1"/>
      <c r="C8" s="1" t="s">
        <v>120</v>
      </c>
      <c r="D8" s="1"/>
      <c r="E8" s="1"/>
    </row>
    <row r="13" spans="1:5" x14ac:dyDescent="0.25">
      <c r="A13" t="s">
        <v>122</v>
      </c>
      <c r="B13" s="22"/>
      <c r="C13" s="22"/>
      <c r="D13" s="22"/>
    </row>
    <row r="17" spans="1:4" x14ac:dyDescent="0.25">
      <c r="A17" t="s">
        <v>123</v>
      </c>
      <c r="B17" s="23"/>
      <c r="C17" s="23"/>
      <c r="D17" s="23"/>
    </row>
    <row r="22" spans="1:4" x14ac:dyDescent="0.25">
      <c r="A22" t="s">
        <v>124</v>
      </c>
      <c r="B22" s="22"/>
      <c r="C22" s="22"/>
    </row>
  </sheetData>
  <mergeCells count="2">
    <mergeCell ref="A2:C2"/>
    <mergeCell ref="D2:E2"/>
  </mergeCells>
  <pageMargins left="0.7" right="0.7" top="0.75" bottom="0.75" header="0.3" footer="0.3"/>
  <pageSetup scale="9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2025-06-20T18:48:50Z</cp:lastPrinted>
  <dcterms:created xsi:type="dcterms:W3CDTF">2025-06-20T18:31:46Z</dcterms:created>
  <dcterms:modified xsi:type="dcterms:W3CDTF">2025-06-20T19:11:25Z</dcterms:modified>
</cp:coreProperties>
</file>