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BEE77D1-3F04-4325-A5A4-6AB3EFB62693}" xr6:coauthVersionLast="47" xr6:coauthVersionMax="47" xr10:uidLastSave="{00000000-0000-0000-0000-000000000000}"/>
  <bookViews>
    <workbookView xWindow="33585" yWindow="1035" windowWidth="24000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F26" i="2"/>
  <c r="E26" i="2"/>
  <c r="D26" i="2"/>
  <c r="H15" i="1"/>
</calcChain>
</file>

<file path=xl/sharedStrings.xml><?xml version="1.0" encoding="utf-8"?>
<sst xmlns="http://schemas.openxmlformats.org/spreadsheetml/2006/main" count="156" uniqueCount="95">
  <si>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</si>
  <si>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</si>
  <si>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</si>
  <si>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</si>
  <si>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</si>
  <si>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</si>
  <si>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</si>
  <si>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</si>
  <si>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</si>
  <si>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</si>
  <si>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</si>
  <si>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</si>
  <si>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</si>
  <si>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</si>
  <si>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</si>
  <si>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</si>
  <si>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</si>
  <si>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Swiderski, Jeffrey</t>
  </si>
  <si>
    <t>Drive Automotive Sales &amp; Service LLC</t>
  </si>
  <si>
    <t>Marlene Braganca</t>
  </si>
  <si>
    <t>jswids22@gmail.com</t>
  </si>
  <si>
    <t>McDonald</t>
  </si>
  <si>
    <t>JONAS, RACHELLE</t>
  </si>
  <si>
    <t>Patriot Auto Group Inc d/b/a</t>
  </si>
  <si>
    <t>RACHELLEJONaS@COmCAST.NET</t>
  </si>
  <si>
    <t>Gonsalves</t>
  </si>
  <si>
    <t>151241660</t>
  </si>
  <si>
    <t>DealerTrack</t>
  </si>
  <si>
    <t>Paper</t>
  </si>
  <si>
    <t>ODONNELL, THOMAS</t>
  </si>
  <si>
    <t>Frank Battles Inc</t>
  </si>
  <si>
    <t>Neli Oliveira</t>
  </si>
  <si>
    <t>LAFORTE</t>
  </si>
  <si>
    <t>PAULIN, PAMELA</t>
  </si>
  <si>
    <t>Paul Masse Chevrolet, Inc</t>
  </si>
  <si>
    <t>Rachel Gorham</t>
  </si>
  <si>
    <t>LEORULES0077@GMAIL.COM</t>
  </si>
  <si>
    <t>PALUMBO</t>
  </si>
  <si>
    <t>CROTEAU, DYLAN</t>
  </si>
  <si>
    <t>Infiniti of Norwood</t>
  </si>
  <si>
    <t>DCROTEAU@ALBRECHTAUTO.COM</t>
  </si>
  <si>
    <t>ROULEAU</t>
  </si>
  <si>
    <t>OLIVEIRA, GERMANE</t>
  </si>
  <si>
    <t>Alden Mazda</t>
  </si>
  <si>
    <t>GIGGA067@HOTMAIL.COM</t>
  </si>
  <si>
    <t>CABRAL</t>
  </si>
  <si>
    <t>SMITH, CALVIN</t>
  </si>
  <si>
    <t>Bourne Enterprises Inc</t>
  </si>
  <si>
    <t>CALJSMITH@GMAIL.COM</t>
  </si>
  <si>
    <t>MITCH</t>
  </si>
  <si>
    <t>CAREY, SCOTT</t>
  </si>
  <si>
    <t>CAREY, TABITHA</t>
  </si>
  <si>
    <t>Mastria Buick Pontiac</t>
  </si>
  <si>
    <t>smc.usmc@gmail.com</t>
  </si>
  <si>
    <t>tc.designs04@gmail.com</t>
  </si>
  <si>
    <t>Carey</t>
  </si>
  <si>
    <t>Bartlett</t>
  </si>
  <si>
    <t>SOARES, NINA</t>
  </si>
  <si>
    <t>RAH FALL RIVER VW, LLC</t>
  </si>
  <si>
    <t>NINATSOARES@GMAIL.COM</t>
  </si>
  <si>
    <t>BETTENCOURT</t>
  </si>
  <si>
    <t>WRIGHT, ADRIAN</t>
  </si>
  <si>
    <t>Wareham Ford</t>
  </si>
  <si>
    <t>ADEADE65@YAHOO.COM</t>
  </si>
  <si>
    <t>GOLDSBOROUGH</t>
  </si>
  <si>
    <t>MACFARLAND, MARTA</t>
  </si>
  <si>
    <t>Planet Subaru</t>
  </si>
  <si>
    <t>MARTAMACF@VERIZON.NET</t>
  </si>
  <si>
    <t>SONNICHSEN</t>
  </si>
  <si>
    <t># 11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</si>
  <si>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</si>
  <si>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</si>
  <si>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</si>
  <si>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</si>
  <si>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</si>
  <si>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</si>
  <si>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</si>
  <si>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</si>
  <si>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4453-2150</t>
  </si>
  <si>
    <t>151241587 E</t>
  </si>
  <si>
    <t>151241610 E</t>
  </si>
  <si>
    <t>151241701 E</t>
  </si>
  <si>
    <t>151241719 E</t>
  </si>
  <si>
    <t>151241727 E</t>
  </si>
  <si>
    <t>151241735 E</t>
  </si>
  <si>
    <t>151241743 E</t>
  </si>
  <si>
    <t>151241777 E</t>
  </si>
  <si>
    <t>151241785 E</t>
  </si>
  <si>
    <t>151241793 E</t>
  </si>
  <si>
    <t>Funding Worksheet - Signoff Version</t>
  </si>
  <si>
    <t># 1</t>
  </si>
  <si>
    <t>Delivered by:</t>
  </si>
  <si>
    <t>Recevied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</si>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</sst>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0" fontId="4" fillId="0" borderId="0" xfId="0" applyFont="1" applyAlignment="1">
      <alignment horizontal="center"/>
    </xf>
    <xf numFmtId="7" fontId="3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5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DAC08-9929-4538-955B-F2120024535E}" name="Table_14" displayName="Table_14" ref="A3:H26" headerRowDxfId="18" dataDxfId="16" totalsRowDxfId="17">
  <sortState xmlns:xlrd2="http://schemas.microsoft.com/office/spreadsheetml/2017/richdata2" ref="A4:H26">
    <sortCondition ref="A4:A26"/>
  </sortState>
  <tableColumns count="8">
    <tableColumn id="1" xr3:uid="{2C880EEA-695E-4113-BF26-77C84AFFCC58}" name="Dealer Name" dataDxfId="26"/>
    <tableColumn id="8" xr3:uid="{CEA3D165-607F-4CEA-B727-AB315E153EE2}" name="Column2" dataDxfId="25"/>
    <tableColumn id="2" xr3:uid="{9304CF6D-834B-4E22-83CF-BAA8BDBC7D8F}" name="Funded by" dataDxfId="24"/>
    <tableColumn id="3" xr3:uid="{41EDA3F7-9100-4829-BEA7-8B3AC98C10B4}" name="Dealer Flat" dataDxfId="23"/>
    <tableColumn id="4" xr3:uid="{A857D214-AE82-437E-834B-66B86F4CF521}" name="Dealer Split" dataDxfId="22"/>
    <tableColumn id="5" xr3:uid="{1B82502D-7A38-454A-A57E-DA2E6AF53A05}" name="Net to Dealer" dataDxfId="21"/>
    <tableColumn id="7" xr3:uid="{62F15D76-0746-49CD-B6CD-AA7D4C95823B}" name="Column1" dataDxfId="20"/>
    <tableColumn id="6" xr3:uid="{F613DC76-3514-4B49-9DC6-47C9B13B99ED}" name="Contracted Amount Financed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AD4F15-5BAB-4C8E-9D2D-1DFD0CCA9E7C}" name="Table_16" displayName="Table_16" ref="A3:F5">
  <tableColumns count="6">
    <tableColumn id="1" xr3:uid="{4F8A848D-8B97-4516-ADF6-E2CBD95FB7F2}" name="Account Number"/>
    <tableColumn id="2" xr3:uid="{175D6BF7-A51F-49D6-BB5C-1145A5A823DC}" name="Contract Type"/>
    <tableColumn id="3" xr3:uid="{20C05645-C23F-4E1A-B9A3-9ED046901D60}" name="Applicant Name"/>
    <tableColumn id="4" xr3:uid="{668501CD-38CC-47FE-9259-AF33CB536B4A}" name="Co-Applicant Name"/>
    <tableColumn id="5" xr3:uid="{FB1F64E7-62E4-4F53-AB4C-CE354379F991}" name="Dealer Name"/>
    <tableColumn id="6" xr3:uid="{236F4B02-E3E3-4AD3-BF86-84B977A561C3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workbookViewId="0">
      <pane ySplit="3" topLeftCell="A4" activePane="bottomLeft" state="frozen"/>
      <selection pane="bottomLeft" activeCell="E8" sqref="E8"/>
    </sheetView>
  </sheetViews>
  <sheetFormatPr defaultRowHeight="15.75" x14ac:dyDescent="0.25"/>
  <cols>
    <col min="1" max="1" width="16.42578125" style="3" bestFit="1" customWidth="1"/>
    <col min="2" max="2" width="12.140625" style="3" bestFit="1" customWidth="1"/>
    <col min="3" max="3" width="14" style="3" bestFit="1" customWidth="1"/>
    <col min="4" max="4" width="21.42578125" style="3" bestFit="1" customWidth="1"/>
    <col min="5" max="5" width="16.85546875" style="3" customWidth="1"/>
    <col min="6" max="6" width="35.85546875" style="3" bestFit="1" customWidth="1"/>
    <col min="7" max="7" width="17.7109375" style="3" bestFit="1" customWidth="1"/>
    <col min="8" max="8" width="17.28515625" style="3" bestFit="1" customWidth="1"/>
    <col min="9" max="9" width="33" style="3" bestFit="1" customWidth="1"/>
    <col min="10" max="10" width="24.140625" style="3" bestFit="1" customWidth="1"/>
    <col min="11" max="11" width="21" style="3" bestFit="1" customWidth="1"/>
    <col min="12" max="12" width="10" style="3" customWidth="1"/>
    <col min="13" max="13" width="17.140625" style="3" hidden="1" customWidth="1"/>
    <col min="14" max="16384" width="9.140625" style="3"/>
  </cols>
  <sheetData>
    <row r="1" spans="1:13" x14ac:dyDescent="0.25">
      <c r="K1" s="4">
        <v>45960</v>
      </c>
      <c r="M1" s="4">
        <v>45960.999988425923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30" customHeight="1" x14ac:dyDescent="0.25">
      <c r="A4" s="3" t="s">
        <v>79</v>
      </c>
      <c r="B4" s="3" t="s">
        <v>15</v>
      </c>
      <c r="C4" s="3" t="s">
        <v>16</v>
      </c>
      <c r="D4" s="3" t="s">
        <v>17</v>
      </c>
      <c r="F4" s="3" t="s">
        <v>18</v>
      </c>
      <c r="G4" s="3" t="s">
        <v>19</v>
      </c>
      <c r="H4" s="8">
        <v>30000</v>
      </c>
      <c r="I4" s="3" t="s">
        <v>20</v>
      </c>
      <c r="K4" s="3" t="s">
        <v>21</v>
      </c>
    </row>
    <row r="5" spans="1:13" ht="30" customHeight="1" x14ac:dyDescent="0.25">
      <c r="A5" s="3" t="s">
        <v>80</v>
      </c>
      <c r="B5" s="3" t="s">
        <v>15</v>
      </c>
      <c r="C5" s="3" t="s">
        <v>16</v>
      </c>
      <c r="D5" s="3" t="s">
        <v>22</v>
      </c>
      <c r="F5" s="3" t="s">
        <v>23</v>
      </c>
      <c r="G5" s="3" t="s">
        <v>19</v>
      </c>
      <c r="H5" s="8">
        <v>16037.75</v>
      </c>
      <c r="I5" s="3" t="s">
        <v>24</v>
      </c>
      <c r="K5" s="3" t="s">
        <v>25</v>
      </c>
    </row>
    <row r="6" spans="1:13" ht="30" customHeight="1" x14ac:dyDescent="0.25">
      <c r="A6" s="3" t="s">
        <v>26</v>
      </c>
      <c r="B6" s="3" t="s">
        <v>27</v>
      </c>
      <c r="C6" s="3" t="s">
        <v>28</v>
      </c>
      <c r="D6" s="3" t="s">
        <v>29</v>
      </c>
      <c r="F6" s="3" t="s">
        <v>30</v>
      </c>
      <c r="G6" s="3" t="s">
        <v>31</v>
      </c>
      <c r="H6" s="8">
        <v>16455.93</v>
      </c>
      <c r="K6" s="3" t="s">
        <v>32</v>
      </c>
    </row>
    <row r="7" spans="1:13" ht="30" customHeight="1" x14ac:dyDescent="0.25">
      <c r="A7" s="3" t="s">
        <v>81</v>
      </c>
      <c r="B7" s="3" t="s">
        <v>15</v>
      </c>
      <c r="C7" s="3" t="s">
        <v>16</v>
      </c>
      <c r="D7" s="3" t="s">
        <v>33</v>
      </c>
      <c r="F7" s="3" t="s">
        <v>34</v>
      </c>
      <c r="G7" s="3" t="s">
        <v>35</v>
      </c>
      <c r="H7" s="8">
        <v>29263.38</v>
      </c>
      <c r="I7" s="3" t="s">
        <v>36</v>
      </c>
      <c r="K7" s="3" t="s">
        <v>37</v>
      </c>
    </row>
    <row r="8" spans="1:13" ht="30" customHeight="1" x14ac:dyDescent="0.25">
      <c r="A8" s="3" t="s">
        <v>82</v>
      </c>
      <c r="B8" s="3" t="s">
        <v>27</v>
      </c>
      <c r="C8" s="3" t="s">
        <v>16</v>
      </c>
      <c r="D8" s="3" t="s">
        <v>38</v>
      </c>
      <c r="F8" s="3" t="s">
        <v>39</v>
      </c>
      <c r="G8" s="3" t="s">
        <v>35</v>
      </c>
      <c r="H8" s="8">
        <v>20894.22</v>
      </c>
      <c r="I8" s="3" t="s">
        <v>40</v>
      </c>
      <c r="K8" s="3" t="s">
        <v>41</v>
      </c>
    </row>
    <row r="9" spans="1:13" ht="30" customHeight="1" x14ac:dyDescent="0.25">
      <c r="A9" s="3" t="s">
        <v>83</v>
      </c>
      <c r="B9" s="3" t="s">
        <v>15</v>
      </c>
      <c r="C9" s="3" t="s">
        <v>16</v>
      </c>
      <c r="D9" s="3" t="s">
        <v>42</v>
      </c>
      <c r="F9" s="3" t="s">
        <v>43</v>
      </c>
      <c r="G9" s="3" t="s">
        <v>35</v>
      </c>
      <c r="H9" s="8">
        <v>19447.689999999999</v>
      </c>
      <c r="I9" s="3" t="s">
        <v>44</v>
      </c>
      <c r="K9" s="3" t="s">
        <v>45</v>
      </c>
    </row>
    <row r="10" spans="1:13" ht="30" customHeight="1" x14ac:dyDescent="0.25">
      <c r="A10" s="3" t="s">
        <v>84</v>
      </c>
      <c r="B10" s="3" t="s">
        <v>27</v>
      </c>
      <c r="C10" s="3" t="s">
        <v>16</v>
      </c>
      <c r="D10" s="3" t="s">
        <v>46</v>
      </c>
      <c r="F10" s="3" t="s">
        <v>47</v>
      </c>
      <c r="G10" s="3" t="s">
        <v>35</v>
      </c>
      <c r="H10" s="8">
        <v>34590.379999999997</v>
      </c>
      <c r="I10" s="3" t="s">
        <v>48</v>
      </c>
      <c r="K10" s="3" t="s">
        <v>49</v>
      </c>
    </row>
    <row r="11" spans="1:13" ht="30" customHeight="1" x14ac:dyDescent="0.25">
      <c r="A11" s="3" t="s">
        <v>85</v>
      </c>
      <c r="B11" s="3" t="s">
        <v>15</v>
      </c>
      <c r="C11" s="3" t="s">
        <v>16</v>
      </c>
      <c r="D11" s="3" t="s">
        <v>50</v>
      </c>
      <c r="E11" s="3" t="s">
        <v>51</v>
      </c>
      <c r="F11" s="3" t="s">
        <v>52</v>
      </c>
      <c r="G11" s="3" t="s">
        <v>19</v>
      </c>
      <c r="H11" s="8">
        <v>55982.26</v>
      </c>
      <c r="I11" s="3" t="s">
        <v>53</v>
      </c>
      <c r="J11" s="3" t="s">
        <v>54</v>
      </c>
      <c r="K11" s="3" t="s">
        <v>55</v>
      </c>
      <c r="L11" s="3" t="s">
        <v>56</v>
      </c>
    </row>
    <row r="12" spans="1:13" ht="30" customHeight="1" x14ac:dyDescent="0.25">
      <c r="A12" s="3" t="s">
        <v>86</v>
      </c>
      <c r="B12" s="3" t="s">
        <v>27</v>
      </c>
      <c r="C12" s="3" t="s">
        <v>16</v>
      </c>
      <c r="D12" s="3" t="s">
        <v>57</v>
      </c>
      <c r="F12" s="3" t="s">
        <v>58</v>
      </c>
      <c r="G12" s="3" t="s">
        <v>31</v>
      </c>
      <c r="H12" s="8">
        <v>49267.519999999997</v>
      </c>
      <c r="I12" s="3" t="s">
        <v>59</v>
      </c>
      <c r="K12" s="3" t="s">
        <v>60</v>
      </c>
    </row>
    <row r="13" spans="1:13" ht="30" customHeight="1" x14ac:dyDescent="0.25">
      <c r="A13" s="3" t="s">
        <v>87</v>
      </c>
      <c r="B13" s="3" t="s">
        <v>15</v>
      </c>
      <c r="C13" s="3" t="s">
        <v>16</v>
      </c>
      <c r="D13" s="3" t="s">
        <v>61</v>
      </c>
      <c r="F13" s="3" t="s">
        <v>62</v>
      </c>
      <c r="G13" s="3" t="s">
        <v>31</v>
      </c>
      <c r="H13" s="8">
        <v>31155.81</v>
      </c>
      <c r="I13" s="3" t="s">
        <v>63</v>
      </c>
      <c r="K13" s="3" t="s">
        <v>64</v>
      </c>
    </row>
    <row r="14" spans="1:13" ht="30" customHeight="1" x14ac:dyDescent="0.25">
      <c r="A14" s="3" t="s">
        <v>88</v>
      </c>
      <c r="B14" s="3" t="s">
        <v>27</v>
      </c>
      <c r="C14" s="3" t="s">
        <v>16</v>
      </c>
      <c r="D14" s="3" t="s">
        <v>65</v>
      </c>
      <c r="F14" s="3" t="s">
        <v>66</v>
      </c>
      <c r="G14" s="3" t="s">
        <v>31</v>
      </c>
      <c r="H14" s="8">
        <v>13857</v>
      </c>
      <c r="I14" s="3" t="s">
        <v>67</v>
      </c>
      <c r="K14" s="3" t="s">
        <v>68</v>
      </c>
    </row>
    <row r="15" spans="1:13" x14ac:dyDescent="0.25">
      <c r="A15" s="9"/>
      <c r="B15" s="9"/>
      <c r="C15" s="9"/>
      <c r="D15" s="9" t="s">
        <v>69</v>
      </c>
      <c r="E15" s="9"/>
      <c r="F15" s="9"/>
      <c r="G15" s="9"/>
      <c r="H15" s="10">
        <f>SUM(H4:H14)</f>
        <v>316951.94</v>
      </c>
      <c r="I15" s="9"/>
      <c r="J15" s="9"/>
      <c r="K15" s="9"/>
      <c r="L15" s="9"/>
      <c r="M15" s="9"/>
    </row>
  </sheetData>
  <mergeCells count="2">
    <mergeCell ref="A2:F2"/>
    <mergeCell ref="G2:M2"/>
  </mergeCells>
  <pageMargins left="0.7" right="0" top="0.75" bottom="0.75" header="0.3" footer="0.3"/>
  <pageSetup paperSize="5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9FAB-CC59-4623-899B-145A6B3A0ABF}">
  <sheetPr>
    <pageSetUpPr fitToPage="1"/>
  </sheetPr>
  <dimension ref="A1:H26"/>
  <sheetViews>
    <sheetView topLeftCell="A13" workbookViewId="0">
      <selection activeCell="K15" sqref="K15"/>
    </sheetView>
  </sheetViews>
  <sheetFormatPr defaultRowHeight="15.75" x14ac:dyDescent="0.25"/>
  <cols>
    <col min="1" max="1" width="23.140625" style="3" customWidth="1"/>
    <col min="2" max="2" width="14.140625" style="3" customWidth="1"/>
    <col min="3" max="3" width="19.85546875" style="3" customWidth="1"/>
    <col min="4" max="4" width="15.140625" style="3" customWidth="1"/>
    <col min="5" max="5" width="18.28515625" style="3" customWidth="1"/>
    <col min="6" max="6" width="18.5703125" style="3" customWidth="1"/>
    <col min="7" max="7" width="4.7109375" style="3" customWidth="1"/>
    <col min="8" max="8" width="27.42578125" style="3" customWidth="1"/>
    <col min="9" max="16384" width="9.140625" style="3"/>
  </cols>
  <sheetData>
    <row r="1" spans="1:8" x14ac:dyDescent="0.25">
      <c r="E1" s="4"/>
      <c r="H1" s="4">
        <v>45960.999988425923</v>
      </c>
    </row>
    <row r="2" spans="1:8" x14ac:dyDescent="0.25">
      <c r="A2" s="5" t="s">
        <v>0</v>
      </c>
      <c r="B2" s="5"/>
      <c r="C2" s="6"/>
      <c r="D2" s="6"/>
      <c r="E2" s="7" t="s">
        <v>70</v>
      </c>
      <c r="F2" s="6"/>
      <c r="G2" s="6"/>
      <c r="H2" s="6"/>
    </row>
    <row r="3" spans="1:8" x14ac:dyDescent="0.25">
      <c r="A3" s="3" t="s">
        <v>7</v>
      </c>
      <c r="B3" s="3" t="s">
        <v>76</v>
      </c>
      <c r="C3" s="3" t="s">
        <v>8</v>
      </c>
      <c r="D3" s="3" t="s">
        <v>71</v>
      </c>
      <c r="E3" s="3" t="s">
        <v>72</v>
      </c>
      <c r="F3" s="3" t="s">
        <v>73</v>
      </c>
      <c r="G3" s="3" t="s">
        <v>75</v>
      </c>
      <c r="H3" s="3" t="s">
        <v>74</v>
      </c>
    </row>
    <row r="4" spans="1:8" ht="24.95" customHeight="1" x14ac:dyDescent="0.25">
      <c r="A4" s="3" t="s">
        <v>43</v>
      </c>
      <c r="C4" s="3" t="s">
        <v>35</v>
      </c>
      <c r="D4" s="8">
        <v>500</v>
      </c>
      <c r="E4" s="8">
        <v>0</v>
      </c>
      <c r="F4" s="12">
        <v>19372.689999999999</v>
      </c>
      <c r="G4" s="8"/>
      <c r="H4" s="8">
        <v>19447.689999999999</v>
      </c>
    </row>
    <row r="5" spans="1:8" ht="24.95" customHeight="1" x14ac:dyDescent="0.25">
      <c r="D5" s="8"/>
      <c r="E5" s="8"/>
      <c r="F5" s="12"/>
      <c r="G5" s="8"/>
      <c r="H5" s="8"/>
    </row>
    <row r="6" spans="1:8" ht="24.95" customHeight="1" x14ac:dyDescent="0.25">
      <c r="A6" s="3" t="s">
        <v>47</v>
      </c>
      <c r="C6" s="3" t="s">
        <v>35</v>
      </c>
      <c r="D6" s="8">
        <v>850</v>
      </c>
      <c r="E6" s="8">
        <v>0</v>
      </c>
      <c r="F6" s="12">
        <v>34515.379999999997</v>
      </c>
      <c r="G6" s="8"/>
      <c r="H6" s="8">
        <v>34590.379999999997</v>
      </c>
    </row>
    <row r="7" spans="1:8" ht="24.95" customHeight="1" x14ac:dyDescent="0.25">
      <c r="D7" s="8"/>
      <c r="E7" s="8"/>
      <c r="F7" s="12"/>
      <c r="G7" s="8"/>
      <c r="H7" s="8"/>
    </row>
    <row r="8" spans="1:8" ht="24.95" customHeight="1" x14ac:dyDescent="0.25">
      <c r="A8" s="3" t="s">
        <v>18</v>
      </c>
      <c r="C8" s="3" t="s">
        <v>19</v>
      </c>
      <c r="D8" s="8">
        <v>850</v>
      </c>
      <c r="E8" s="8">
        <v>0</v>
      </c>
      <c r="F8" s="12">
        <v>29925</v>
      </c>
      <c r="G8" s="8"/>
      <c r="H8" s="8">
        <v>30000</v>
      </c>
    </row>
    <row r="9" spans="1:8" ht="24.95" customHeight="1" x14ac:dyDescent="0.25">
      <c r="D9" s="8"/>
      <c r="E9" s="8"/>
      <c r="F9" s="12"/>
      <c r="G9" s="8"/>
      <c r="H9" s="8"/>
    </row>
    <row r="10" spans="1:8" ht="24.95" customHeight="1" x14ac:dyDescent="0.25">
      <c r="A10" s="3" t="s">
        <v>30</v>
      </c>
      <c r="C10" s="3" t="s">
        <v>31</v>
      </c>
      <c r="D10" s="8">
        <v>500</v>
      </c>
      <c r="E10" s="8">
        <v>0</v>
      </c>
      <c r="F10" s="12">
        <v>16380.93</v>
      </c>
      <c r="G10" s="8"/>
      <c r="H10" s="8">
        <v>16455.93</v>
      </c>
    </row>
    <row r="11" spans="1:8" ht="24.95" customHeight="1" x14ac:dyDescent="0.25">
      <c r="D11" s="8"/>
      <c r="E11" s="8"/>
      <c r="F11" s="12"/>
      <c r="G11" s="8"/>
      <c r="H11" s="8"/>
    </row>
    <row r="12" spans="1:8" ht="24.95" customHeight="1" x14ac:dyDescent="0.25">
      <c r="A12" s="3" t="s">
        <v>77</v>
      </c>
      <c r="C12" s="3" t="s">
        <v>19</v>
      </c>
      <c r="D12" s="8">
        <v>500</v>
      </c>
      <c r="E12" s="8">
        <v>0</v>
      </c>
      <c r="F12" s="12">
        <v>15962.75</v>
      </c>
      <c r="G12" s="8"/>
      <c r="H12" s="8">
        <v>16037.75</v>
      </c>
    </row>
    <row r="13" spans="1:8" ht="24.95" customHeight="1" x14ac:dyDescent="0.25">
      <c r="D13" s="8"/>
      <c r="E13" s="8"/>
      <c r="F13" s="12"/>
      <c r="G13" s="8"/>
      <c r="H13" s="8"/>
    </row>
    <row r="14" spans="1:8" ht="24.95" customHeight="1" x14ac:dyDescent="0.25">
      <c r="A14" s="3" t="s">
        <v>39</v>
      </c>
      <c r="C14" s="3" t="s">
        <v>35</v>
      </c>
      <c r="D14" s="8">
        <v>650</v>
      </c>
      <c r="E14" s="8">
        <v>0</v>
      </c>
      <c r="F14" s="12">
        <v>20819.22</v>
      </c>
      <c r="G14" s="8"/>
      <c r="H14" s="8">
        <v>20894.22</v>
      </c>
    </row>
    <row r="15" spans="1:8" ht="24.95" customHeight="1" x14ac:dyDescent="0.25">
      <c r="D15" s="8"/>
      <c r="E15" s="8"/>
      <c r="F15" s="12"/>
      <c r="G15" s="8"/>
      <c r="H15" s="8"/>
    </row>
    <row r="16" spans="1:8" ht="24.95" customHeight="1" x14ac:dyDescent="0.25">
      <c r="A16" s="3" t="s">
        <v>52</v>
      </c>
      <c r="B16" s="11" t="s">
        <v>78</v>
      </c>
      <c r="C16" s="3" t="s">
        <v>19</v>
      </c>
      <c r="D16" s="8">
        <v>1350</v>
      </c>
      <c r="E16" s="8">
        <v>0</v>
      </c>
      <c r="F16" s="12">
        <v>55907.26</v>
      </c>
      <c r="G16" s="8"/>
      <c r="H16" s="8">
        <v>55982.26</v>
      </c>
    </row>
    <row r="17" spans="1:8" ht="24.95" customHeight="1" x14ac:dyDescent="0.25">
      <c r="D17" s="8"/>
      <c r="E17" s="8"/>
      <c r="F17" s="12"/>
      <c r="G17" s="8"/>
      <c r="H17" s="8"/>
    </row>
    <row r="18" spans="1:8" ht="24.95" customHeight="1" x14ac:dyDescent="0.25">
      <c r="A18" s="3" t="s">
        <v>34</v>
      </c>
      <c r="C18" s="3" t="s">
        <v>35</v>
      </c>
      <c r="D18" s="8">
        <v>750</v>
      </c>
      <c r="E18" s="8">
        <v>0</v>
      </c>
      <c r="F18" s="12">
        <v>29188.38</v>
      </c>
      <c r="G18" s="8"/>
      <c r="H18" s="8">
        <v>29263.38</v>
      </c>
    </row>
    <row r="19" spans="1:8" ht="24.95" customHeight="1" x14ac:dyDescent="0.25">
      <c r="D19" s="8"/>
      <c r="E19" s="8"/>
      <c r="F19" s="12"/>
      <c r="G19" s="8"/>
      <c r="H19" s="8"/>
    </row>
    <row r="20" spans="1:8" ht="24.95" customHeight="1" x14ac:dyDescent="0.25">
      <c r="A20" s="3" t="s">
        <v>66</v>
      </c>
      <c r="C20" s="3" t="s">
        <v>31</v>
      </c>
      <c r="D20" s="8">
        <v>300</v>
      </c>
      <c r="E20" s="8">
        <v>0</v>
      </c>
      <c r="F20" s="12">
        <v>13782</v>
      </c>
      <c r="G20" s="8"/>
      <c r="H20" s="8">
        <v>13857</v>
      </c>
    </row>
    <row r="21" spans="1:8" ht="24.95" customHeight="1" x14ac:dyDescent="0.25">
      <c r="D21" s="8"/>
      <c r="E21" s="8"/>
      <c r="F21" s="12"/>
      <c r="G21" s="8"/>
      <c r="H21" s="8"/>
    </row>
    <row r="22" spans="1:8" ht="24.95" customHeight="1" x14ac:dyDescent="0.25">
      <c r="A22" s="3" t="s">
        <v>58</v>
      </c>
      <c r="C22" s="3" t="s">
        <v>31</v>
      </c>
      <c r="D22" s="8">
        <v>1150</v>
      </c>
      <c r="E22" s="8">
        <v>0</v>
      </c>
      <c r="F22" s="12">
        <v>49192.52</v>
      </c>
      <c r="G22" s="8"/>
      <c r="H22" s="8">
        <v>49267.519999999997</v>
      </c>
    </row>
    <row r="23" spans="1:8" ht="24.95" customHeight="1" x14ac:dyDescent="0.25">
      <c r="D23" s="8"/>
      <c r="E23" s="8"/>
      <c r="F23" s="12"/>
      <c r="G23" s="8"/>
      <c r="H23" s="8"/>
    </row>
    <row r="24" spans="1:8" ht="24.95" customHeight="1" x14ac:dyDescent="0.25">
      <c r="A24" s="3" t="s">
        <v>62</v>
      </c>
      <c r="C24" s="3" t="s">
        <v>31</v>
      </c>
      <c r="D24" s="8">
        <v>850</v>
      </c>
      <c r="E24" s="8">
        <v>0</v>
      </c>
      <c r="F24" s="12">
        <v>31080.81</v>
      </c>
      <c r="G24" s="8"/>
      <c r="H24" s="8">
        <v>31155.81</v>
      </c>
    </row>
    <row r="25" spans="1:8" ht="13.5" customHeight="1" x14ac:dyDescent="0.25">
      <c r="D25" s="8"/>
      <c r="E25" s="8"/>
      <c r="F25" s="8"/>
      <c r="G25" s="8"/>
      <c r="H25" s="8"/>
    </row>
    <row r="26" spans="1:8" x14ac:dyDescent="0.25">
      <c r="A26" s="9"/>
      <c r="B26" s="9"/>
      <c r="C26" s="9"/>
      <c r="D26" s="10">
        <f>SUM(D4:D24)</f>
        <v>8250</v>
      </c>
      <c r="E26" s="10">
        <f>SUM(E4:E24)</f>
        <v>0</v>
      </c>
      <c r="F26" s="10">
        <f>SUM(F4:F24)</f>
        <v>316126.94</v>
      </c>
      <c r="G26" s="10"/>
      <c r="H26" s="10">
        <f>SUM(H4:H24)</f>
        <v>316951.94</v>
      </c>
    </row>
  </sheetData>
  <mergeCells count="2">
    <mergeCell ref="A2:D2"/>
    <mergeCell ref="E2:H2"/>
  </mergeCells>
  <pageMargins left="0.7" right="0.7" top="0.5" bottom="0.25" header="0.3" footer="0.3"/>
  <pageSetup scale="8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964-570C-4EC3-9A2E-238CFC438A35}">
  <sheetPr>
    <pageSetUpPr fitToPage="1"/>
  </sheetPr>
  <dimension ref="A1:F18"/>
  <sheetViews>
    <sheetView workbookViewId="0">
      <selection activeCell="J10" sqref="J9:J10"/>
    </sheetView>
  </sheetViews>
  <sheetFormatPr defaultRowHeight="15" x14ac:dyDescent="0.25"/>
  <cols>
    <col min="1" max="1" width="13.5703125" customWidth="1"/>
    <col min="4" max="4" width="12.85546875" customWidth="1"/>
    <col min="5" max="5" width="15.28515625" customWidth="1"/>
    <col min="6" max="6" width="16.85546875" customWidth="1"/>
  </cols>
  <sheetData>
    <row r="1" spans="1:6" ht="27" customHeight="1" x14ac:dyDescent="0.25">
      <c r="A1" t="s">
        <v>94</v>
      </c>
      <c r="D1" s="1"/>
      <c r="F1" s="1">
        <v>45960.999988425923</v>
      </c>
    </row>
    <row r="2" spans="1:6" ht="27" customHeight="1" x14ac:dyDescent="0.25">
      <c r="A2" s="13" t="s">
        <v>0</v>
      </c>
      <c r="B2" s="2"/>
      <c r="C2" s="2"/>
      <c r="D2" s="14" t="s">
        <v>89</v>
      </c>
      <c r="E2" s="2"/>
      <c r="F2" s="2"/>
    </row>
    <row r="3" spans="1:6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7" customHeight="1" x14ac:dyDescent="0.25">
      <c r="A4" t="s">
        <v>26</v>
      </c>
      <c r="B4" t="s">
        <v>28</v>
      </c>
      <c r="C4" t="s">
        <v>29</v>
      </c>
      <c r="E4" t="s">
        <v>30</v>
      </c>
    </row>
    <row r="5" spans="1:6" ht="16.5" customHeight="1" x14ac:dyDescent="0.25">
      <c r="A5" s="15"/>
      <c r="B5" s="15"/>
      <c r="C5" s="15" t="s">
        <v>90</v>
      </c>
      <c r="D5" s="15"/>
      <c r="E5" s="15"/>
      <c r="F5" s="15"/>
    </row>
    <row r="10" spans="1:6" x14ac:dyDescent="0.25">
      <c r="A10" t="s">
        <v>91</v>
      </c>
      <c r="B10" s="16"/>
      <c r="C10" s="16"/>
      <c r="D10" s="16"/>
      <c r="E10" s="16"/>
    </row>
    <row r="14" spans="1:6" x14ac:dyDescent="0.25">
      <c r="A14" t="s">
        <v>92</v>
      </c>
      <c r="B14" s="16"/>
      <c r="C14" s="16"/>
      <c r="D14" s="16"/>
      <c r="E14" s="16"/>
    </row>
    <row r="18" spans="1:4" x14ac:dyDescent="0.25">
      <c r="A18" t="s">
        <v>93</v>
      </c>
      <c r="B18" s="16"/>
      <c r="C18" s="16"/>
      <c r="D18" s="16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2025-10-30T18:52:41Z</cp:lastPrinted>
  <dcterms:created xsi:type="dcterms:W3CDTF">2025-10-30T18:17:49Z</dcterms:created>
  <dcterms:modified xsi:type="dcterms:W3CDTF">2025-10-30T18:59:06Z</dcterms:modified>
</cp:coreProperties>
</file>