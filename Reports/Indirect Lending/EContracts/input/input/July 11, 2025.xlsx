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3CAB7B9D-DDB7-4FE7-B8D3-5F1FE38DB6E3}" xr6:coauthVersionLast="47" xr6:coauthVersionMax="47" xr10:uidLastSave="{00000000-0000-0000-0000-000000000000}"/>
  <bookViews>
    <workbookView xWindow="0" yWindow="0" windowWidth="29040" windowHeight="1560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H12" i="2"/>
  <c r="H18" i="1"/>
  <c r="E18" i="1"/>
  <c r="D18" i="1"/>
  <c r="C18" i="1"/>
</calcChain>
</file>

<file path=xl/sharedStrings.xml><?xml version="1.0" encoding="utf-8"?>
<sst xmlns="http://schemas.openxmlformats.org/spreadsheetml/2006/main" count="126" uniqueCount="74">
  <si>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</si>
  <si>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</si>
  <si>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</si>
  <si>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</si>
  <si>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</si>
  <si>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</si>
  <si>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</si>
  <si>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</si>
  <si>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</si>
  <si>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</si>
  <si>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Buick Pontiac GMC</t>
  </si>
  <si>
    <t>Neli Oliveira</t>
  </si>
  <si>
    <t>Grieco Toyota</t>
  </si>
  <si>
    <t>Lucchettis Service Center Inc</t>
  </si>
  <si>
    <t>Marlene Braganca</t>
  </si>
  <si>
    <t>Mastria Buick Pontiac</t>
  </si>
  <si>
    <t>Paul Masse Buick GMC South, Inc</t>
  </si>
  <si>
    <t>Planet Automotive Sales LLC</t>
  </si>
  <si>
    <t>RAH FALL RIVER VW, LLC</t>
  </si>
  <si>
    <t>Column1</t>
  </si>
  <si>
    <t>Column2</t>
  </si>
  <si>
    <t># 8</t>
  </si>
  <si>
    <t>CUNHA</t>
  </si>
  <si>
    <t>POLCE, DEBRA</t>
  </si>
  <si>
    <t>E Contract</t>
  </si>
  <si>
    <t>Route One</t>
  </si>
  <si>
    <t>151201672e</t>
  </si>
  <si>
    <t>Crowley</t>
  </si>
  <si>
    <t>NANCYB22000@COMCAST.NET</t>
  </si>
  <si>
    <t>Braithwaite, Nancy</t>
  </si>
  <si>
    <t>151201664e</t>
  </si>
  <si>
    <t>LUCIANO</t>
  </si>
  <si>
    <t>MSAVASTA@CORNELISNETWORKS.COM</t>
  </si>
  <si>
    <t>SAVASTA, MICHAEL</t>
  </si>
  <si>
    <t>151201614e</t>
  </si>
  <si>
    <t>ALMEIDA</t>
  </si>
  <si>
    <t>ELLENMEP.COMCAST.NET</t>
  </si>
  <si>
    <t>POITRAS, ELLEN</t>
  </si>
  <si>
    <t>151201606e</t>
  </si>
  <si>
    <t>GOMES</t>
  </si>
  <si>
    <t>drponte2@aol.com</t>
  </si>
  <si>
    <t>PONTE, PAUL</t>
  </si>
  <si>
    <t>151201599e</t>
  </si>
  <si>
    <t>SILVA</t>
  </si>
  <si>
    <t>LOU@TEALSTUDIOS.COM</t>
  </si>
  <si>
    <t>ARRUDA, LUIS</t>
  </si>
  <si>
    <t>Paper</t>
  </si>
  <si>
    <t>DealerTrack</t>
  </si>
  <si>
    <t>151201581</t>
  </si>
  <si>
    <t>Demaine</t>
  </si>
  <si>
    <t>betseypeckham@gmail.com</t>
  </si>
  <si>
    <t>PECKHAM, BETSEY</t>
  </si>
  <si>
    <t>151201424e</t>
  </si>
  <si>
    <t>Medeiros</t>
  </si>
  <si>
    <t>REBECCA.CARDOSO19@YAHOO.COM</t>
  </si>
  <si>
    <t>CARDOSO, REBECCA</t>
  </si>
  <si>
    <t>151201268e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</si>
  <si>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</si>
  <si>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</si>
  <si>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</si>
  <si>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</si>
  <si>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</si>
  <si>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</si>
  <si>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</si>
  <si>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</si>
  <si>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</si>
  <si>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</si>
  <si>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</si>
  <si>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</t>
  </si>
  <si>
    <t>Received By________________________________________________________________________</t>
  </si>
  <si>
    <t>Delivered By_______________________________________________________________________</t>
  </si>
  <si>
    <t># 1</t>
  </si>
  <si>
    <t>Funding Worksheet - Signoff Version</t>
  </si>
  <si>
    <t>4453  2150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</si>
</sst>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22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2" fillId="2" borderId="0" xfId="1"/>
    <xf numFmtId="0" fontId="1" fillId="2" borderId="0" xfId="1" applyFont="1"/>
    <xf numFmtId="164" fontId="2" fillId="2" borderId="0" xfId="1" applyNumberFormat="1" applyAlignment="1">
      <alignment horizontal="right"/>
    </xf>
    <xf numFmtId="0" fontId="2" fillId="0" borderId="0" xfId="1" applyFill="1"/>
    <xf numFmtId="164" fontId="2" fillId="0" borderId="0" xfId="1" applyNumberForma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0" fontId="1" fillId="2" borderId="0" xfId="1" applyFont="1" applyAlignment="1">
      <alignment horizontal="left"/>
    </xf>
    <xf numFmtId="0" fontId="2" fillId="2" borderId="0" xfId="1"/>
    <xf numFmtId="0" fontId="1" fillId="2" borderId="0" xfId="1" applyFont="1" applyAlignment="1">
      <alignment horizontal="right"/>
    </xf>
  </cellXfs>
  <cellStyles count="2">
    <cellStyle name="Normal" xfId="0" builtinId="0"/>
    <cellStyle name="Normal 2" xfId="1" xr:uid="{1DE2113A-BB77-4122-8320-7E6D47795AD4}"/>
  </cellStyles>
  <dxfs count="17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18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10" xr3:uid="{E5951C33-54E9-4739-A1DD-41F7EA0ED71A}" name="Column1" dataDxfId="16"/>
    <tableColumn id="8" xr3:uid="{CD60CF3C-1EFC-4E27-B23A-7B3743A0192B}" name="Column2" dataDxfId="15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172818-4ADF-46FD-B03A-AC93EE606427}" name="Table_13" displayName="Table_13" ref="A3:L12" headerRowDxfId="14" dataDxfId="13" totalsRowDxfId="12">
  <tableColumns count="12">
    <tableColumn id="1" xr3:uid="{00000000-0010-0000-0000-000001000000}" name="Account Number" dataDxfId="11"/>
    <tableColumn id="2" xr3:uid="{00000000-0010-0000-0000-000002000000}" name="Portal" dataDxfId="10"/>
    <tableColumn id="3" xr3:uid="{00000000-0010-0000-0000-000003000000}" name="Contract Type" dataDxfId="9"/>
    <tableColumn id="4" xr3:uid="{00000000-0010-0000-0000-000004000000}" name="Applicant Name" dataDxfId="8"/>
    <tableColumn id="5" xr3:uid="{00000000-0010-0000-0000-000005000000}" name="Co-Applicant Name" dataDxfId="7"/>
    <tableColumn id="6" xr3:uid="{00000000-0010-0000-0000-000006000000}" name="Dealer Name" dataDxfId="6"/>
    <tableColumn id="7" xr3:uid="{00000000-0010-0000-0000-000007000000}" name="Funded by" dataDxfId="5"/>
    <tableColumn id="8" xr3:uid="{00000000-0010-0000-0000-000008000000}" name="Amount Financed" dataDxfId="4"/>
    <tableColumn id="9" xr3:uid="{00000000-0010-0000-0000-000009000000}" name="Applicant Email" dataDxfId="3"/>
    <tableColumn id="10" xr3:uid="{00000000-0010-0000-0000-00000A000000}" name="Co-Applicant Email" dataDxfId="2"/>
    <tableColumn id="11" xr3:uid="{00000000-0010-0000-0000-00000B000000}" name="App MMN" dataDxfId="1"/>
    <tableColumn id="12" xr3:uid="{00000000-0010-0000-0000-00000C000000}" name="Co-App MMN" dataDxfId="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DD4BC9-B7FC-4A69-8EF3-DCB8AC77E97E}" name="Table_14" displayName="Table_14" ref="A3:E5">
  <tableColumns count="5">
    <tableColumn id="1" xr3:uid="{00000000-0010-0000-0000-000001000000}" name="Account Number"/>
    <tableColumn id="2" xr3:uid="{00000000-0010-0000-0000-000002000000}" name="Contract Type"/>
    <tableColumn id="3" xr3:uid="{00000000-0010-0000-0000-000003000000}" name="Applicant Name"/>
    <tableColumn id="4" xr3:uid="{00000000-0010-0000-0000-000004000000}" name="Co-Applicant Name"/>
    <tableColumn id="5" xr3:uid="{00000000-0010-0000-0000-000005000000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8"/>
  <sheetViews>
    <sheetView tabSelected="1" workbookViewId="0">
      <pane ySplit="3" topLeftCell="A4" activePane="bottomLeft" state="frozen"/>
      <selection pane="bottomLeft" activeCell="O22" sqref="O22"/>
    </sheetView>
  </sheetViews>
  <sheetFormatPr defaultRowHeight="15" x14ac:dyDescent="0.25"/>
  <cols>
    <col min="1" max="1" width="31.5703125" bestFit="1" customWidth="1"/>
    <col min="2" max="2" width="17.7109375" bestFit="1" customWidth="1"/>
    <col min="3" max="3" width="11.140625" bestFit="1" customWidth="1"/>
    <col min="4" max="4" width="13.1406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45849</v>
      </c>
      <c r="E1" t="s">
        <v>2</v>
      </c>
      <c r="H1" s="4">
        <v>45849.999988425923</v>
      </c>
    </row>
    <row r="2" spans="1:8" x14ac:dyDescent="0.25">
      <c r="A2" s="13" t="s">
        <v>0</v>
      </c>
      <c r="B2" s="14"/>
      <c r="C2" s="14"/>
      <c r="D2" s="15" t="s">
        <v>1</v>
      </c>
      <c r="E2" s="14"/>
      <c r="F2" s="14"/>
      <c r="G2" s="14"/>
      <c r="H2" s="14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19</v>
      </c>
      <c r="G3" t="s">
        <v>20</v>
      </c>
      <c r="H3" t="s">
        <v>9</v>
      </c>
    </row>
    <row r="4" spans="1:8" x14ac:dyDescent="0.25">
      <c r="A4" t="s">
        <v>10</v>
      </c>
      <c r="B4" t="s">
        <v>11</v>
      </c>
      <c r="C4" s="2">
        <v>1350</v>
      </c>
      <c r="D4" s="2">
        <v>0</v>
      </c>
      <c r="E4" s="2">
        <v>51859</v>
      </c>
      <c r="F4" s="2"/>
      <c r="G4" s="2"/>
      <c r="H4" s="2">
        <v>51934</v>
      </c>
    </row>
    <row r="5" spans="1:8" x14ac:dyDescent="0.25">
      <c r="A5" t="s">
        <v>10</v>
      </c>
      <c r="B5" t="s">
        <v>11</v>
      </c>
      <c r="C5" s="2">
        <v>850</v>
      </c>
      <c r="D5" s="2">
        <v>0</v>
      </c>
      <c r="E5" s="2">
        <v>30333.19</v>
      </c>
      <c r="F5" s="2">
        <f>SUM(E4:E5)</f>
        <v>82192.19</v>
      </c>
      <c r="G5" s="2"/>
      <c r="H5" s="2">
        <v>30408.19</v>
      </c>
    </row>
    <row r="6" spans="1:8" x14ac:dyDescent="0.25">
      <c r="C6" s="2"/>
      <c r="D6" s="2"/>
      <c r="E6" s="2"/>
      <c r="F6" s="2"/>
      <c r="G6" s="2"/>
      <c r="H6" s="2"/>
    </row>
    <row r="7" spans="1:8" x14ac:dyDescent="0.25">
      <c r="A7" t="s">
        <v>12</v>
      </c>
      <c r="B7" t="s">
        <v>11</v>
      </c>
      <c r="C7" s="2">
        <v>750</v>
      </c>
      <c r="D7" s="2">
        <v>0</v>
      </c>
      <c r="E7" s="2">
        <v>26712.31</v>
      </c>
      <c r="F7" s="2"/>
      <c r="G7" s="2"/>
      <c r="H7" s="2">
        <v>26787.31</v>
      </c>
    </row>
    <row r="8" spans="1:8" x14ac:dyDescent="0.25">
      <c r="C8" s="2"/>
      <c r="D8" s="2"/>
      <c r="E8" s="2"/>
      <c r="F8" s="2"/>
      <c r="G8" s="2"/>
      <c r="H8" s="2"/>
    </row>
    <row r="9" spans="1:8" x14ac:dyDescent="0.25">
      <c r="A9" t="s">
        <v>13</v>
      </c>
      <c r="B9" t="s">
        <v>14</v>
      </c>
      <c r="C9" s="2">
        <v>950</v>
      </c>
      <c r="D9" s="2">
        <v>0</v>
      </c>
      <c r="E9" s="2">
        <v>35483.31</v>
      </c>
      <c r="F9" s="2"/>
      <c r="G9" s="2"/>
      <c r="H9" s="2">
        <v>35558.31</v>
      </c>
    </row>
    <row r="10" spans="1:8" x14ac:dyDescent="0.25">
      <c r="C10" s="2"/>
      <c r="D10" s="2"/>
      <c r="E10" s="2"/>
      <c r="F10" s="2"/>
      <c r="G10" s="2"/>
      <c r="H10" s="2"/>
    </row>
    <row r="11" spans="1:8" x14ac:dyDescent="0.25">
      <c r="A11" t="s">
        <v>15</v>
      </c>
      <c r="B11" t="s">
        <v>11</v>
      </c>
      <c r="C11" s="2">
        <v>1350</v>
      </c>
      <c r="D11" s="2">
        <v>0</v>
      </c>
      <c r="E11" s="2">
        <v>56242.87</v>
      </c>
      <c r="F11" s="2"/>
      <c r="G11" s="2" t="s">
        <v>73</v>
      </c>
      <c r="H11" s="2">
        <v>56317.87</v>
      </c>
    </row>
    <row r="12" spans="1:8" x14ac:dyDescent="0.25">
      <c r="C12" s="2"/>
      <c r="D12" s="2"/>
      <c r="E12" s="2"/>
      <c r="F12" s="2"/>
      <c r="G12" s="2"/>
      <c r="H12" s="2"/>
    </row>
    <row r="13" spans="1:8" x14ac:dyDescent="0.25">
      <c r="A13" t="s">
        <v>16</v>
      </c>
      <c r="B13" t="s">
        <v>14</v>
      </c>
      <c r="C13" s="2">
        <v>950</v>
      </c>
      <c r="D13" s="2">
        <v>0</v>
      </c>
      <c r="E13" s="2">
        <v>38173.69</v>
      </c>
      <c r="F13" s="2"/>
      <c r="G13" s="2"/>
      <c r="H13" s="2">
        <v>38248.69</v>
      </c>
    </row>
    <row r="14" spans="1:8" x14ac:dyDescent="0.25">
      <c r="C14" s="2"/>
      <c r="D14" s="2"/>
      <c r="E14" s="2"/>
      <c r="F14" s="2"/>
      <c r="G14" s="2"/>
      <c r="H14" s="2"/>
    </row>
    <row r="15" spans="1:8" x14ac:dyDescent="0.25">
      <c r="A15" t="s">
        <v>17</v>
      </c>
      <c r="B15" t="s">
        <v>11</v>
      </c>
      <c r="C15" s="2">
        <v>1350</v>
      </c>
      <c r="D15" s="2">
        <v>0</v>
      </c>
      <c r="E15" s="2">
        <v>51583.56</v>
      </c>
      <c r="F15" s="2"/>
      <c r="G15" s="2"/>
      <c r="H15" s="2">
        <v>51658.559999999998</v>
      </c>
    </row>
    <row r="16" spans="1:8" x14ac:dyDescent="0.25">
      <c r="C16" s="2"/>
      <c r="D16" s="2"/>
      <c r="E16" s="2"/>
      <c r="F16" s="2"/>
      <c r="G16" s="2"/>
      <c r="H16" s="2"/>
    </row>
    <row r="17" spans="1:8" x14ac:dyDescent="0.25">
      <c r="A17" t="s">
        <v>18</v>
      </c>
      <c r="B17" t="s">
        <v>14</v>
      </c>
      <c r="C17" s="2">
        <v>750</v>
      </c>
      <c r="D17" s="2">
        <v>0</v>
      </c>
      <c r="E17" s="2">
        <v>25028.69</v>
      </c>
      <c r="F17" s="2"/>
      <c r="G17" s="2"/>
      <c r="H17" s="2">
        <v>25103.69</v>
      </c>
    </row>
    <row r="18" spans="1:8" x14ac:dyDescent="0.25">
      <c r="A18" s="1"/>
      <c r="B18" s="1"/>
      <c r="C18" s="3">
        <f>SUM(C4:C17)</f>
        <v>8300</v>
      </c>
      <c r="D18" s="3">
        <f>SUM(D4:D17)</f>
        <v>0</v>
      </c>
      <c r="E18" s="3">
        <f>SUM(E4:E17)</f>
        <v>315416.62</v>
      </c>
      <c r="F18" s="3"/>
      <c r="G18" s="3"/>
      <c r="H18" s="3">
        <f>SUM(H4:H17)</f>
        <v>316016.62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F7FD8-D8E5-4FE9-BCE4-3E35B8B4E291}">
  <sheetPr>
    <pageSetUpPr fitToPage="1"/>
  </sheetPr>
  <dimension ref="A1:N17"/>
  <sheetViews>
    <sheetView workbookViewId="0">
      <pane ySplit="3" topLeftCell="A4" activePane="bottomLeft" state="frozen"/>
      <selection pane="bottomLeft" activeCell="N14" sqref="A1:N14"/>
    </sheetView>
  </sheetViews>
  <sheetFormatPr defaultRowHeight="15" x14ac:dyDescent="0.25"/>
  <cols>
    <col min="1" max="1" width="16.42578125" style="5" bestFit="1" customWidth="1"/>
    <col min="2" max="2" width="12.140625" style="5" bestFit="1" customWidth="1"/>
    <col min="3" max="3" width="14" style="5" bestFit="1" customWidth="1"/>
    <col min="4" max="4" width="20.140625" style="5" bestFit="1" customWidth="1"/>
    <col min="5" max="5" width="18.7109375" style="5" bestFit="1" customWidth="1"/>
    <col min="6" max="6" width="31.5703125" style="5" bestFit="1" customWidth="1"/>
    <col min="7" max="7" width="17.7109375" style="5" bestFit="1" customWidth="1"/>
    <col min="8" max="8" width="17.140625" style="5" bestFit="1" customWidth="1"/>
    <col min="9" max="9" width="37.5703125" style="5" bestFit="1" customWidth="1"/>
    <col min="10" max="10" width="18.42578125" style="5" bestFit="1" customWidth="1"/>
    <col min="11" max="11" width="13.140625" style="5" bestFit="1" customWidth="1"/>
    <col min="12" max="12" width="12.85546875" style="5" bestFit="1" customWidth="1"/>
    <col min="13" max="16384" width="9.140625" style="5"/>
  </cols>
  <sheetData>
    <row r="1" spans="1:14" ht="35.1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 t="s">
        <v>3</v>
      </c>
      <c r="K1" s="9">
        <v>45849</v>
      </c>
      <c r="L1" s="8" t="s">
        <v>2</v>
      </c>
      <c r="M1" s="8"/>
      <c r="N1" s="8"/>
    </row>
    <row r="2" spans="1:14" ht="35.1" customHeight="1" x14ac:dyDescent="0.25">
      <c r="A2" s="16" t="s">
        <v>0</v>
      </c>
      <c r="B2" s="17"/>
      <c r="C2" s="17"/>
      <c r="D2" s="17"/>
      <c r="E2" s="17"/>
      <c r="F2" s="17"/>
      <c r="G2" s="18" t="s">
        <v>67</v>
      </c>
      <c r="H2" s="17"/>
      <c r="I2" s="17"/>
      <c r="J2" s="17"/>
      <c r="K2" s="17"/>
      <c r="L2" s="17"/>
      <c r="M2" s="8"/>
      <c r="N2" s="8"/>
    </row>
    <row r="3" spans="1:14" ht="35.1" customHeight="1" x14ac:dyDescent="0.25">
      <c r="A3" s="8" t="s">
        <v>66</v>
      </c>
      <c r="B3" s="8" t="s">
        <v>65</v>
      </c>
      <c r="C3" s="8" t="s">
        <v>64</v>
      </c>
      <c r="D3" s="8" t="s">
        <v>63</v>
      </c>
      <c r="E3" s="8" t="s">
        <v>62</v>
      </c>
      <c r="F3" s="8" t="s">
        <v>4</v>
      </c>
      <c r="G3" s="8" t="s">
        <v>5</v>
      </c>
      <c r="H3" s="8" t="s">
        <v>61</v>
      </c>
      <c r="I3" s="8" t="s">
        <v>60</v>
      </c>
      <c r="J3" s="8" t="s">
        <v>59</v>
      </c>
      <c r="K3" s="8" t="s">
        <v>58</v>
      </c>
      <c r="L3" s="8" t="s">
        <v>57</v>
      </c>
      <c r="M3" s="8"/>
      <c r="N3" s="8"/>
    </row>
    <row r="4" spans="1:14" ht="35.1" customHeight="1" x14ac:dyDescent="0.25">
      <c r="A4" s="8" t="s">
        <v>56</v>
      </c>
      <c r="B4" s="8" t="s">
        <v>47</v>
      </c>
      <c r="C4" s="8" t="s">
        <v>24</v>
      </c>
      <c r="D4" s="8" t="s">
        <v>55</v>
      </c>
      <c r="E4" s="8"/>
      <c r="F4" s="8" t="s">
        <v>18</v>
      </c>
      <c r="G4" s="8" t="s">
        <v>14</v>
      </c>
      <c r="H4" s="10">
        <v>25103.69</v>
      </c>
      <c r="I4" s="8" t="s">
        <v>54</v>
      </c>
      <c r="J4" s="8"/>
      <c r="K4" s="8" t="s">
        <v>53</v>
      </c>
      <c r="L4" s="8"/>
      <c r="M4" s="8"/>
      <c r="N4" s="8"/>
    </row>
    <row r="5" spans="1:14" ht="35.1" customHeight="1" x14ac:dyDescent="0.25">
      <c r="A5" s="8" t="s">
        <v>52</v>
      </c>
      <c r="B5" s="8" t="s">
        <v>25</v>
      </c>
      <c r="C5" s="8" t="s">
        <v>24</v>
      </c>
      <c r="D5" s="8" t="s">
        <v>51</v>
      </c>
      <c r="E5" s="8"/>
      <c r="F5" s="8" t="s">
        <v>16</v>
      </c>
      <c r="G5" s="8" t="s">
        <v>14</v>
      </c>
      <c r="H5" s="10">
        <v>38248.69</v>
      </c>
      <c r="I5" s="8" t="s">
        <v>50</v>
      </c>
      <c r="J5" s="8"/>
      <c r="K5" s="8" t="s">
        <v>49</v>
      </c>
      <c r="L5" s="8"/>
      <c r="M5" s="8"/>
      <c r="N5" s="8"/>
    </row>
    <row r="6" spans="1:14" ht="35.1" customHeight="1" x14ac:dyDescent="0.25">
      <c r="A6" s="8" t="s">
        <v>48</v>
      </c>
      <c r="B6" s="8" t="s">
        <v>47</v>
      </c>
      <c r="C6" s="8" t="s">
        <v>46</v>
      </c>
      <c r="D6" s="8" t="s">
        <v>45</v>
      </c>
      <c r="E6" s="8"/>
      <c r="F6" s="8" t="s">
        <v>17</v>
      </c>
      <c r="G6" s="8" t="s">
        <v>11</v>
      </c>
      <c r="H6" s="10">
        <v>51658.559999999998</v>
      </c>
      <c r="I6" s="8" t="s">
        <v>44</v>
      </c>
      <c r="J6" s="8"/>
      <c r="K6" s="8" t="s">
        <v>43</v>
      </c>
      <c r="L6" s="8"/>
      <c r="M6" s="8"/>
      <c r="N6" s="8"/>
    </row>
    <row r="7" spans="1:14" ht="35.1" customHeight="1" x14ac:dyDescent="0.25">
      <c r="A7" s="8" t="s">
        <v>42</v>
      </c>
      <c r="B7" s="8" t="s">
        <v>25</v>
      </c>
      <c r="C7" s="8" t="s">
        <v>24</v>
      </c>
      <c r="D7" s="8" t="s">
        <v>41</v>
      </c>
      <c r="E7" s="8"/>
      <c r="F7" s="8" t="s">
        <v>10</v>
      </c>
      <c r="G7" s="8" t="s">
        <v>11</v>
      </c>
      <c r="H7" s="10">
        <v>51934</v>
      </c>
      <c r="I7" s="8" t="s">
        <v>40</v>
      </c>
      <c r="J7" s="8"/>
      <c r="K7" s="8" t="s">
        <v>39</v>
      </c>
      <c r="L7" s="8"/>
      <c r="M7" s="8"/>
      <c r="N7" s="8"/>
    </row>
    <row r="8" spans="1:14" ht="35.1" customHeight="1" x14ac:dyDescent="0.25">
      <c r="A8" s="8" t="s">
        <v>38</v>
      </c>
      <c r="B8" s="8" t="s">
        <v>25</v>
      </c>
      <c r="C8" s="8" t="s">
        <v>24</v>
      </c>
      <c r="D8" s="8" t="s">
        <v>37</v>
      </c>
      <c r="E8" s="8"/>
      <c r="F8" s="8" t="s">
        <v>10</v>
      </c>
      <c r="G8" s="8" t="s">
        <v>11</v>
      </c>
      <c r="H8" s="10">
        <v>30408.19</v>
      </c>
      <c r="I8" s="8" t="s">
        <v>36</v>
      </c>
      <c r="J8" s="8"/>
      <c r="K8" s="8" t="s">
        <v>35</v>
      </c>
      <c r="L8" s="8"/>
      <c r="M8" s="8"/>
      <c r="N8" s="8"/>
    </row>
    <row r="9" spans="1:14" ht="35.1" customHeight="1" x14ac:dyDescent="0.25">
      <c r="A9" s="8" t="s">
        <v>34</v>
      </c>
      <c r="B9" s="8" t="s">
        <v>25</v>
      </c>
      <c r="C9" s="8" t="s">
        <v>24</v>
      </c>
      <c r="D9" s="8" t="s">
        <v>33</v>
      </c>
      <c r="E9" s="8"/>
      <c r="F9" s="8" t="s">
        <v>15</v>
      </c>
      <c r="G9" s="8" t="s">
        <v>11</v>
      </c>
      <c r="H9" s="10">
        <v>56317.87</v>
      </c>
      <c r="I9" s="8" t="s">
        <v>32</v>
      </c>
      <c r="J9" s="8"/>
      <c r="K9" s="8" t="s">
        <v>31</v>
      </c>
      <c r="L9" s="8"/>
      <c r="M9" s="8"/>
      <c r="N9" s="8"/>
    </row>
    <row r="10" spans="1:14" ht="35.1" customHeight="1" x14ac:dyDescent="0.25">
      <c r="A10" s="8" t="s">
        <v>30</v>
      </c>
      <c r="B10" s="8" t="s">
        <v>25</v>
      </c>
      <c r="C10" s="8" t="s">
        <v>24</v>
      </c>
      <c r="D10" s="8" t="s">
        <v>29</v>
      </c>
      <c r="E10" s="8"/>
      <c r="F10" s="8" t="s">
        <v>13</v>
      </c>
      <c r="G10" s="8" t="s">
        <v>14</v>
      </c>
      <c r="H10" s="10">
        <v>35558.31</v>
      </c>
      <c r="I10" s="8" t="s">
        <v>28</v>
      </c>
      <c r="J10" s="8"/>
      <c r="K10" s="8" t="s">
        <v>27</v>
      </c>
      <c r="L10" s="8"/>
      <c r="M10" s="8"/>
      <c r="N10" s="8"/>
    </row>
    <row r="11" spans="1:14" ht="35.1" customHeight="1" x14ac:dyDescent="0.25">
      <c r="A11" s="8" t="s">
        <v>26</v>
      </c>
      <c r="B11" s="8" t="s">
        <v>25</v>
      </c>
      <c r="C11" s="8" t="s">
        <v>24</v>
      </c>
      <c r="D11" s="8" t="s">
        <v>23</v>
      </c>
      <c r="E11" s="8"/>
      <c r="F11" s="8" t="s">
        <v>12</v>
      </c>
      <c r="G11" s="8" t="s">
        <v>11</v>
      </c>
      <c r="H11" s="10">
        <v>26787.31</v>
      </c>
      <c r="I11" s="8"/>
      <c r="J11" s="8"/>
      <c r="K11" s="8" t="s">
        <v>22</v>
      </c>
      <c r="L11" s="8"/>
      <c r="M11" s="8"/>
      <c r="N11" s="8"/>
    </row>
    <row r="12" spans="1:14" ht="35.1" customHeight="1" x14ac:dyDescent="0.25">
      <c r="A12" s="11"/>
      <c r="B12" s="11"/>
      <c r="C12" s="11"/>
      <c r="D12" s="11" t="s">
        <v>21</v>
      </c>
      <c r="E12" s="11"/>
      <c r="F12" s="11"/>
      <c r="G12" s="11"/>
      <c r="H12" s="12">
        <f>SUM(H4:H11)</f>
        <v>316016.62</v>
      </c>
      <c r="I12" s="11"/>
      <c r="J12" s="11"/>
      <c r="K12" s="11"/>
      <c r="L12" s="11"/>
      <c r="M12" s="8"/>
      <c r="N12" s="8"/>
    </row>
    <row r="13" spans="1:14" ht="35.1" customHeight="1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ht="35.1" customHeight="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 ht="35.1" customHeight="1" x14ac:dyDescent="0.25"/>
    <row r="16" spans="1:14" ht="35.1" customHeight="1" x14ac:dyDescent="0.25"/>
    <row r="17" s="5" customFormat="1" ht="35.1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64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E1B07-CD40-4940-973B-F65C6BF99093}">
  <sheetPr>
    <pageSetUpPr fitToPage="1"/>
  </sheetPr>
  <dimension ref="A1:E15"/>
  <sheetViews>
    <sheetView workbookViewId="0">
      <pane ySplit="3" topLeftCell="A22" activePane="bottomLeft" state="frozen"/>
      <selection pane="bottomLeft" activeCell="E19" sqref="A1:E19"/>
    </sheetView>
  </sheetViews>
  <sheetFormatPr defaultRowHeight="15" x14ac:dyDescent="0.25"/>
  <cols>
    <col min="1" max="1" width="16.42578125" style="5" bestFit="1" customWidth="1"/>
    <col min="2" max="2" width="14" style="5" bestFit="1" customWidth="1"/>
    <col min="3" max="3" width="20.140625" style="5" bestFit="1" customWidth="1"/>
    <col min="4" max="4" width="18.7109375" style="5" bestFit="1" customWidth="1"/>
    <col min="5" max="5" width="31.5703125" style="5" bestFit="1" customWidth="1"/>
    <col min="6" max="16384" width="9.140625" style="5"/>
  </cols>
  <sheetData>
    <row r="1" spans="1:5" x14ac:dyDescent="0.25">
      <c r="C1" s="5" t="s">
        <v>3</v>
      </c>
      <c r="D1" s="7">
        <v>45849</v>
      </c>
      <c r="E1" s="5" t="s">
        <v>2</v>
      </c>
    </row>
    <row r="2" spans="1:5" x14ac:dyDescent="0.25">
      <c r="A2" s="19" t="s">
        <v>0</v>
      </c>
      <c r="B2" s="20"/>
      <c r="C2" s="20"/>
      <c r="D2" s="21" t="s">
        <v>72</v>
      </c>
      <c r="E2" s="20"/>
    </row>
    <row r="3" spans="1:5" x14ac:dyDescent="0.25">
      <c r="A3" s="5" t="s">
        <v>66</v>
      </c>
      <c r="B3" s="5" t="s">
        <v>64</v>
      </c>
      <c r="C3" s="5" t="s">
        <v>63</v>
      </c>
      <c r="D3" s="5" t="s">
        <v>62</v>
      </c>
      <c r="E3" s="5" t="s">
        <v>4</v>
      </c>
    </row>
    <row r="4" spans="1:5" x14ac:dyDescent="0.25">
      <c r="A4" s="5" t="s">
        <v>48</v>
      </c>
      <c r="B4" s="5" t="s">
        <v>46</v>
      </c>
      <c r="C4" s="5" t="s">
        <v>45</v>
      </c>
      <c r="E4" s="5" t="s">
        <v>17</v>
      </c>
    </row>
    <row r="5" spans="1:5" x14ac:dyDescent="0.25">
      <c r="A5" s="6"/>
      <c r="B5" s="6"/>
      <c r="C5" s="6" t="s">
        <v>71</v>
      </c>
      <c r="D5" s="6"/>
      <c r="E5" s="6"/>
    </row>
    <row r="8" spans="1:5" x14ac:dyDescent="0.25">
      <c r="A8" s="5" t="s">
        <v>70</v>
      </c>
    </row>
    <row r="11" spans="1:5" x14ac:dyDescent="0.25">
      <c r="A11" s="5" t="s">
        <v>69</v>
      </c>
    </row>
    <row r="15" spans="1:5" x14ac:dyDescent="0.25">
      <c r="A15" s="5" t="s">
        <v>68</v>
      </c>
    </row>
  </sheetData>
  <mergeCells count="2">
    <mergeCell ref="A2:C2"/>
    <mergeCell ref="D2:E2"/>
  </mergeCells>
  <pageMargins left="0.7" right="0.7" top="0.75" bottom="0.75" header="0.3" footer="0.3"/>
  <pageSetup scale="89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2025-07-11T17:58:35Z</cp:lastPrinted>
  <dcterms:created xsi:type="dcterms:W3CDTF">2025-07-11T17:43:04Z</dcterms:created>
  <dcterms:modified xsi:type="dcterms:W3CDTF">2025-07-11T18:08:21Z</dcterms:modified>
</cp:coreProperties>
</file>