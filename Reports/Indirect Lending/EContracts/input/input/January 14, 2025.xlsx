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1A8B1511-7FC8-4170-9428-D23766DD0CEC}" xr6:coauthVersionLast="47" xr6:coauthVersionMax="47" xr10:uidLastSave="{00000000-0000-0000-0000-000000000000}"/>
  <bookViews>
    <workbookView xWindow="30360" yWindow="1560" windowWidth="17445" windowHeight="132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" l="1"/>
  <c r="F8" i="2"/>
  <c r="E8" i="2"/>
  <c r="D8" i="2"/>
  <c r="H7" i="1"/>
</calcChain>
</file>

<file path=xl/sharedStrings.xml><?xml version="1.0" encoding="utf-8"?>
<sst xmlns="http://schemas.openxmlformats.org/spreadsheetml/2006/main" count="73" uniqueCount="50">
  <si>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</si>
  <si>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</si>
  <si>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</si>
  <si>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</si>
  <si>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</si>
  <si>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</si>
  <si>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</si>
  <si>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</si>
  <si>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</si>
  <si>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</si>
  <si>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</si>
  <si>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</si>
  <si>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</si>
  <si>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</si>
  <si>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</si>
  <si>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151136837</t>
  </si>
  <si>
    <t>Route One</t>
  </si>
  <si>
    <t>Paper</t>
  </si>
  <si>
    <t>Mwangi, Cecilia</t>
  </si>
  <si>
    <t>Herb Chambers Lexus of Hingham</t>
  </si>
  <si>
    <t>Neli Oliveira</t>
  </si>
  <si>
    <t>cecilemwas@gmail.com</t>
  </si>
  <si>
    <t>Machaia</t>
  </si>
  <si>
    <t>E Contract</t>
  </si>
  <si>
    <t>PUCCI, JAMES</t>
  </si>
  <si>
    <t>PUCCI, GINA</t>
  </si>
  <si>
    <t>Grieco Toyota</t>
  </si>
  <si>
    <t>RICCI</t>
  </si>
  <si>
    <t>GACCIONE</t>
  </si>
  <si>
    <t>HUTCHINS, PAUL</t>
  </si>
  <si>
    <t>Colonial Ford Inc</t>
  </si>
  <si>
    <t>Rachel Gorham</t>
  </si>
  <si>
    <t>lawnrangerlandscaping@gmail.com</t>
  </si>
  <si>
    <t>HOGAN</t>
  </si>
  <si>
    <t># 3</t>
  </si>
  <si>
    <t>Funding Worksheet - Signoff Version</t>
  </si>
  <si>
    <t># 1</t>
  </si>
  <si>
    <t>Funding Worksheet - ACH Version</t>
  </si>
  <si>
    <t>Dealer Flat</t>
  </si>
  <si>
    <t>Dealer Split</t>
  </si>
  <si>
    <t>Net to Dealer</t>
  </si>
  <si>
    <t>Contracted Amount Financed</t>
  </si>
  <si>
    <t>Original Notes Delivered</t>
  </si>
  <si>
    <t>Delivered by:</t>
  </si>
  <si>
    <t>Received by:</t>
  </si>
  <si>
    <t>Date Signed:</t>
  </si>
  <si>
    <t>Column1</t>
  </si>
  <si>
    <t>Column2</t>
  </si>
  <si>
    <t>151137041 E</t>
  </si>
  <si>
    <t>151137140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</si>
</sst>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0" fillId="0" borderId="1" xfId="0" applyBorder="1"/>
    <xf numFmtId="7" fontId="2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1"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7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AABE4B-6C85-4415-B496-A5DE0219C9C2}" name="Table_15" displayName="Table_15" ref="A3:H8">
  <tableColumns count="8">
    <tableColumn id="1" xr3:uid="{37C0E585-7370-4CA9-AB00-4C1A05533093}" name="Dealer Name"/>
    <tableColumn id="8" xr3:uid="{432B1412-7C5A-4461-BEBD-63AC7BCB0FC2}" name="Column2"/>
    <tableColumn id="2" xr3:uid="{C0EA5032-1F8B-4D9F-90EB-F2205EE45DFC}" name="Funded by"/>
    <tableColumn id="3" xr3:uid="{8598813C-35FC-4F09-8A72-AE9EA12B7F74}" name="Dealer Flat"/>
    <tableColumn id="4" xr3:uid="{8996F93F-686F-4B9F-B638-19C894465ED7}" name="Dealer Split"/>
    <tableColumn id="5" xr3:uid="{9B2CEE7F-BD08-4D4A-8C73-4C71B70EC349}" name="Net to Dealer"/>
    <tableColumn id="7" xr3:uid="{D721FA96-B26B-4DF2-9964-9E89A8F5AFD8}" name="Column1" dataDxfId="0"/>
    <tableColumn id="6" xr3:uid="{58ED2405-44C4-470D-9FE8-B632B3E58E1E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F0143-7F69-4440-9DB1-A672DEBF6C1F}" name="Table_14" displayName="Table_14" ref="A4:F6">
  <tableColumns count="6">
    <tableColumn id="1" xr3:uid="{0FEAD245-038E-426C-9C7E-BA5DA326C211}" name="Account Number"/>
    <tableColumn id="2" xr3:uid="{3BB27291-5054-49AD-A88B-6DFD274EB8AA}" name="Contract Type"/>
    <tableColumn id="3" xr3:uid="{BB97301A-69AA-41ED-ACD7-2A58A33F461C}" name="Applicant Name"/>
    <tableColumn id="4" xr3:uid="{0139F28A-E423-4048-8CDD-54E087B8FCDE}" name="Co-Applicant Name"/>
    <tableColumn id="5" xr3:uid="{54973BF8-8908-4325-B5FF-FB95D6757273}" name="Dealer Name"/>
    <tableColumn id="6" xr3:uid="{3369C26C-2C16-4C1A-B95E-F5836CCC7D76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"/>
  <sheetViews>
    <sheetView tabSelected="1" workbookViewId="0">
      <pane ySplit="3" topLeftCell="A4" activePane="bottomLeft" state="frozen"/>
      <selection pane="bottomLeft" activeCell="E10" sqref="E10"/>
    </sheetView>
  </sheetViews>
  <sheetFormatPr defaultRowHeight="15" x14ac:dyDescent="0.25"/>
  <cols>
    <col min="1" max="1" width="13.7109375" customWidth="1"/>
    <col min="2" max="2" width="10.7109375" bestFit="1" customWidth="1"/>
    <col min="3" max="3" width="10.28515625" customWidth="1"/>
    <col min="4" max="4" width="16.5703125" bestFit="1" customWidth="1"/>
    <col min="5" max="5" width="12.7109375" customWidth="1"/>
    <col min="6" max="6" width="27.7109375" customWidth="1"/>
    <col min="7" max="7" width="15.140625" bestFit="1" customWidth="1"/>
    <col min="8" max="8" width="17.140625" bestFit="1" customWidth="1"/>
    <col min="9" max="9" width="33.85546875" bestFit="1" customWidth="1"/>
    <col min="10" max="10" width="4.28515625" customWidth="1"/>
    <col min="11" max="11" width="11" customWidth="1"/>
    <col min="12" max="12" width="12.85546875" bestFit="1" customWidth="1"/>
  </cols>
  <sheetData>
    <row r="1" spans="1:12" ht="27.75" customHeight="1" x14ac:dyDescent="0.25">
      <c r="K1" s="12">
        <v>45671</v>
      </c>
      <c r="L1" s="13"/>
    </row>
    <row r="2" spans="1:12" ht="30" customHeight="1" x14ac:dyDescent="0.25">
      <c r="A2" s="9" t="s">
        <v>0</v>
      </c>
      <c r="B2" s="10"/>
      <c r="C2" s="10"/>
      <c r="D2" s="10"/>
      <c r="E2" s="10"/>
      <c r="F2" s="10"/>
      <c r="G2" s="11" t="s">
        <v>1</v>
      </c>
      <c r="H2" s="10"/>
      <c r="I2" s="10"/>
      <c r="J2" s="10"/>
      <c r="K2" s="10"/>
      <c r="L2" s="10"/>
    </row>
    <row r="3" spans="1:12" ht="30" customHeight="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0" customHeight="1" x14ac:dyDescent="0.25">
      <c r="A4" t="s">
        <v>15</v>
      </c>
      <c r="B4" t="s">
        <v>16</v>
      </c>
      <c r="C4" t="s">
        <v>17</v>
      </c>
      <c r="D4" t="s">
        <v>18</v>
      </c>
      <c r="F4" t="s">
        <v>19</v>
      </c>
      <c r="G4" t="s">
        <v>20</v>
      </c>
      <c r="H4" s="2">
        <v>30503.38</v>
      </c>
      <c r="I4" t="s">
        <v>21</v>
      </c>
      <c r="K4" t="s">
        <v>22</v>
      </c>
    </row>
    <row r="5" spans="1:12" ht="30" customHeight="1" x14ac:dyDescent="0.25">
      <c r="A5" t="s">
        <v>48</v>
      </c>
      <c r="B5" t="s">
        <v>16</v>
      </c>
      <c r="C5" t="s">
        <v>23</v>
      </c>
      <c r="D5" t="s">
        <v>24</v>
      </c>
      <c r="E5" t="s">
        <v>25</v>
      </c>
      <c r="F5" t="s">
        <v>26</v>
      </c>
      <c r="G5" t="s">
        <v>20</v>
      </c>
      <c r="H5" s="2">
        <v>39285</v>
      </c>
      <c r="K5" t="s">
        <v>27</v>
      </c>
      <c r="L5" t="s">
        <v>28</v>
      </c>
    </row>
    <row r="6" spans="1:12" ht="30" customHeight="1" x14ac:dyDescent="0.25">
      <c r="A6" t="s">
        <v>49</v>
      </c>
      <c r="B6" t="s">
        <v>16</v>
      </c>
      <c r="C6" t="s">
        <v>23</v>
      </c>
      <c r="D6" t="s">
        <v>29</v>
      </c>
      <c r="F6" t="s">
        <v>30</v>
      </c>
      <c r="G6" t="s">
        <v>31</v>
      </c>
      <c r="H6" s="2">
        <v>40473.440000000002</v>
      </c>
      <c r="I6" t="s">
        <v>32</v>
      </c>
      <c r="K6" t="s">
        <v>33</v>
      </c>
    </row>
    <row r="7" spans="1:12" ht="30" customHeight="1" x14ac:dyDescent="0.25">
      <c r="A7" s="1"/>
      <c r="B7" s="1"/>
      <c r="C7" s="1"/>
      <c r="D7" s="1" t="s">
        <v>34</v>
      </c>
      <c r="E7" s="1"/>
      <c r="F7" s="1"/>
      <c r="G7" s="1"/>
      <c r="H7" s="3">
        <f>SUM(H4:H6)</f>
        <v>110261.82</v>
      </c>
      <c r="I7" s="1"/>
      <c r="J7" s="1"/>
      <c r="K7" s="1"/>
      <c r="L7" s="1"/>
    </row>
    <row r="8" spans="1:12" ht="30" customHeight="1" x14ac:dyDescent="0.25"/>
  </sheetData>
  <mergeCells count="3">
    <mergeCell ref="A2:F2"/>
    <mergeCell ref="G2:L2"/>
    <mergeCell ref="K1:L1"/>
  </mergeCells>
  <pageMargins left="0.7" right="0.7" top="0.75" bottom="0.75" header="0.3" footer="0.3"/>
  <pageSetup paperSize="5" scale="8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1658-8E1C-49B2-8429-17D608D0FFD5}">
  <sheetPr>
    <pageSetUpPr fitToPage="1"/>
  </sheetPr>
  <dimension ref="A1:H8"/>
  <sheetViews>
    <sheetView workbookViewId="0">
      <selection activeCell="C20" sqref="C20"/>
    </sheetView>
  </sheetViews>
  <sheetFormatPr defaultRowHeight="15" x14ac:dyDescent="0.25"/>
  <cols>
    <col min="1" max="1" width="18.5703125" customWidth="1"/>
    <col min="2" max="2" width="9.140625" customWidth="1"/>
    <col min="3" max="3" width="15.140625" customWidth="1"/>
    <col min="4" max="4" width="14" customWidth="1"/>
    <col min="5" max="5" width="11.5703125" customWidth="1"/>
    <col min="6" max="6" width="15.140625" customWidth="1"/>
    <col min="7" max="7" width="9.7109375" customWidth="1"/>
    <col min="8" max="8" width="15.7109375" customWidth="1"/>
  </cols>
  <sheetData>
    <row r="1" spans="1:8" ht="24.95" customHeight="1" x14ac:dyDescent="0.25">
      <c r="E1" s="4"/>
      <c r="H1" s="4">
        <v>45671.999988425923</v>
      </c>
    </row>
    <row r="2" spans="1:8" ht="24.95" customHeight="1" x14ac:dyDescent="0.25">
      <c r="A2" s="9" t="s">
        <v>0</v>
      </c>
      <c r="B2" s="9"/>
      <c r="C2" s="10"/>
      <c r="D2" s="10"/>
      <c r="E2" s="11" t="s">
        <v>37</v>
      </c>
      <c r="F2" s="10"/>
      <c r="G2" s="10"/>
      <c r="H2" s="10"/>
    </row>
    <row r="3" spans="1:8" ht="24.95" customHeight="1" x14ac:dyDescent="0.25">
      <c r="A3" t="s">
        <v>7</v>
      </c>
      <c r="B3" t="s">
        <v>47</v>
      </c>
      <c r="C3" t="s">
        <v>8</v>
      </c>
      <c r="D3" t="s">
        <v>38</v>
      </c>
      <c r="E3" t="s">
        <v>39</v>
      </c>
      <c r="F3" t="s">
        <v>40</v>
      </c>
      <c r="G3" t="s">
        <v>46</v>
      </c>
      <c r="H3" t="s">
        <v>41</v>
      </c>
    </row>
    <row r="4" spans="1:8" ht="24.95" customHeight="1" x14ac:dyDescent="0.25">
      <c r="A4" t="s">
        <v>30</v>
      </c>
      <c r="C4" t="s">
        <v>31</v>
      </c>
      <c r="D4" s="2">
        <v>700</v>
      </c>
      <c r="E4" s="2">
        <v>0</v>
      </c>
      <c r="F4" s="8">
        <v>40398.44</v>
      </c>
      <c r="G4" s="2"/>
      <c r="H4" s="2">
        <v>40473.440000000002</v>
      </c>
    </row>
    <row r="5" spans="1:8" ht="24.95" customHeight="1" x14ac:dyDescent="0.25">
      <c r="A5" t="s">
        <v>26</v>
      </c>
      <c r="C5" t="s">
        <v>20</v>
      </c>
      <c r="D5" s="2">
        <v>650</v>
      </c>
      <c r="E5" s="2">
        <v>0</v>
      </c>
      <c r="F5" s="8">
        <v>39210</v>
      </c>
      <c r="G5" s="2"/>
      <c r="H5" s="2">
        <v>39285</v>
      </c>
    </row>
    <row r="6" spans="1:8" ht="24.95" customHeight="1" x14ac:dyDescent="0.25">
      <c r="A6" t="s">
        <v>19</v>
      </c>
      <c r="C6" t="s">
        <v>20</v>
      </c>
      <c r="D6" s="2">
        <v>600</v>
      </c>
      <c r="E6" s="2">
        <v>0</v>
      </c>
      <c r="F6" s="8">
        <v>30428.38</v>
      </c>
      <c r="G6" s="2"/>
      <c r="H6" s="2">
        <v>30503.38</v>
      </c>
    </row>
    <row r="7" spans="1:8" ht="11.25" customHeight="1" x14ac:dyDescent="0.25">
      <c r="D7" s="2"/>
      <c r="E7" s="2"/>
      <c r="F7" s="8"/>
      <c r="G7" s="2"/>
      <c r="H7" s="2"/>
    </row>
    <row r="8" spans="1:8" ht="19.5" customHeight="1" x14ac:dyDescent="0.25">
      <c r="A8" s="1"/>
      <c r="B8" s="1"/>
      <c r="C8" s="1"/>
      <c r="D8" s="3">
        <f>SUM(D4:D6)</f>
        <v>1950</v>
      </c>
      <c r="E8" s="3">
        <f>SUM(E4:E6)</f>
        <v>0</v>
      </c>
      <c r="F8" s="3">
        <f>SUM(F4:F6)</f>
        <v>110036.82</v>
      </c>
      <c r="G8" s="3"/>
      <c r="H8" s="3">
        <f>SUM(H4:H6)</f>
        <v>110261.82</v>
      </c>
    </row>
  </sheetData>
  <mergeCells count="2">
    <mergeCell ref="A2:D2"/>
    <mergeCell ref="E2:H2"/>
  </mergeCells>
  <pageMargins left="0.7" right="0.2" top="0.75" bottom="0.75" header="0.3" footer="0.3"/>
  <pageSetup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1959-DA3F-4C03-9E7E-33EC93F6C7C6}">
  <dimension ref="A2:F21"/>
  <sheetViews>
    <sheetView workbookViewId="0">
      <selection activeCell="F16" sqref="F16"/>
    </sheetView>
  </sheetViews>
  <sheetFormatPr defaultRowHeight="15" x14ac:dyDescent="0.25"/>
  <cols>
    <col min="1" max="1" width="14.5703125" customWidth="1"/>
    <col min="2" max="2" width="8.28515625" customWidth="1"/>
    <col min="3" max="3" width="14.85546875" customWidth="1"/>
    <col min="4" max="4" width="1.5703125" customWidth="1"/>
    <col min="5" max="5" width="21.28515625" customWidth="1"/>
    <col min="6" max="6" width="16.42578125" customWidth="1"/>
  </cols>
  <sheetData>
    <row r="2" spans="1:6" ht="24.95" customHeight="1" x14ac:dyDescent="0.25">
      <c r="A2" s="6" t="s">
        <v>42</v>
      </c>
      <c r="D2" s="4"/>
      <c r="F2" s="5">
        <v>45671.999988425923</v>
      </c>
    </row>
    <row r="3" spans="1:6" ht="24.95" customHeight="1" x14ac:dyDescent="0.25">
      <c r="A3" s="9" t="s">
        <v>0</v>
      </c>
      <c r="B3" s="10"/>
      <c r="C3" s="10"/>
      <c r="D3" s="11" t="s">
        <v>35</v>
      </c>
      <c r="E3" s="10"/>
      <c r="F3" s="10"/>
    </row>
    <row r="4" spans="1:6" ht="24.95" customHeight="1" x14ac:dyDescent="0.25">
      <c r="A4" t="s">
        <v>2</v>
      </c>
      <c r="B4" t="s">
        <v>4</v>
      </c>
      <c r="C4" t="s">
        <v>5</v>
      </c>
      <c r="D4" t="s">
        <v>6</v>
      </c>
      <c r="E4" t="s">
        <v>7</v>
      </c>
      <c r="F4" t="s">
        <v>14</v>
      </c>
    </row>
    <row r="5" spans="1:6" ht="24.95" customHeight="1" x14ac:dyDescent="0.25">
      <c r="A5" t="s">
        <v>15</v>
      </c>
      <c r="B5" t="s">
        <v>17</v>
      </c>
      <c r="C5" t="s">
        <v>18</v>
      </c>
      <c r="E5" t="s">
        <v>19</v>
      </c>
    </row>
    <row r="6" spans="1:6" ht="24.95" customHeight="1" x14ac:dyDescent="0.25">
      <c r="A6" s="1"/>
      <c r="B6" s="1"/>
      <c r="C6" s="1" t="s">
        <v>36</v>
      </c>
      <c r="D6" s="1"/>
      <c r="E6" s="1"/>
      <c r="F6" s="1"/>
    </row>
    <row r="11" spans="1:6" x14ac:dyDescent="0.25">
      <c r="A11" t="s">
        <v>43</v>
      </c>
      <c r="B11" s="7"/>
      <c r="C11" s="7"/>
      <c r="D11" s="7"/>
      <c r="E11" s="7"/>
    </row>
    <row r="16" spans="1:6" x14ac:dyDescent="0.25">
      <c r="A16" t="s">
        <v>44</v>
      </c>
      <c r="B16" s="7"/>
      <c r="C16" s="7"/>
      <c r="D16" s="7"/>
      <c r="E16" s="7"/>
    </row>
    <row r="21" spans="1:3" x14ac:dyDescent="0.25">
      <c r="A21" t="s">
        <v>45</v>
      </c>
      <c r="B21" s="7"/>
      <c r="C21" s="7"/>
    </row>
  </sheetData>
  <mergeCells count="2">
    <mergeCell ref="A3:C3"/>
    <mergeCell ref="D3:F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2025-01-14T18:47:10Z</cp:lastPrinted>
  <dcterms:created xsi:type="dcterms:W3CDTF">2025-01-14T18:31:30Z</dcterms:created>
  <dcterms:modified xsi:type="dcterms:W3CDTF">2025-01-14T18:59:43Z</dcterms:modified>
</cp:coreProperties>
</file>