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2E7AC9B9-8092-4DEC-A467-099E7CB0865F}" xr6:coauthVersionLast="47" xr6:coauthVersionMax="47" xr10:uidLastSave="{00000000-0000-0000-0000-000000000000}"/>
  <bookViews>
    <workbookView xWindow="32520" yWindow="255" windowWidth="20580" windowHeight="156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" l="1"/>
  <c r="G28" i="2"/>
  <c r="G19" i="2"/>
  <c r="H33" i="2"/>
  <c r="F33" i="2"/>
  <c r="E33" i="2"/>
  <c r="D33" i="2"/>
  <c r="H21" i="1"/>
</calcChain>
</file>

<file path=xl/sharedStrings.xml><?xml version="1.0" encoding="utf-8"?>
<sst xmlns="http://schemas.openxmlformats.org/spreadsheetml/2006/main" count="217" uniqueCount="121">
  <si>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</si>
  <si>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</si>
  <si>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</si>
  <si>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</si>
  <si>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</si>
  <si>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</si>
  <si>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</si>
  <si>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</si>
  <si>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</si>
  <si>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</si>
  <si>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</si>
  <si>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</si>
  <si>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</si>
  <si>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</si>
  <si>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</si>
  <si>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</si>
  <si>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</si>
  <si>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MORALES SEN, PEDRO</t>
  </si>
  <si>
    <t>TAY CAC, AROLDO</t>
  </si>
  <si>
    <t>Metro Honda</t>
  </si>
  <si>
    <t>Marlene Braganca</t>
  </si>
  <si>
    <t>Sen</t>
  </si>
  <si>
    <t>Mejia</t>
  </si>
  <si>
    <t>LE, CUONG</t>
  </si>
  <si>
    <t>Richard Lundgren, Inc. d/b/a</t>
  </si>
  <si>
    <t>DIEUNPHAM@YAHOO.COM</t>
  </si>
  <si>
    <t>Bui</t>
  </si>
  <si>
    <t>Route One</t>
  </si>
  <si>
    <t>ST GERMAIN, PIERRE</t>
  </si>
  <si>
    <t>Mastria Mazda</t>
  </si>
  <si>
    <t>Rachel Gorham</t>
  </si>
  <si>
    <t>CHEFPIERRE930@GMAIL.COM</t>
  </si>
  <si>
    <t>LAFAYETTE</t>
  </si>
  <si>
    <t>BARTOLOME, LEONARDO</t>
  </si>
  <si>
    <t>AutoMax Preowned(Framingham)</t>
  </si>
  <si>
    <t>NGUYEN</t>
  </si>
  <si>
    <t>TZELNIC, ALEXANDER</t>
  </si>
  <si>
    <t>Herb Chambers Boston Turnpike Inc d/b/a</t>
  </si>
  <si>
    <t>ATZ840@GMAIL.COM</t>
  </si>
  <si>
    <t>DAN</t>
  </si>
  <si>
    <t>CAPARROTTA, GIANFRANCO</t>
  </si>
  <si>
    <t>Herb Chambers Lexus of Hingham</t>
  </si>
  <si>
    <t>GCAPARROTTA@COMCAST.NET</t>
  </si>
  <si>
    <t>MARANO</t>
  </si>
  <si>
    <t>ZOLA, ANTHONY</t>
  </si>
  <si>
    <t>Langway Toyota of Newport</t>
  </si>
  <si>
    <t>anthonyzola11@yahoo.com</t>
  </si>
  <si>
    <t>Jones</t>
  </si>
  <si>
    <t>OLIVER, MORGAN</t>
  </si>
  <si>
    <t>Grieco Hyundai</t>
  </si>
  <si>
    <t>MORGAN.OLIVER0409@GMAIL.COM</t>
  </si>
  <si>
    <t>Amaral</t>
  </si>
  <si>
    <t>JOYCE, PATRICK</t>
  </si>
  <si>
    <t>Coastal Volkswagon</t>
  </si>
  <si>
    <t>PJOYCE5904@GMAIL.COM</t>
  </si>
  <si>
    <t>Kelleher</t>
  </si>
  <si>
    <t>151163400</t>
  </si>
  <si>
    <t>Paper</t>
  </si>
  <si>
    <t>KENNEDY, JEFFREY</t>
  </si>
  <si>
    <t>T F Murphy Enterprises Inc</t>
  </si>
  <si>
    <t>Stamm</t>
  </si>
  <si>
    <t>KEATON, JOYCE</t>
  </si>
  <si>
    <t>KEATONDO@GMAIL.COM</t>
  </si>
  <si>
    <t>BROWN</t>
  </si>
  <si>
    <t>AKGUNLER, UGUR</t>
  </si>
  <si>
    <t>AKGUNLER, DEMET</t>
  </si>
  <si>
    <t>Tasca Ford</t>
  </si>
  <si>
    <t>UGURAKGUNLER@GMAIL.COM</t>
  </si>
  <si>
    <t>Akkas</t>
  </si>
  <si>
    <t>SARIOGLU</t>
  </si>
  <si>
    <t>PATTERSON, NICOLE</t>
  </si>
  <si>
    <t>nicolemariepatterson@gmail.com</t>
  </si>
  <si>
    <t>LOVEJOY</t>
  </si>
  <si>
    <t>PORTER, GEORGE</t>
  </si>
  <si>
    <t>GOLFASL2010@GMAIL.COM</t>
  </si>
  <si>
    <t>STEVENS</t>
  </si>
  <si>
    <t>FOLEY, JULIA</t>
  </si>
  <si>
    <t>FOLEY, KENNETH</t>
  </si>
  <si>
    <t>FOLEY91@VERIZON.NET</t>
  </si>
  <si>
    <t>Connelly</t>
  </si>
  <si>
    <t>McCarthy</t>
  </si>
  <si>
    <t>CONCAPETIT, JENNIFER</t>
  </si>
  <si>
    <t>JENRTHURLOW@GMAIL.COM</t>
  </si>
  <si>
    <t>Hanson</t>
  </si>
  <si>
    <t>TASSIOPOULOS, EVANGELOS</t>
  </si>
  <si>
    <t>Grieco Enterprises, LLC d/b/a</t>
  </si>
  <si>
    <t>PIZZADOROS@VERIZON.NET</t>
  </si>
  <si>
    <t>THOMAS</t>
  </si>
  <si>
    <t># 17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</si>
  <si>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</si>
  <si>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</si>
  <si>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</si>
  <si>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</si>
  <si>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</si>
  <si>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</si>
  <si>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</si>
  <si>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NE-AutoMax Preowned(Framingham)</t>
  </si>
  <si>
    <t>Lu-Richard Lundgren, Inc. d/b/a</t>
  </si>
  <si>
    <t>5900-6390</t>
  </si>
  <si>
    <t>Funding Worksheet - Signoff Version</t>
  </si>
  <si>
    <t># 1</t>
  </si>
  <si>
    <t>151163343 E</t>
  </si>
  <si>
    <t>151163327 E</t>
  </si>
  <si>
    <t>151163319 E</t>
  </si>
  <si>
    <t>151163286 E</t>
  </si>
  <si>
    <t>151163278 E</t>
  </si>
  <si>
    <t>151163252 E</t>
  </si>
  <si>
    <t>151163228 E</t>
  </si>
  <si>
    <t>151163179 E</t>
  </si>
  <si>
    <t>151163153 E</t>
  </si>
  <si>
    <t>151163426 E</t>
  </si>
  <si>
    <t>151163434 E</t>
  </si>
  <si>
    <t>151163442 E</t>
  </si>
  <si>
    <t>151163450 E</t>
  </si>
  <si>
    <t>151163476 E</t>
  </si>
  <si>
    <t>151163492 E</t>
  </si>
  <si>
    <t>151163567 E</t>
  </si>
  <si>
    <t>Delivered by:</t>
  </si>
  <si>
    <t>Received by:</t>
  </si>
  <si>
    <t>Date Signed:</t>
  </si>
  <si>
    <t>Original Notes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</si>
</sst>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4" fillId="0" borderId="0" xfId="0" applyFont="1"/>
    <xf numFmtId="0" fontId="3" fillId="0" borderId="0" xfId="0" applyFont="1"/>
    <xf numFmtId="7" fontId="3" fillId="0" borderId="0" xfId="0" applyNumberFormat="1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/>
    <xf numFmtId="0" fontId="0" fillId="0" borderId="1" xfId="0" applyBorder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1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4E853D-202B-4B3C-8613-C15F7BE297CC}" name="Table_14" displayName="Table_14" ref="A3:H33" headerRowDxfId="17" dataDxfId="15" totalsRowDxfId="16">
  <sortState xmlns:xlrd2="http://schemas.microsoft.com/office/spreadsheetml/2017/richdata2" ref="A4:H33">
    <sortCondition ref="A4:A33"/>
  </sortState>
  <tableColumns count="8">
    <tableColumn id="1" xr3:uid="{7A5A7A01-515E-44F5-B80F-4BE2A127FDD2}" name="Dealer Name" dataDxfId="25"/>
    <tableColumn id="8" xr3:uid="{8AAEEEF1-5165-486F-BD10-3D1D7582A054}" name="Column2" dataDxfId="24"/>
    <tableColumn id="2" xr3:uid="{AE482DD6-6607-4DCE-BE56-F790F10F42E9}" name="Funded by" dataDxfId="23"/>
    <tableColumn id="3" xr3:uid="{FA64D6E8-7AF2-45A2-9B3F-0E969660B5F3}" name="Dealer Flat" dataDxfId="22"/>
    <tableColumn id="4" xr3:uid="{EC87A898-B673-4CE9-A5B2-056B95B053B0}" name="Dealer Split" dataDxfId="21"/>
    <tableColumn id="5" xr3:uid="{7DAA0BE2-9EC2-4F27-AC92-A18CF81CFA43}" name="Net to Dealer" dataDxfId="20"/>
    <tableColumn id="7" xr3:uid="{48892372-544E-4D56-8010-3AA8ABF554F1}" name="Column1" dataDxfId="19"/>
    <tableColumn id="6" xr3:uid="{A6D6FF0D-8804-47EF-B56F-FF237A106F96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90BD1B-3E50-4451-BF44-9CF1ABEDF966}" name="Table_15" displayName="Table_15" ref="A3:F5">
  <tableColumns count="6">
    <tableColumn id="1" xr3:uid="{4B0ACA73-0029-4AA7-B68E-3E3CA4EBC8CA}" name="Account Number"/>
    <tableColumn id="2" xr3:uid="{80978A78-DE2D-43D2-917A-24AA847D568A}" name="Contract Type"/>
    <tableColumn id="3" xr3:uid="{BB5EBBA1-E657-4E6D-927F-ECEA39E918BC}" name="Applicant Name"/>
    <tableColumn id="4" xr3:uid="{C3C3B77A-2D13-4918-B84E-A454BA79F31B}" name="Co-Applicant Name"/>
    <tableColumn id="5" xr3:uid="{12414EEE-58ED-4D1A-AE9D-5F81BE7C3FE8}" name="Dealer Name"/>
    <tableColumn id="6" xr3:uid="{A0A9EDD8-66C6-4B03-90F9-D15E29B17DD5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tabSelected="1" workbookViewId="0">
      <pane ySplit="3" topLeftCell="A4" activePane="bottomLeft" state="frozen"/>
      <selection pane="bottomLeft" activeCell="D9" sqref="D9"/>
    </sheetView>
  </sheetViews>
  <sheetFormatPr defaultRowHeight="15.75" x14ac:dyDescent="0.25"/>
  <cols>
    <col min="1" max="1" width="15.28515625" style="6" customWidth="1"/>
    <col min="2" max="2" width="12.140625" style="6" bestFit="1" customWidth="1"/>
    <col min="3" max="3" width="14" style="6" bestFit="1" customWidth="1"/>
    <col min="4" max="4" width="27.7109375" style="6" bestFit="1" customWidth="1"/>
    <col min="5" max="5" width="18.7109375" style="6" bestFit="1" customWidth="1"/>
    <col min="6" max="6" width="33.28515625" style="6" customWidth="1"/>
    <col min="7" max="7" width="17.7109375" style="6" bestFit="1" customWidth="1"/>
    <col min="8" max="8" width="17.140625" style="6" bestFit="1" customWidth="1"/>
    <col min="9" max="9" width="33.85546875" style="6" bestFit="1" customWidth="1"/>
    <col min="10" max="10" width="23.5703125" style="6" bestFit="1" customWidth="1"/>
    <col min="11" max="12" width="12.85546875" style="6" bestFit="1" customWidth="1"/>
    <col min="13" max="16384" width="9.140625" style="6"/>
  </cols>
  <sheetData>
    <row r="1" spans="1:12" s="6" customFormat="1" x14ac:dyDescent="0.25">
      <c r="K1" s="16">
        <v>45749</v>
      </c>
      <c r="L1" s="17"/>
    </row>
    <row r="2" spans="1:12" s="6" customFormat="1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  <c r="L2" s="9"/>
    </row>
    <row r="3" spans="1:12" s="6" customForma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spans="1:12" s="6" customFormat="1" ht="33" customHeight="1" x14ac:dyDescent="0.25">
      <c r="A4" s="6" t="s">
        <v>109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11">
        <v>46785.66</v>
      </c>
      <c r="K4" s="6" t="s">
        <v>21</v>
      </c>
      <c r="L4" s="6" t="s">
        <v>22</v>
      </c>
    </row>
    <row r="5" spans="1:12" s="6" customFormat="1" ht="33" customHeight="1" x14ac:dyDescent="0.25">
      <c r="A5" s="6" t="s">
        <v>108</v>
      </c>
      <c r="B5" s="6" t="s">
        <v>15</v>
      </c>
      <c r="C5" s="6" t="s">
        <v>16</v>
      </c>
      <c r="D5" s="6" t="s">
        <v>23</v>
      </c>
      <c r="F5" s="6" t="s">
        <v>24</v>
      </c>
      <c r="G5" s="6" t="s">
        <v>20</v>
      </c>
      <c r="H5" s="11">
        <v>30148.77</v>
      </c>
      <c r="I5" s="6" t="s">
        <v>25</v>
      </c>
      <c r="K5" s="6" t="s">
        <v>26</v>
      </c>
    </row>
    <row r="6" spans="1:12" s="6" customFormat="1" ht="33" customHeight="1" x14ac:dyDescent="0.25">
      <c r="A6" s="6" t="s">
        <v>107</v>
      </c>
      <c r="B6" s="6" t="s">
        <v>27</v>
      </c>
      <c r="C6" s="6" t="s">
        <v>16</v>
      </c>
      <c r="D6" s="6" t="s">
        <v>28</v>
      </c>
      <c r="F6" s="6" t="s">
        <v>29</v>
      </c>
      <c r="G6" s="6" t="s">
        <v>30</v>
      </c>
      <c r="H6" s="11">
        <v>37565.39</v>
      </c>
      <c r="I6" s="6" t="s">
        <v>31</v>
      </c>
      <c r="K6" s="6" t="s">
        <v>32</v>
      </c>
    </row>
    <row r="7" spans="1:12" s="6" customFormat="1" ht="33" customHeight="1" x14ac:dyDescent="0.25">
      <c r="A7" s="6" t="s">
        <v>106</v>
      </c>
      <c r="B7" s="6" t="s">
        <v>15</v>
      </c>
      <c r="C7" s="6" t="s">
        <v>16</v>
      </c>
      <c r="D7" s="6" t="s">
        <v>33</v>
      </c>
      <c r="F7" s="6" t="s">
        <v>34</v>
      </c>
      <c r="G7" s="6" t="s">
        <v>30</v>
      </c>
      <c r="H7" s="11">
        <v>28973.81</v>
      </c>
      <c r="K7" s="6" t="s">
        <v>35</v>
      </c>
    </row>
    <row r="8" spans="1:12" s="6" customFormat="1" ht="33" customHeight="1" x14ac:dyDescent="0.25">
      <c r="A8" s="6" t="s">
        <v>105</v>
      </c>
      <c r="B8" s="6" t="s">
        <v>15</v>
      </c>
      <c r="C8" s="6" t="s">
        <v>16</v>
      </c>
      <c r="D8" s="6" t="s">
        <v>36</v>
      </c>
      <c r="F8" s="6" t="s">
        <v>37</v>
      </c>
      <c r="G8" s="6" t="s">
        <v>30</v>
      </c>
      <c r="H8" s="11">
        <v>40040.06</v>
      </c>
      <c r="I8" s="6" t="s">
        <v>38</v>
      </c>
      <c r="K8" s="6" t="s">
        <v>39</v>
      </c>
    </row>
    <row r="9" spans="1:12" s="6" customFormat="1" ht="33" customHeight="1" x14ac:dyDescent="0.25">
      <c r="A9" s="6" t="s">
        <v>104</v>
      </c>
      <c r="B9" s="6" t="s">
        <v>27</v>
      </c>
      <c r="C9" s="6" t="s">
        <v>16</v>
      </c>
      <c r="D9" s="6" t="s">
        <v>40</v>
      </c>
      <c r="F9" s="6" t="s">
        <v>41</v>
      </c>
      <c r="G9" s="6" t="s">
        <v>30</v>
      </c>
      <c r="H9" s="11">
        <v>15017.75</v>
      </c>
      <c r="I9" s="6" t="s">
        <v>42</v>
      </c>
      <c r="K9" s="6" t="s">
        <v>43</v>
      </c>
    </row>
    <row r="10" spans="1:12" s="6" customFormat="1" ht="33" customHeight="1" x14ac:dyDescent="0.25">
      <c r="A10" s="6" t="s">
        <v>103</v>
      </c>
      <c r="B10" s="6" t="s">
        <v>27</v>
      </c>
      <c r="C10" s="6" t="s">
        <v>16</v>
      </c>
      <c r="D10" s="6" t="s">
        <v>44</v>
      </c>
      <c r="F10" s="6" t="s">
        <v>45</v>
      </c>
      <c r="G10" s="6" t="s">
        <v>20</v>
      </c>
      <c r="H10" s="11">
        <v>29038.560000000001</v>
      </c>
      <c r="I10" s="6" t="s">
        <v>46</v>
      </c>
      <c r="K10" s="6" t="s">
        <v>47</v>
      </c>
    </row>
    <row r="11" spans="1:12" s="6" customFormat="1" ht="33" customHeight="1" x14ac:dyDescent="0.25">
      <c r="A11" s="6" t="s">
        <v>102</v>
      </c>
      <c r="B11" s="6" t="s">
        <v>15</v>
      </c>
      <c r="C11" s="6" t="s">
        <v>16</v>
      </c>
      <c r="D11" s="6" t="s">
        <v>48</v>
      </c>
      <c r="F11" s="6" t="s">
        <v>49</v>
      </c>
      <c r="G11" s="6" t="s">
        <v>20</v>
      </c>
      <c r="H11" s="11">
        <v>25513.91</v>
      </c>
      <c r="I11" s="6" t="s">
        <v>50</v>
      </c>
      <c r="K11" s="6" t="s">
        <v>51</v>
      </c>
    </row>
    <row r="12" spans="1:12" s="6" customFormat="1" ht="33" customHeight="1" x14ac:dyDescent="0.25">
      <c r="A12" s="6" t="s">
        <v>101</v>
      </c>
      <c r="B12" s="6" t="s">
        <v>15</v>
      </c>
      <c r="C12" s="6" t="s">
        <v>16</v>
      </c>
      <c r="D12" s="6" t="s">
        <v>52</v>
      </c>
      <c r="F12" s="6" t="s">
        <v>53</v>
      </c>
      <c r="G12" s="6" t="s">
        <v>20</v>
      </c>
      <c r="H12" s="11">
        <v>26355.06</v>
      </c>
      <c r="I12" s="6" t="s">
        <v>54</v>
      </c>
      <c r="K12" s="6" t="s">
        <v>55</v>
      </c>
    </row>
    <row r="13" spans="1:12" s="6" customFormat="1" ht="33" customHeight="1" x14ac:dyDescent="0.25">
      <c r="A13" s="6" t="s">
        <v>56</v>
      </c>
      <c r="B13" s="6" t="s">
        <v>27</v>
      </c>
      <c r="C13" s="6" t="s">
        <v>57</v>
      </c>
      <c r="D13" s="6" t="s">
        <v>58</v>
      </c>
      <c r="F13" s="6" t="s">
        <v>59</v>
      </c>
      <c r="G13" s="6" t="s">
        <v>20</v>
      </c>
      <c r="H13" s="11">
        <v>28604.880000000001</v>
      </c>
      <c r="K13" s="6" t="s">
        <v>60</v>
      </c>
    </row>
    <row r="14" spans="1:12" s="6" customFormat="1" ht="33" customHeight="1" x14ac:dyDescent="0.25">
      <c r="A14" s="6" t="s">
        <v>110</v>
      </c>
      <c r="B14" s="6" t="s">
        <v>27</v>
      </c>
      <c r="C14" s="6" t="s">
        <v>16</v>
      </c>
      <c r="D14" s="6" t="s">
        <v>61</v>
      </c>
      <c r="F14" s="6" t="s">
        <v>59</v>
      </c>
      <c r="G14" s="6" t="s">
        <v>30</v>
      </c>
      <c r="H14" s="11">
        <v>53990.84</v>
      </c>
      <c r="I14" s="6" t="s">
        <v>62</v>
      </c>
      <c r="K14" s="6" t="s">
        <v>63</v>
      </c>
    </row>
    <row r="15" spans="1:12" s="6" customFormat="1" ht="33" customHeight="1" x14ac:dyDescent="0.25">
      <c r="A15" s="6" t="s">
        <v>111</v>
      </c>
      <c r="B15" s="6" t="s">
        <v>27</v>
      </c>
      <c r="C15" s="6" t="s">
        <v>16</v>
      </c>
      <c r="D15" s="6" t="s">
        <v>64</v>
      </c>
      <c r="E15" s="6" t="s">
        <v>65</v>
      </c>
      <c r="F15" s="6" t="s">
        <v>66</v>
      </c>
      <c r="G15" s="6" t="s">
        <v>20</v>
      </c>
      <c r="H15" s="11">
        <v>21641.33</v>
      </c>
      <c r="I15" s="6" t="s">
        <v>67</v>
      </c>
      <c r="K15" s="6" t="s">
        <v>68</v>
      </c>
      <c r="L15" s="6" t="s">
        <v>69</v>
      </c>
    </row>
    <row r="16" spans="1:12" s="6" customFormat="1" ht="33" customHeight="1" x14ac:dyDescent="0.25">
      <c r="A16" s="6" t="s">
        <v>112</v>
      </c>
      <c r="B16" s="6" t="s">
        <v>27</v>
      </c>
      <c r="C16" s="6" t="s">
        <v>16</v>
      </c>
      <c r="D16" s="6" t="s">
        <v>70</v>
      </c>
      <c r="F16" s="6" t="s">
        <v>66</v>
      </c>
      <c r="G16" s="6" t="s">
        <v>30</v>
      </c>
      <c r="H16" s="11">
        <v>20317.86</v>
      </c>
      <c r="I16" s="6" t="s">
        <v>71</v>
      </c>
      <c r="K16" s="6" t="s">
        <v>72</v>
      </c>
    </row>
    <row r="17" spans="1:12" s="6" customFormat="1" ht="33" customHeight="1" x14ac:dyDescent="0.25">
      <c r="A17" s="6" t="s">
        <v>113</v>
      </c>
      <c r="B17" s="6" t="s">
        <v>15</v>
      </c>
      <c r="C17" s="6" t="s">
        <v>16</v>
      </c>
      <c r="D17" s="6" t="s">
        <v>73</v>
      </c>
      <c r="F17" s="6" t="s">
        <v>24</v>
      </c>
      <c r="G17" s="6" t="s">
        <v>30</v>
      </c>
      <c r="H17" s="11">
        <v>36051.47</v>
      </c>
      <c r="I17" s="6" t="s">
        <v>74</v>
      </c>
      <c r="K17" s="6" t="s">
        <v>75</v>
      </c>
    </row>
    <row r="18" spans="1:12" s="6" customFormat="1" ht="33" customHeight="1" x14ac:dyDescent="0.25">
      <c r="A18" s="6" t="s">
        <v>114</v>
      </c>
      <c r="B18" s="6" t="s">
        <v>15</v>
      </c>
      <c r="C18" s="6" t="s">
        <v>16</v>
      </c>
      <c r="D18" s="6" t="s">
        <v>76</v>
      </c>
      <c r="E18" s="6" t="s">
        <v>77</v>
      </c>
      <c r="F18" s="6" t="s">
        <v>24</v>
      </c>
      <c r="G18" s="6" t="s">
        <v>20</v>
      </c>
      <c r="H18" s="11">
        <v>21286</v>
      </c>
      <c r="I18" s="6" t="s">
        <v>78</v>
      </c>
      <c r="J18" s="6" t="s">
        <v>78</v>
      </c>
      <c r="K18" s="6" t="s">
        <v>79</v>
      </c>
      <c r="L18" s="6" t="s">
        <v>80</v>
      </c>
    </row>
    <row r="19" spans="1:12" s="6" customFormat="1" ht="33" customHeight="1" x14ac:dyDescent="0.25">
      <c r="A19" s="6" t="s">
        <v>115</v>
      </c>
      <c r="B19" s="6" t="s">
        <v>15</v>
      </c>
      <c r="C19" s="6" t="s">
        <v>16</v>
      </c>
      <c r="D19" s="6" t="s">
        <v>81</v>
      </c>
      <c r="F19" s="6" t="s">
        <v>24</v>
      </c>
      <c r="G19" s="6" t="s">
        <v>20</v>
      </c>
      <c r="H19" s="11">
        <v>22195.75</v>
      </c>
      <c r="I19" s="6" t="s">
        <v>82</v>
      </c>
      <c r="K19" s="6" t="s">
        <v>83</v>
      </c>
    </row>
    <row r="20" spans="1:12" s="6" customFormat="1" ht="33" customHeight="1" x14ac:dyDescent="0.25">
      <c r="A20" s="6" t="s">
        <v>116</v>
      </c>
      <c r="B20" s="6" t="s">
        <v>15</v>
      </c>
      <c r="C20" s="6" t="s">
        <v>16</v>
      </c>
      <c r="D20" s="6" t="s">
        <v>84</v>
      </c>
      <c r="F20" s="6" t="s">
        <v>85</v>
      </c>
      <c r="G20" s="6" t="s">
        <v>30</v>
      </c>
      <c r="H20" s="11">
        <v>51374.93</v>
      </c>
      <c r="I20" s="6" t="s">
        <v>86</v>
      </c>
      <c r="K20" s="6" t="s">
        <v>87</v>
      </c>
    </row>
    <row r="21" spans="1:12" s="6" customFormat="1" x14ac:dyDescent="0.25">
      <c r="A21" s="14"/>
      <c r="B21" s="14"/>
      <c r="C21" s="14"/>
      <c r="D21" s="14" t="s">
        <v>88</v>
      </c>
      <c r="E21" s="14"/>
      <c r="F21" s="14"/>
      <c r="G21" s="14"/>
      <c r="H21" s="15">
        <f>SUM(H4:H20)</f>
        <v>534902.03000000014</v>
      </c>
      <c r="I21" s="14"/>
      <c r="J21" s="14"/>
      <c r="K21" s="14"/>
      <c r="L21" s="14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6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2DA9-BA70-4A82-8D88-BB893BF91316}">
  <sheetPr>
    <pageSetUpPr fitToPage="1"/>
  </sheetPr>
  <dimension ref="A1:H33"/>
  <sheetViews>
    <sheetView topLeftCell="A6" workbookViewId="0">
      <selection activeCell="C14" sqref="C14"/>
    </sheetView>
  </sheetViews>
  <sheetFormatPr defaultRowHeight="15.75" x14ac:dyDescent="0.25"/>
  <cols>
    <col min="1" max="1" width="23.42578125" style="6" customWidth="1"/>
    <col min="2" max="2" width="18.7109375" style="6" customWidth="1"/>
    <col min="3" max="3" width="17.85546875" style="6" customWidth="1"/>
    <col min="4" max="4" width="21" style="6" customWidth="1"/>
    <col min="5" max="5" width="17.85546875" style="6" customWidth="1"/>
    <col min="6" max="6" width="25.7109375" style="6" customWidth="1"/>
    <col min="7" max="7" width="12.85546875" style="6" customWidth="1"/>
    <col min="8" max="8" width="16.7109375" style="6" customWidth="1"/>
    <col min="9" max="16384" width="9.140625" style="6"/>
  </cols>
  <sheetData>
    <row r="1" spans="1:8" x14ac:dyDescent="0.25">
      <c r="E1" s="7"/>
      <c r="H1" s="7">
        <v>45749.999988425923</v>
      </c>
    </row>
    <row r="2" spans="1:8" x14ac:dyDescent="0.25">
      <c r="A2" s="8" t="s">
        <v>0</v>
      </c>
      <c r="B2" s="8"/>
      <c r="C2" s="9"/>
      <c r="D2" s="9"/>
      <c r="E2" s="10" t="s">
        <v>89</v>
      </c>
      <c r="F2" s="9"/>
      <c r="G2" s="9"/>
      <c r="H2" s="9"/>
    </row>
    <row r="3" spans="1:8" x14ac:dyDescent="0.25">
      <c r="A3" s="6" t="s">
        <v>7</v>
      </c>
      <c r="B3" s="6" t="s">
        <v>95</v>
      </c>
      <c r="C3" s="6" t="s">
        <v>8</v>
      </c>
      <c r="D3" s="6" t="s">
        <v>90</v>
      </c>
      <c r="E3" s="6" t="s">
        <v>91</v>
      </c>
      <c r="F3" s="6" t="s">
        <v>92</v>
      </c>
      <c r="G3" s="6" t="s">
        <v>94</v>
      </c>
      <c r="H3" s="6" t="s">
        <v>93</v>
      </c>
    </row>
    <row r="4" spans="1:8" ht="27" customHeight="1" x14ac:dyDescent="0.25">
      <c r="A4" s="6" t="s">
        <v>53</v>
      </c>
      <c r="C4" s="6" t="s">
        <v>20</v>
      </c>
      <c r="D4" s="11">
        <v>750</v>
      </c>
      <c r="E4" s="11">
        <v>0</v>
      </c>
      <c r="F4" s="12">
        <v>26280.06</v>
      </c>
      <c r="G4" s="11"/>
      <c r="H4" s="11">
        <v>26355.06</v>
      </c>
    </row>
    <row r="5" spans="1:8" ht="27" customHeight="1" x14ac:dyDescent="0.25">
      <c r="D5" s="11"/>
      <c r="E5" s="11"/>
      <c r="F5" s="12"/>
      <c r="G5" s="11"/>
      <c r="H5" s="11"/>
    </row>
    <row r="6" spans="1:8" ht="27" customHeight="1" x14ac:dyDescent="0.25">
      <c r="A6" s="6" t="s">
        <v>85</v>
      </c>
      <c r="C6" s="6" t="s">
        <v>30</v>
      </c>
      <c r="D6" s="11">
        <v>1350</v>
      </c>
      <c r="E6" s="11">
        <v>0</v>
      </c>
      <c r="F6" s="12">
        <v>51299.93</v>
      </c>
      <c r="G6" s="11"/>
      <c r="H6" s="11">
        <v>51374.93</v>
      </c>
    </row>
    <row r="7" spans="1:8" ht="27" customHeight="1" x14ac:dyDescent="0.25">
      <c r="D7" s="11"/>
      <c r="E7" s="11"/>
      <c r="F7" s="12"/>
      <c r="G7" s="11"/>
      <c r="H7" s="11"/>
    </row>
    <row r="8" spans="1:8" ht="27" customHeight="1" x14ac:dyDescent="0.25">
      <c r="A8" s="6" t="s">
        <v>49</v>
      </c>
      <c r="C8" s="6" t="s">
        <v>20</v>
      </c>
      <c r="D8" s="11">
        <v>750</v>
      </c>
      <c r="E8" s="11">
        <v>0</v>
      </c>
      <c r="F8" s="12">
        <v>25438.91</v>
      </c>
      <c r="G8" s="11"/>
      <c r="H8" s="11">
        <v>25513.91</v>
      </c>
    </row>
    <row r="9" spans="1:8" ht="27" customHeight="1" x14ac:dyDescent="0.25">
      <c r="D9" s="11"/>
      <c r="E9" s="11"/>
      <c r="F9" s="12"/>
      <c r="G9" s="11"/>
      <c r="H9" s="11"/>
    </row>
    <row r="10" spans="1:8" ht="27" customHeight="1" x14ac:dyDescent="0.25">
      <c r="A10" s="6" t="s">
        <v>37</v>
      </c>
      <c r="C10" s="6" t="s">
        <v>30</v>
      </c>
      <c r="D10" s="11">
        <v>1050</v>
      </c>
      <c r="E10" s="11">
        <v>0</v>
      </c>
      <c r="F10" s="12">
        <v>39965.06</v>
      </c>
      <c r="G10" s="11"/>
      <c r="H10" s="11">
        <v>40040.06</v>
      </c>
    </row>
    <row r="11" spans="1:8" ht="27" customHeight="1" x14ac:dyDescent="0.25">
      <c r="D11" s="11"/>
      <c r="E11" s="11"/>
      <c r="F11" s="12"/>
      <c r="G11" s="11"/>
      <c r="H11" s="11"/>
    </row>
    <row r="12" spans="1:8" ht="27" customHeight="1" x14ac:dyDescent="0.25">
      <c r="A12" s="6" t="s">
        <v>41</v>
      </c>
      <c r="C12" s="6" t="s">
        <v>30</v>
      </c>
      <c r="D12" s="11">
        <v>500</v>
      </c>
      <c r="E12" s="11">
        <v>0</v>
      </c>
      <c r="F12" s="12">
        <v>14942.75</v>
      </c>
      <c r="G12" s="11"/>
      <c r="H12" s="11">
        <v>15017.75</v>
      </c>
    </row>
    <row r="13" spans="1:8" ht="27" customHeight="1" x14ac:dyDescent="0.25">
      <c r="D13" s="11"/>
      <c r="E13" s="11"/>
      <c r="F13" s="12"/>
      <c r="G13" s="11"/>
      <c r="H13" s="11"/>
    </row>
    <row r="14" spans="1:8" ht="27" customHeight="1" x14ac:dyDescent="0.25">
      <c r="A14" s="6" t="s">
        <v>45</v>
      </c>
      <c r="C14" s="6" t="s">
        <v>20</v>
      </c>
      <c r="D14" s="11">
        <v>750</v>
      </c>
      <c r="E14" s="11">
        <v>0</v>
      </c>
      <c r="F14" s="12">
        <v>28963.56</v>
      </c>
      <c r="G14" s="11"/>
      <c r="H14" s="11">
        <v>29038.560000000001</v>
      </c>
    </row>
    <row r="15" spans="1:8" ht="27" customHeight="1" x14ac:dyDescent="0.25">
      <c r="D15" s="11"/>
      <c r="E15" s="11"/>
      <c r="F15" s="11"/>
      <c r="G15" s="11"/>
      <c r="H15" s="11"/>
    </row>
    <row r="16" spans="1:8" ht="27" customHeight="1" x14ac:dyDescent="0.25">
      <c r="A16" s="6" t="s">
        <v>97</v>
      </c>
      <c r="C16" s="6" t="s">
        <v>20</v>
      </c>
      <c r="D16" s="11">
        <v>850</v>
      </c>
      <c r="E16" s="11">
        <v>0</v>
      </c>
      <c r="F16" s="11">
        <v>30073.77</v>
      </c>
      <c r="G16" s="11"/>
      <c r="H16" s="11">
        <v>30148.77</v>
      </c>
    </row>
    <row r="17" spans="1:8" ht="27" customHeight="1" x14ac:dyDescent="0.25">
      <c r="A17" s="6" t="s">
        <v>97</v>
      </c>
      <c r="C17" s="6" t="s">
        <v>20</v>
      </c>
      <c r="D17" s="11">
        <v>650</v>
      </c>
      <c r="E17" s="11">
        <v>0</v>
      </c>
      <c r="F17" s="11">
        <v>21211</v>
      </c>
      <c r="G17" s="11"/>
      <c r="H17" s="11">
        <v>21286</v>
      </c>
    </row>
    <row r="18" spans="1:8" ht="27" customHeight="1" x14ac:dyDescent="0.25">
      <c r="A18" s="6" t="s">
        <v>97</v>
      </c>
      <c r="C18" s="6" t="s">
        <v>20</v>
      </c>
      <c r="D18" s="11">
        <v>650</v>
      </c>
      <c r="E18" s="11">
        <v>0</v>
      </c>
      <c r="F18" s="11">
        <v>22120.75</v>
      </c>
      <c r="G18" s="11"/>
      <c r="H18" s="11">
        <v>22195.75</v>
      </c>
    </row>
    <row r="19" spans="1:8" ht="27" customHeight="1" x14ac:dyDescent="0.25">
      <c r="A19" s="6" t="s">
        <v>97</v>
      </c>
      <c r="C19" s="6" t="s">
        <v>30</v>
      </c>
      <c r="D19" s="11">
        <v>950</v>
      </c>
      <c r="E19" s="11">
        <v>0</v>
      </c>
      <c r="F19" s="11">
        <v>35976.47</v>
      </c>
      <c r="G19" s="12">
        <f>SUM(F16:F19)</f>
        <v>109381.99</v>
      </c>
      <c r="H19" s="11">
        <v>36051.47</v>
      </c>
    </row>
    <row r="20" spans="1:8" ht="27" customHeight="1" x14ac:dyDescent="0.25">
      <c r="D20" s="11"/>
      <c r="E20" s="11"/>
      <c r="F20" s="11"/>
      <c r="G20" s="11"/>
      <c r="H20" s="11"/>
    </row>
    <row r="21" spans="1:8" ht="27" customHeight="1" x14ac:dyDescent="0.25">
      <c r="A21" s="6" t="s">
        <v>29</v>
      </c>
      <c r="B21" s="13" t="s">
        <v>98</v>
      </c>
      <c r="C21" s="6" t="s">
        <v>30</v>
      </c>
      <c r="D21" s="11">
        <v>950</v>
      </c>
      <c r="E21" s="11">
        <v>0</v>
      </c>
      <c r="F21" s="12">
        <v>37490.39</v>
      </c>
      <c r="G21" s="11"/>
      <c r="H21" s="11">
        <v>37565.39</v>
      </c>
    </row>
    <row r="22" spans="1:8" ht="27" customHeight="1" x14ac:dyDescent="0.25">
      <c r="D22" s="11"/>
      <c r="E22" s="11"/>
      <c r="F22" s="12"/>
      <c r="G22" s="11"/>
      <c r="H22" s="11"/>
    </row>
    <row r="23" spans="1:8" ht="27" customHeight="1" x14ac:dyDescent="0.25">
      <c r="A23" s="6" t="s">
        <v>19</v>
      </c>
      <c r="C23" s="6" t="s">
        <v>20</v>
      </c>
      <c r="D23" s="11">
        <v>1150</v>
      </c>
      <c r="E23" s="11">
        <v>0</v>
      </c>
      <c r="F23" s="12">
        <v>46710.66</v>
      </c>
      <c r="G23" s="11"/>
      <c r="H23" s="11">
        <v>46785.66</v>
      </c>
    </row>
    <row r="24" spans="1:8" ht="27" customHeight="1" x14ac:dyDescent="0.25">
      <c r="D24" s="11"/>
      <c r="E24" s="11"/>
      <c r="F24" s="12"/>
      <c r="G24" s="11"/>
      <c r="H24" s="11"/>
    </row>
    <row r="25" spans="1:8" ht="27" customHeight="1" x14ac:dyDescent="0.25">
      <c r="A25" s="6" t="s">
        <v>96</v>
      </c>
      <c r="C25" s="6" t="s">
        <v>30</v>
      </c>
      <c r="D25" s="11">
        <v>750</v>
      </c>
      <c r="E25" s="11">
        <v>0</v>
      </c>
      <c r="F25" s="12">
        <v>28898.81</v>
      </c>
      <c r="G25" s="11"/>
      <c r="H25" s="11">
        <v>28973.81</v>
      </c>
    </row>
    <row r="26" spans="1:8" ht="27" customHeight="1" x14ac:dyDescent="0.25">
      <c r="D26" s="11"/>
      <c r="E26" s="11"/>
      <c r="F26" s="11"/>
      <c r="G26" s="11"/>
      <c r="H26" s="11"/>
    </row>
    <row r="27" spans="1:8" ht="27" customHeight="1" x14ac:dyDescent="0.25">
      <c r="A27" s="6" t="s">
        <v>59</v>
      </c>
      <c r="C27" s="6" t="s">
        <v>20</v>
      </c>
      <c r="D27" s="11">
        <v>750</v>
      </c>
      <c r="E27" s="11">
        <v>0</v>
      </c>
      <c r="F27" s="11">
        <v>28529.88</v>
      </c>
      <c r="G27" s="12"/>
      <c r="H27" s="11">
        <v>28604.880000000001</v>
      </c>
    </row>
    <row r="28" spans="1:8" ht="27" customHeight="1" x14ac:dyDescent="0.25">
      <c r="A28" s="6" t="s">
        <v>59</v>
      </c>
      <c r="C28" s="6" t="s">
        <v>30</v>
      </c>
      <c r="D28" s="11">
        <v>1350</v>
      </c>
      <c r="E28" s="11">
        <v>0</v>
      </c>
      <c r="F28" s="11">
        <v>53915.839999999997</v>
      </c>
      <c r="G28" s="12">
        <f>SUM(F27:F28)</f>
        <v>82445.72</v>
      </c>
      <c r="H28" s="11">
        <v>53990.84</v>
      </c>
    </row>
    <row r="29" spans="1:8" ht="27" customHeight="1" x14ac:dyDescent="0.25">
      <c r="D29" s="11"/>
      <c r="E29" s="11"/>
      <c r="F29" s="11"/>
      <c r="G29" s="12"/>
      <c r="H29" s="11"/>
    </row>
    <row r="30" spans="1:8" ht="27" customHeight="1" x14ac:dyDescent="0.25">
      <c r="A30" s="6" t="s">
        <v>66</v>
      </c>
      <c r="C30" s="6" t="s">
        <v>20</v>
      </c>
      <c r="D30" s="11">
        <v>650</v>
      </c>
      <c r="E30" s="11">
        <v>0</v>
      </c>
      <c r="F30" s="11">
        <v>21566.33</v>
      </c>
      <c r="G30" s="12"/>
      <c r="H30" s="11">
        <v>21641.33</v>
      </c>
    </row>
    <row r="31" spans="1:8" ht="27" customHeight="1" x14ac:dyDescent="0.25">
      <c r="A31" s="6" t="s">
        <v>66</v>
      </c>
      <c r="C31" s="6" t="s">
        <v>30</v>
      </c>
      <c r="D31" s="11">
        <v>650</v>
      </c>
      <c r="E31" s="11">
        <v>0</v>
      </c>
      <c r="F31" s="11">
        <v>20242.86</v>
      </c>
      <c r="G31" s="12">
        <f>SUM(F30:F31)</f>
        <v>41809.19</v>
      </c>
      <c r="H31" s="11">
        <v>20317.86</v>
      </c>
    </row>
    <row r="32" spans="1:8" x14ac:dyDescent="0.25">
      <c r="D32" s="11"/>
      <c r="E32" s="11"/>
      <c r="F32" s="11"/>
      <c r="G32" s="11"/>
      <c r="H32" s="11"/>
    </row>
    <row r="33" spans="1:8" x14ac:dyDescent="0.25">
      <c r="A33" s="14"/>
      <c r="B33" s="14"/>
      <c r="C33" s="14"/>
      <c r="D33" s="15">
        <f>SUM(D4:D31)</f>
        <v>14500</v>
      </c>
      <c r="E33" s="15">
        <f>SUM(E4:E31)</f>
        <v>0</v>
      </c>
      <c r="F33" s="15">
        <f>SUM(F4:F31)</f>
        <v>533627.03000000014</v>
      </c>
      <c r="G33" s="15"/>
      <c r="H33" s="15">
        <f>SUM(H4:H31)</f>
        <v>534902.03000000014</v>
      </c>
    </row>
  </sheetData>
  <mergeCells count="2">
    <mergeCell ref="A2:D2"/>
    <mergeCell ref="E2:H2"/>
  </mergeCells>
  <pageMargins left="0.7" right="0" top="0.75" bottom="0.75" header="0.3" footer="0.3"/>
  <pageSetup scale="74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D64A-EC0A-4142-987B-FE7143CF159A}">
  <sheetPr>
    <pageSetUpPr fitToPage="1"/>
  </sheetPr>
  <dimension ref="A1:F18"/>
  <sheetViews>
    <sheetView workbookViewId="0">
      <selection activeCell="K5" sqref="K5"/>
    </sheetView>
  </sheetViews>
  <sheetFormatPr defaultRowHeight="15" x14ac:dyDescent="0.25"/>
  <cols>
    <col min="1" max="1" width="15" customWidth="1"/>
    <col min="2" max="2" width="11.85546875" customWidth="1"/>
    <col min="3" max="3" width="15.140625" customWidth="1"/>
    <col min="4" max="4" width="11.7109375" customWidth="1"/>
    <col min="5" max="5" width="13.85546875" customWidth="1"/>
    <col min="6" max="6" width="16.140625" customWidth="1"/>
  </cols>
  <sheetData>
    <row r="1" spans="1:6" ht="24.95" customHeight="1" x14ac:dyDescent="0.25">
      <c r="A1" t="s">
        <v>120</v>
      </c>
      <c r="D1" s="2"/>
      <c r="F1" s="2">
        <v>45749.999988425923</v>
      </c>
    </row>
    <row r="2" spans="1:6" ht="24.95" customHeight="1" x14ac:dyDescent="0.25">
      <c r="A2" s="3" t="s">
        <v>0</v>
      </c>
      <c r="B2" s="4"/>
      <c r="C2" s="4"/>
      <c r="D2" s="5" t="s">
        <v>99</v>
      </c>
      <c r="E2" s="4"/>
      <c r="F2" s="4"/>
    </row>
    <row r="3" spans="1:6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4.95" customHeight="1" x14ac:dyDescent="0.25">
      <c r="A4" t="s">
        <v>56</v>
      </c>
      <c r="B4" t="s">
        <v>57</v>
      </c>
      <c r="C4" t="s">
        <v>58</v>
      </c>
      <c r="E4" t="s">
        <v>59</v>
      </c>
    </row>
    <row r="5" spans="1:6" ht="24.95" customHeight="1" x14ac:dyDescent="0.25">
      <c r="A5" s="1"/>
      <c r="B5" s="1"/>
      <c r="C5" s="1" t="s">
        <v>100</v>
      </c>
      <c r="D5" s="1"/>
      <c r="E5" s="1"/>
      <c r="F5" s="1"/>
    </row>
    <row r="10" spans="1:6" x14ac:dyDescent="0.25">
      <c r="A10" t="s">
        <v>117</v>
      </c>
      <c r="B10" s="18"/>
      <c r="C10" s="18"/>
      <c r="D10" s="18"/>
    </row>
    <row r="14" spans="1:6" x14ac:dyDescent="0.25">
      <c r="A14" t="s">
        <v>118</v>
      </c>
      <c r="B14" s="18"/>
      <c r="C14" s="18"/>
      <c r="D14" s="18"/>
    </row>
    <row r="18" spans="1:3" x14ac:dyDescent="0.25">
      <c r="A18" t="s">
        <v>119</v>
      </c>
      <c r="B18" s="18"/>
      <c r="C18" s="18"/>
    </row>
  </sheetData>
  <mergeCells count="2">
    <mergeCell ref="A2:C2"/>
    <mergeCell ref="D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2025-04-02T19:25:24Z</cp:lastPrinted>
  <dcterms:created xsi:type="dcterms:W3CDTF">2025-04-02T18:57:02Z</dcterms:created>
  <dcterms:modified xsi:type="dcterms:W3CDTF">2025-04-02T19:26:00Z</dcterms:modified>
</cp:coreProperties>
</file>