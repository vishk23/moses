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1B0A5E87-1182-49A9-838A-8F34E0EA9F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2" l="1"/>
  <c r="F6" i="1"/>
  <c r="F15" i="1"/>
  <c r="H22" i="1"/>
  <c r="E22" i="1"/>
  <c r="D22" i="1"/>
  <c r="C22" i="1"/>
</calcChain>
</file>

<file path=xl/sharedStrings.xml><?xml version="1.0" encoding="utf-8"?>
<sst xmlns="http://schemas.openxmlformats.org/spreadsheetml/2006/main" count="155" uniqueCount="86">
  <si>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</si>
  <si>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</si>
  <si>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</si>
  <si>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</si>
  <si>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</si>
  <si>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</si>
  <si>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</si>
  <si>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</si>
  <si>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</si>
  <si>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</si>
  <si>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Bourne Enterprises Inc</t>
  </si>
  <si>
    <t>Rachel Gorham</t>
  </si>
  <si>
    <t>Neli Oliveira</t>
  </si>
  <si>
    <t>Mathieu Ford Sales, Inc</t>
  </si>
  <si>
    <t>Planet Subaru</t>
  </si>
  <si>
    <t>RAH FALL RIVER VW, LLC</t>
  </si>
  <si>
    <t>T F Murphy Enterprises Inc</t>
  </si>
  <si>
    <t>Tasca Ford</t>
  </si>
  <si>
    <t>Viti Mercedes</t>
  </si>
  <si>
    <t>Wareham Ford</t>
  </si>
  <si>
    <t>Column1</t>
  </si>
  <si>
    <t>Column2</t>
  </si>
  <si>
    <t># 11</t>
  </si>
  <si>
    <t>BARREIRO</t>
  </si>
  <si>
    <t>REINOSORAINEIROJ@GMAIL.COM</t>
  </si>
  <si>
    <t>REINOSO, RAINEIRO</t>
  </si>
  <si>
    <t>E Contract</t>
  </si>
  <si>
    <t>DealerTrack</t>
  </si>
  <si>
    <t>151142719e</t>
  </si>
  <si>
    <t>GIBBS</t>
  </si>
  <si>
    <t>LEWIS, ARTHUR</t>
  </si>
  <si>
    <t>151142701e</t>
  </si>
  <si>
    <t>HOBAN</t>
  </si>
  <si>
    <t>SUSANCLA@MSN.COM</t>
  </si>
  <si>
    <t>OLIVEIRA, SUSAN</t>
  </si>
  <si>
    <t>Paper</t>
  </si>
  <si>
    <t>151142561</t>
  </si>
  <si>
    <t>GOYETTE</t>
  </si>
  <si>
    <t>JHUTCHENS@RAWSEAFOODS.COM</t>
  </si>
  <si>
    <t>HUTCHENS, JASON</t>
  </si>
  <si>
    <t>151142537e</t>
  </si>
  <si>
    <t>GOODWIN</t>
  </si>
  <si>
    <t>ESTAKE24@GMAIL.COM</t>
  </si>
  <si>
    <t>STAKE, EDWARD</t>
  </si>
  <si>
    <t>Route One</t>
  </si>
  <si>
    <t>151142529e</t>
  </si>
  <si>
    <t>TARTAGLIO</t>
  </si>
  <si>
    <t>ashleykozakiewicz@yahoo.com</t>
  </si>
  <si>
    <t>MOCHEN, ASHLEY</t>
  </si>
  <si>
    <t>151142511e</t>
  </si>
  <si>
    <t>SALO</t>
  </si>
  <si>
    <t>SULLIVAN, KRISTINA</t>
  </si>
  <si>
    <t>151142470e</t>
  </si>
  <si>
    <t>ROSE</t>
  </si>
  <si>
    <t>PROACE34567@GMAIL.COM</t>
  </si>
  <si>
    <t>ROSE, CAMERON</t>
  </si>
  <si>
    <t>151142462e</t>
  </si>
  <si>
    <t>TRABUCCO</t>
  </si>
  <si>
    <t>Kathy.dunny@gmail.com</t>
  </si>
  <si>
    <t>DUNNINGTON, KATHY</t>
  </si>
  <si>
    <t>151142454e</t>
  </si>
  <si>
    <t>RAMBEAU</t>
  </si>
  <si>
    <t>THOMASFISHBACK4@GMAIL.COM</t>
  </si>
  <si>
    <t>FISHBACK, THOMAS</t>
  </si>
  <si>
    <t>151142412e</t>
  </si>
  <si>
    <t>BENEVIDES</t>
  </si>
  <si>
    <t>emily.marshall5@icloud.com</t>
  </si>
  <si>
    <t>Marshall, Emily</t>
  </si>
  <si>
    <t>151142371e</t>
  </si>
  <si>
    <t>Business Name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</si>
  <si>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</si>
  <si>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</si>
  <si>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</si>
  <si>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</si>
  <si>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</si>
  <si>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</si>
  <si>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</si>
  <si>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</si>
  <si>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</si>
  <si>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</si>
  <si>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</si>
  <si>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</t>
  </si>
  <si>
    <t>Received By_____________________________________________________________________________</t>
  </si>
  <si>
    <t>Delivered By____________________________________________________________________________</t>
  </si>
  <si>
    <t># 1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</si>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</sst>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6B10967E-B0D3-46BA-AC03-72DF6A4AC2F9}"/>
  </cellStyles>
  <dxfs count="26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22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BA340FBC-4D1F-453A-9393-A253981A025F}" name="Column1" dataDxfId="24"/>
    <tableColumn id="8" xr3:uid="{C1D09B94-DEB2-4FC1-AF5C-EF30215B7E35}" name="Column2" dataDxfId="25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E1C37E-972E-4CD2-9E39-9EE69423355E}" name="Table_13" displayName="Table_13" ref="A3:M15" headerRowDxfId="10" dataDxfId="8" totalsRowDxfId="9">
  <tableColumns count="13">
    <tableColumn id="1" xr3:uid="{00000000-0010-0000-0000-000001000000}" name="Account Number" dataDxfId="23"/>
    <tableColumn id="2" xr3:uid="{00000000-0010-0000-0000-000002000000}" name="Portal" dataDxfId="22"/>
    <tableColumn id="3" xr3:uid="{00000000-0010-0000-0000-000003000000}" name="Contract Type" dataDxfId="21"/>
    <tableColumn id="4" xr3:uid="{00000000-0010-0000-0000-000004000000}" name="Applicant Name" dataDxfId="20"/>
    <tableColumn id="5" xr3:uid="{00000000-0010-0000-0000-000005000000}" name="Co-Applicant Name" dataDxfId="19"/>
    <tableColumn id="6" xr3:uid="{00000000-0010-0000-0000-000006000000}" name="Dealer Name" dataDxfId="18"/>
    <tableColumn id="7" xr3:uid="{00000000-0010-0000-0000-000007000000}" name="Funded by" dataDxfId="17"/>
    <tableColumn id="8" xr3:uid="{00000000-0010-0000-0000-000008000000}" name="Amount Financed" dataDxfId="16"/>
    <tableColumn id="9" xr3:uid="{00000000-0010-0000-0000-000009000000}" name="Applicant Email" dataDxfId="15"/>
    <tableColumn id="10" xr3:uid="{00000000-0010-0000-0000-00000A000000}" name="Co-Applicant Email" dataDxfId="14"/>
    <tableColumn id="11" xr3:uid="{00000000-0010-0000-0000-00000B000000}" name="App MMN" dataDxfId="13"/>
    <tableColumn id="12" xr3:uid="{00000000-0010-0000-0000-00000C000000}" name="Co-App MMN" dataDxfId="12"/>
    <tableColumn id="13" xr3:uid="{00000000-0010-0000-0000-00000D000000}" name="Business Name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0EF6A8-B30B-423B-A5C7-13EEC6B02413}" name="Table_14" displayName="Table_14" ref="A3:E5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2"/>
  <sheetViews>
    <sheetView tabSelected="1" workbookViewId="0">
      <pane ySplit="3" topLeftCell="A4" activePane="bottomLeft" state="frozen"/>
      <selection pane="bottomLeft" activeCell="N13" sqref="N13"/>
    </sheetView>
  </sheetViews>
  <sheetFormatPr defaultRowHeight="15" x14ac:dyDescent="0.25"/>
  <cols>
    <col min="1" max="1" width="25.5703125" bestFit="1" customWidth="1"/>
    <col min="2" max="2" width="15.140625" bestFit="1" customWidth="1"/>
    <col min="3" max="3" width="11.140625" bestFit="1" customWidth="1"/>
    <col min="4" max="4" width="16.710937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45684</v>
      </c>
      <c r="E1" t="s">
        <v>2</v>
      </c>
      <c r="H1" s="4">
        <v>45684.999988425923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20</v>
      </c>
      <c r="G3" t="s">
        <v>21</v>
      </c>
      <c r="H3" t="s">
        <v>9</v>
      </c>
    </row>
    <row r="4" spans="1:8" x14ac:dyDescent="0.25">
      <c r="A4" t="s">
        <v>10</v>
      </c>
      <c r="B4" t="s">
        <v>11</v>
      </c>
      <c r="C4" s="2">
        <v>650</v>
      </c>
      <c r="D4" s="2">
        <v>0</v>
      </c>
      <c r="E4" s="2">
        <v>38613.1</v>
      </c>
      <c r="F4" s="2"/>
      <c r="G4" s="2"/>
      <c r="H4" s="2">
        <v>38688.1</v>
      </c>
    </row>
    <row r="5" spans="1:8" x14ac:dyDescent="0.25">
      <c r="A5" t="s">
        <v>10</v>
      </c>
      <c r="B5" t="s">
        <v>12</v>
      </c>
      <c r="C5" s="2">
        <v>600</v>
      </c>
      <c r="D5" s="2">
        <v>0</v>
      </c>
      <c r="E5" s="2">
        <v>33030.559999999998</v>
      </c>
      <c r="F5" s="2"/>
      <c r="G5" s="2"/>
      <c r="H5" s="2">
        <v>33105.56</v>
      </c>
    </row>
    <row r="6" spans="1:8" x14ac:dyDescent="0.25">
      <c r="A6" t="s">
        <v>10</v>
      </c>
      <c r="B6" t="s">
        <v>12</v>
      </c>
      <c r="C6" s="2">
        <v>500</v>
      </c>
      <c r="D6" s="2">
        <v>0</v>
      </c>
      <c r="E6" s="2">
        <v>27213.63</v>
      </c>
      <c r="F6" s="2">
        <f>SUM(E4:E6)</f>
        <v>98857.290000000008</v>
      </c>
      <c r="G6" s="2"/>
      <c r="H6" s="2">
        <v>27288.63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13</v>
      </c>
      <c r="B8" t="s">
        <v>11</v>
      </c>
      <c r="C8" s="2">
        <v>600</v>
      </c>
      <c r="D8" s="2">
        <v>0</v>
      </c>
      <c r="E8" s="2">
        <v>30618.38</v>
      </c>
      <c r="F8" s="2"/>
      <c r="G8" s="2"/>
      <c r="H8" s="2">
        <v>30693.38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14</v>
      </c>
      <c r="B10" t="s">
        <v>12</v>
      </c>
      <c r="C10" s="2">
        <v>350</v>
      </c>
      <c r="D10" s="2">
        <v>0</v>
      </c>
      <c r="E10" s="2">
        <v>16933</v>
      </c>
      <c r="F10" s="2"/>
      <c r="G10" s="2"/>
      <c r="H10" s="2">
        <v>17008</v>
      </c>
    </row>
    <row r="11" spans="1:8" x14ac:dyDescent="0.25">
      <c r="C11" s="2"/>
      <c r="D11" s="2"/>
      <c r="E11" s="2"/>
      <c r="F11" s="2"/>
      <c r="G11" s="2"/>
      <c r="H11" s="2"/>
    </row>
    <row r="12" spans="1:8" x14ac:dyDescent="0.25">
      <c r="A12" t="s">
        <v>15</v>
      </c>
      <c r="B12" t="s">
        <v>11</v>
      </c>
      <c r="C12" s="2">
        <v>500</v>
      </c>
      <c r="D12" s="2">
        <v>0</v>
      </c>
      <c r="E12" s="2">
        <v>25280.19</v>
      </c>
      <c r="F12" s="2"/>
      <c r="G12" s="2"/>
      <c r="H12" s="2">
        <v>25355.19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16</v>
      </c>
      <c r="B14" t="s">
        <v>12</v>
      </c>
      <c r="C14" s="2">
        <v>500</v>
      </c>
      <c r="D14" s="2">
        <v>0</v>
      </c>
      <c r="E14" s="2">
        <v>26322.880000000001</v>
      </c>
      <c r="F14" s="2"/>
      <c r="G14" s="2"/>
      <c r="H14" s="2">
        <v>26397.88</v>
      </c>
    </row>
    <row r="15" spans="1:8" x14ac:dyDescent="0.25">
      <c r="A15" t="s">
        <v>16</v>
      </c>
      <c r="B15" t="s">
        <v>12</v>
      </c>
      <c r="C15" s="2">
        <v>700</v>
      </c>
      <c r="D15" s="2">
        <v>0</v>
      </c>
      <c r="E15" s="2">
        <v>41659.75</v>
      </c>
      <c r="F15" s="2">
        <f>SUM(E14:E15)</f>
        <v>67982.63</v>
      </c>
      <c r="G15" s="2"/>
      <c r="H15" s="2">
        <v>41734.75</v>
      </c>
    </row>
    <row r="16" spans="1:8" x14ac:dyDescent="0.25">
      <c r="C16" s="2"/>
      <c r="D16" s="2"/>
      <c r="E16" s="2"/>
      <c r="F16" s="2"/>
      <c r="G16" s="2"/>
      <c r="H16" s="2"/>
    </row>
    <row r="17" spans="1:8" x14ac:dyDescent="0.25">
      <c r="A17" t="s">
        <v>17</v>
      </c>
      <c r="B17" t="s">
        <v>12</v>
      </c>
      <c r="C17" s="2">
        <v>500</v>
      </c>
      <c r="D17" s="2">
        <v>0</v>
      </c>
      <c r="E17" s="2">
        <v>26938.33</v>
      </c>
      <c r="F17" s="2"/>
      <c r="G17" s="2"/>
      <c r="H17" s="2">
        <v>27013.33</v>
      </c>
    </row>
    <row r="18" spans="1:8" x14ac:dyDescent="0.25">
      <c r="C18" s="2"/>
      <c r="D18" s="2"/>
      <c r="E18" s="2"/>
      <c r="F18" s="2"/>
      <c r="G18" s="2"/>
      <c r="H18" s="2"/>
    </row>
    <row r="19" spans="1:8" x14ac:dyDescent="0.25">
      <c r="A19" t="s">
        <v>18</v>
      </c>
      <c r="B19" t="s">
        <v>12</v>
      </c>
      <c r="C19" s="2">
        <v>1200</v>
      </c>
      <c r="D19" s="2">
        <v>0</v>
      </c>
      <c r="E19" s="2">
        <v>98925</v>
      </c>
      <c r="F19" s="2"/>
      <c r="G19" s="2"/>
      <c r="H19" s="2">
        <v>99000</v>
      </c>
    </row>
    <row r="20" spans="1:8" x14ac:dyDescent="0.25">
      <c r="C20" s="2"/>
      <c r="D20" s="2"/>
      <c r="E20" s="2"/>
      <c r="F20" s="2"/>
      <c r="G20" s="2"/>
      <c r="H20" s="2"/>
    </row>
    <row r="21" spans="1:8" x14ac:dyDescent="0.25">
      <c r="A21" t="s">
        <v>19</v>
      </c>
      <c r="B21" t="s">
        <v>11</v>
      </c>
      <c r="C21" s="2">
        <v>100</v>
      </c>
      <c r="D21" s="2">
        <v>0</v>
      </c>
      <c r="E21" s="2">
        <v>4925</v>
      </c>
      <c r="F21" s="2"/>
      <c r="G21" s="2"/>
      <c r="H21" s="2">
        <v>5000</v>
      </c>
    </row>
    <row r="22" spans="1:8" x14ac:dyDescent="0.25">
      <c r="A22" s="1"/>
      <c r="B22" s="1"/>
      <c r="C22" s="3">
        <f>SUM(C4:C21)</f>
        <v>6200</v>
      </c>
      <c r="D22" s="3">
        <f>SUM(D4:D21)</f>
        <v>0</v>
      </c>
      <c r="E22" s="3">
        <f>SUM(E4:E21)</f>
        <v>370459.82</v>
      </c>
      <c r="F22" s="3"/>
      <c r="G22" s="3"/>
      <c r="H22" s="3">
        <f>SUM(H4:H21)</f>
        <v>371284.82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1F72A-1E64-415E-B166-1CFD6CEE535C}">
  <sheetPr>
    <pageSetUpPr fitToPage="1"/>
  </sheetPr>
  <dimension ref="A1:O18"/>
  <sheetViews>
    <sheetView workbookViewId="0">
      <pane ySplit="3" topLeftCell="A7" activePane="bottomLeft" state="frozen"/>
      <selection pane="bottomLeft" activeCell="A4" sqref="A4:A14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1" style="8" bestFit="1" customWidth="1"/>
    <col min="5" max="5" width="18.7109375" style="8" bestFit="1" customWidth="1"/>
    <col min="6" max="6" width="25.5703125" style="8" bestFit="1" customWidth="1"/>
    <col min="7" max="7" width="15.140625" style="8" bestFit="1" customWidth="1"/>
    <col min="8" max="8" width="17.140625" style="8" bestFit="1" customWidth="1"/>
    <col min="9" max="9" width="33" style="8" bestFit="1" customWidth="1"/>
    <col min="10" max="10" width="18.42578125" style="8" bestFit="1" customWidth="1"/>
    <col min="11" max="11" width="16.7109375" style="8" bestFit="1" customWidth="1"/>
    <col min="12" max="12" width="12.85546875" style="8" bestFit="1" customWidth="1"/>
    <col min="13" max="13" width="16.7109375" style="8" bestFit="1" customWidth="1"/>
    <col min="14" max="16384" width="9.140625" style="8"/>
  </cols>
  <sheetData>
    <row r="1" spans="1:15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45684</v>
      </c>
      <c r="L1" s="9" t="s">
        <v>2</v>
      </c>
      <c r="M1" s="10">
        <v>45684.999988425923</v>
      </c>
      <c r="N1" s="9"/>
      <c r="O1" s="9"/>
    </row>
    <row r="2" spans="1:15" ht="39.950000000000003" customHeight="1" x14ac:dyDescent="0.25">
      <c r="A2" s="11" t="s">
        <v>0</v>
      </c>
      <c r="B2" s="12"/>
      <c r="C2" s="12"/>
      <c r="D2" s="12"/>
      <c r="E2" s="12"/>
      <c r="F2" s="12"/>
      <c r="G2" s="13" t="s">
        <v>80</v>
      </c>
      <c r="H2" s="12"/>
      <c r="I2" s="12"/>
      <c r="J2" s="12"/>
      <c r="K2" s="12"/>
      <c r="L2" s="12"/>
      <c r="M2" s="12"/>
      <c r="N2" s="9"/>
      <c r="O2" s="9"/>
    </row>
    <row r="3" spans="1:15" ht="39.950000000000003" customHeight="1" x14ac:dyDescent="0.25">
      <c r="A3" s="9" t="s">
        <v>79</v>
      </c>
      <c r="B3" s="9" t="s">
        <v>78</v>
      </c>
      <c r="C3" s="9" t="s">
        <v>77</v>
      </c>
      <c r="D3" s="9" t="s">
        <v>76</v>
      </c>
      <c r="E3" s="9" t="s">
        <v>75</v>
      </c>
      <c r="F3" s="9" t="s">
        <v>4</v>
      </c>
      <c r="G3" s="9" t="s">
        <v>5</v>
      </c>
      <c r="H3" s="9" t="s">
        <v>74</v>
      </c>
      <c r="I3" s="9" t="s">
        <v>73</v>
      </c>
      <c r="J3" s="9" t="s">
        <v>72</v>
      </c>
      <c r="K3" s="9" t="s">
        <v>71</v>
      </c>
      <c r="L3" s="9" t="s">
        <v>70</v>
      </c>
      <c r="M3" s="9" t="s">
        <v>69</v>
      </c>
      <c r="N3" s="9"/>
      <c r="O3" s="9"/>
    </row>
    <row r="4" spans="1:15" ht="39.950000000000003" customHeight="1" x14ac:dyDescent="0.25">
      <c r="A4" s="9" t="s">
        <v>68</v>
      </c>
      <c r="B4" s="9" t="s">
        <v>44</v>
      </c>
      <c r="C4" s="9" t="s">
        <v>26</v>
      </c>
      <c r="D4" s="9" t="s">
        <v>67</v>
      </c>
      <c r="E4" s="9"/>
      <c r="F4" s="9" t="s">
        <v>17</v>
      </c>
      <c r="G4" s="9" t="s">
        <v>12</v>
      </c>
      <c r="H4" s="14">
        <v>27013.33</v>
      </c>
      <c r="I4" s="9" t="s">
        <v>66</v>
      </c>
      <c r="J4" s="9"/>
      <c r="K4" s="9" t="s">
        <v>65</v>
      </c>
      <c r="L4" s="9"/>
      <c r="M4" s="9"/>
      <c r="N4" s="9"/>
      <c r="O4" s="9"/>
    </row>
    <row r="5" spans="1:15" ht="39.950000000000003" customHeight="1" x14ac:dyDescent="0.25">
      <c r="A5" s="9" t="s">
        <v>64</v>
      </c>
      <c r="B5" s="9" t="s">
        <v>27</v>
      </c>
      <c r="C5" s="9" t="s">
        <v>26</v>
      </c>
      <c r="D5" s="9" t="s">
        <v>63</v>
      </c>
      <c r="E5" s="9"/>
      <c r="F5" s="9" t="s">
        <v>10</v>
      </c>
      <c r="G5" s="9" t="s">
        <v>12</v>
      </c>
      <c r="H5" s="14">
        <v>27288.63</v>
      </c>
      <c r="I5" s="9" t="s">
        <v>62</v>
      </c>
      <c r="J5" s="9"/>
      <c r="K5" s="9" t="s">
        <v>61</v>
      </c>
      <c r="L5" s="9"/>
      <c r="M5" s="9"/>
      <c r="N5" s="9"/>
      <c r="O5" s="9"/>
    </row>
    <row r="6" spans="1:15" ht="39.950000000000003" customHeight="1" x14ac:dyDescent="0.25">
      <c r="A6" s="9" t="s">
        <v>60</v>
      </c>
      <c r="B6" s="9" t="s">
        <v>44</v>
      </c>
      <c r="C6" s="9" t="s">
        <v>26</v>
      </c>
      <c r="D6" s="9" t="s">
        <v>59</v>
      </c>
      <c r="E6" s="9"/>
      <c r="F6" s="9" t="s">
        <v>19</v>
      </c>
      <c r="G6" s="9" t="s">
        <v>11</v>
      </c>
      <c r="H6" s="14">
        <v>5000</v>
      </c>
      <c r="I6" s="9" t="s">
        <v>58</v>
      </c>
      <c r="J6" s="9"/>
      <c r="K6" s="9" t="s">
        <v>57</v>
      </c>
      <c r="L6" s="9"/>
      <c r="M6" s="9"/>
      <c r="N6" s="9"/>
      <c r="O6" s="9"/>
    </row>
    <row r="7" spans="1:15" ht="39.950000000000003" customHeight="1" x14ac:dyDescent="0.25">
      <c r="A7" s="9" t="s">
        <v>56</v>
      </c>
      <c r="B7" s="9" t="s">
        <v>27</v>
      </c>
      <c r="C7" s="9" t="s">
        <v>26</v>
      </c>
      <c r="D7" s="9" t="s">
        <v>55</v>
      </c>
      <c r="E7" s="9"/>
      <c r="F7" s="9" t="s">
        <v>10</v>
      </c>
      <c r="G7" s="9" t="s">
        <v>11</v>
      </c>
      <c r="H7" s="14">
        <v>38688.1</v>
      </c>
      <c r="I7" s="9" t="s">
        <v>54</v>
      </c>
      <c r="J7" s="9"/>
      <c r="K7" s="9" t="s">
        <v>53</v>
      </c>
      <c r="L7" s="9"/>
      <c r="M7" s="9"/>
      <c r="N7" s="9"/>
      <c r="O7" s="9"/>
    </row>
    <row r="8" spans="1:15" ht="39.950000000000003" customHeight="1" x14ac:dyDescent="0.25">
      <c r="A8" s="9" t="s">
        <v>52</v>
      </c>
      <c r="B8" s="9" t="s">
        <v>44</v>
      </c>
      <c r="C8" s="9" t="s">
        <v>26</v>
      </c>
      <c r="D8" s="9" t="s">
        <v>51</v>
      </c>
      <c r="E8" s="9"/>
      <c r="F8" s="9" t="s">
        <v>13</v>
      </c>
      <c r="G8" s="9" t="s">
        <v>11</v>
      </c>
      <c r="H8" s="14">
        <v>30693.38</v>
      </c>
      <c r="I8" s="9"/>
      <c r="J8" s="9"/>
      <c r="K8" s="9" t="s">
        <v>50</v>
      </c>
      <c r="L8" s="9"/>
      <c r="M8" s="9"/>
      <c r="N8" s="9"/>
      <c r="O8" s="9"/>
    </row>
    <row r="9" spans="1:15" ht="39.950000000000003" customHeight="1" x14ac:dyDescent="0.25">
      <c r="A9" s="9" t="s">
        <v>49</v>
      </c>
      <c r="B9" s="9" t="s">
        <v>44</v>
      </c>
      <c r="C9" s="9" t="s">
        <v>26</v>
      </c>
      <c r="D9" s="9" t="s">
        <v>48</v>
      </c>
      <c r="E9" s="9"/>
      <c r="F9" s="9" t="s">
        <v>16</v>
      </c>
      <c r="G9" s="9" t="s">
        <v>12</v>
      </c>
      <c r="H9" s="14">
        <v>26397.88</v>
      </c>
      <c r="I9" s="9" t="s">
        <v>47</v>
      </c>
      <c r="J9" s="9"/>
      <c r="K9" s="9" t="s">
        <v>46</v>
      </c>
      <c r="L9" s="9"/>
      <c r="M9" s="9"/>
      <c r="N9" s="9"/>
      <c r="O9" s="9"/>
    </row>
    <row r="10" spans="1:15" ht="39.950000000000003" customHeight="1" x14ac:dyDescent="0.25">
      <c r="A10" s="9" t="s">
        <v>45</v>
      </c>
      <c r="B10" s="9" t="s">
        <v>44</v>
      </c>
      <c r="C10" s="9" t="s">
        <v>26</v>
      </c>
      <c r="D10" s="9" t="s">
        <v>43</v>
      </c>
      <c r="E10" s="9"/>
      <c r="F10" s="9" t="s">
        <v>16</v>
      </c>
      <c r="G10" s="9" t="s">
        <v>12</v>
      </c>
      <c r="H10" s="14">
        <v>41734.75</v>
      </c>
      <c r="I10" s="9" t="s">
        <v>42</v>
      </c>
      <c r="J10" s="9"/>
      <c r="K10" s="9" t="s">
        <v>41</v>
      </c>
      <c r="L10" s="9"/>
      <c r="M10" s="9"/>
      <c r="N10" s="9"/>
      <c r="O10" s="9"/>
    </row>
    <row r="11" spans="1:15" ht="39.950000000000003" customHeight="1" x14ac:dyDescent="0.25">
      <c r="A11" s="9" t="s">
        <v>40</v>
      </c>
      <c r="B11" s="9" t="s">
        <v>27</v>
      </c>
      <c r="C11" s="9" t="s">
        <v>26</v>
      </c>
      <c r="D11" s="9" t="s">
        <v>39</v>
      </c>
      <c r="E11" s="9"/>
      <c r="F11" s="9" t="s">
        <v>18</v>
      </c>
      <c r="G11" s="9" t="s">
        <v>12</v>
      </c>
      <c r="H11" s="14">
        <v>99000</v>
      </c>
      <c r="I11" s="9" t="s">
        <v>38</v>
      </c>
      <c r="J11" s="9"/>
      <c r="K11" s="9" t="s">
        <v>37</v>
      </c>
      <c r="L11" s="9"/>
      <c r="M11" s="9"/>
      <c r="N11" s="9"/>
      <c r="O11" s="9"/>
    </row>
    <row r="12" spans="1:15" ht="39.950000000000003" customHeight="1" x14ac:dyDescent="0.25">
      <c r="A12" s="9" t="s">
        <v>36</v>
      </c>
      <c r="B12" s="9" t="s">
        <v>27</v>
      </c>
      <c r="C12" s="9" t="s">
        <v>35</v>
      </c>
      <c r="D12" s="9" t="s">
        <v>34</v>
      </c>
      <c r="E12" s="9"/>
      <c r="F12" s="9" t="s">
        <v>10</v>
      </c>
      <c r="G12" s="9" t="s">
        <v>12</v>
      </c>
      <c r="H12" s="14">
        <v>33105.56</v>
      </c>
      <c r="I12" s="9" t="s">
        <v>33</v>
      </c>
      <c r="J12" s="9"/>
      <c r="K12" s="9" t="s">
        <v>32</v>
      </c>
      <c r="L12" s="9"/>
      <c r="M12" s="9"/>
      <c r="N12" s="9"/>
      <c r="O12" s="9"/>
    </row>
    <row r="13" spans="1:15" ht="39.950000000000003" customHeight="1" x14ac:dyDescent="0.25">
      <c r="A13" s="9" t="s">
        <v>31</v>
      </c>
      <c r="B13" s="9" t="s">
        <v>27</v>
      </c>
      <c r="C13" s="9" t="s">
        <v>26</v>
      </c>
      <c r="D13" s="9" t="s">
        <v>30</v>
      </c>
      <c r="E13" s="9"/>
      <c r="F13" s="9" t="s">
        <v>14</v>
      </c>
      <c r="G13" s="9" t="s">
        <v>12</v>
      </c>
      <c r="H13" s="14">
        <v>17008</v>
      </c>
      <c r="I13" s="9"/>
      <c r="J13" s="9"/>
      <c r="K13" s="9" t="s">
        <v>29</v>
      </c>
      <c r="L13" s="9"/>
      <c r="M13" s="9"/>
      <c r="N13" s="9"/>
      <c r="O13" s="9"/>
    </row>
    <row r="14" spans="1:15" ht="39.950000000000003" customHeight="1" x14ac:dyDescent="0.25">
      <c r="A14" s="9" t="s">
        <v>28</v>
      </c>
      <c r="B14" s="9" t="s">
        <v>27</v>
      </c>
      <c r="C14" s="9" t="s">
        <v>26</v>
      </c>
      <c r="D14" s="9" t="s">
        <v>25</v>
      </c>
      <c r="E14" s="9"/>
      <c r="F14" s="9" t="s">
        <v>15</v>
      </c>
      <c r="G14" s="9" t="s">
        <v>11</v>
      </c>
      <c r="H14" s="14">
        <v>25355.19</v>
      </c>
      <c r="I14" s="9" t="s">
        <v>24</v>
      </c>
      <c r="J14" s="9"/>
      <c r="K14" s="9" t="s">
        <v>23</v>
      </c>
      <c r="L14" s="9"/>
      <c r="M14" s="9"/>
      <c r="N14" s="9"/>
      <c r="O14" s="9"/>
    </row>
    <row r="15" spans="1:15" ht="39.950000000000003" customHeight="1" x14ac:dyDescent="0.25">
      <c r="A15" s="15"/>
      <c r="B15" s="15"/>
      <c r="C15" s="15"/>
      <c r="D15" s="15" t="s">
        <v>22</v>
      </c>
      <c r="E15" s="15"/>
      <c r="F15" s="15"/>
      <c r="G15" s="15"/>
      <c r="H15" s="16">
        <f>SUM(H4:H14)</f>
        <v>371284.82</v>
      </c>
      <c r="I15" s="15"/>
      <c r="J15" s="15"/>
      <c r="K15" s="15"/>
      <c r="L15" s="15"/>
      <c r="M15" s="15"/>
      <c r="N15" s="9"/>
      <c r="O15" s="9"/>
    </row>
    <row r="16" spans="1:15" ht="39.950000000000003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 ht="39.950000000000003" customHeight="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1:15" ht="39.950000000000003" customHeight="1" x14ac:dyDescent="0.25"/>
  </sheetData>
  <mergeCells count="2">
    <mergeCell ref="A2:F2"/>
    <mergeCell ref="G2:M2"/>
  </mergeCells>
  <pageMargins left="0.7" right="0.7" top="0.75" bottom="0.75" header="0.3" footer="0.3"/>
  <pageSetup paperSize="5" scale="62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471B5-5CC2-4ABC-862C-5E119D8DBBBE}">
  <sheetPr>
    <pageSetUpPr fitToPage="1"/>
  </sheetPr>
  <dimension ref="A1:F31"/>
  <sheetViews>
    <sheetView workbookViewId="0">
      <pane ySplit="3" topLeftCell="A4" activePane="bottomLeft" state="frozen"/>
      <selection pane="bottomLeft" activeCell="F1" sqref="F1:F1048576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1" style="8" bestFit="1" customWidth="1"/>
    <col min="4" max="4" width="18.7109375" style="8" bestFit="1" customWidth="1"/>
    <col min="5" max="5" width="25.5703125" style="8" bestFit="1" customWidth="1"/>
    <col min="6" max="16384" width="9.140625" style="8"/>
  </cols>
  <sheetData>
    <row r="1" spans="1:6" x14ac:dyDescent="0.25">
      <c r="A1" s="9"/>
      <c r="B1" s="9"/>
      <c r="C1" s="9" t="s">
        <v>3</v>
      </c>
      <c r="D1" s="10">
        <v>45684</v>
      </c>
      <c r="E1" s="9" t="s">
        <v>2</v>
      </c>
      <c r="F1" s="9"/>
    </row>
    <row r="2" spans="1:6" x14ac:dyDescent="0.25">
      <c r="A2" s="11" t="s">
        <v>0</v>
      </c>
      <c r="B2" s="12"/>
      <c r="C2" s="12"/>
      <c r="D2" s="13" t="s">
        <v>85</v>
      </c>
      <c r="E2" s="12"/>
      <c r="F2" s="9"/>
    </row>
    <row r="3" spans="1:6" x14ac:dyDescent="0.25">
      <c r="A3" s="9" t="s">
        <v>79</v>
      </c>
      <c r="B3" s="9" t="s">
        <v>77</v>
      </c>
      <c r="C3" s="9" t="s">
        <v>76</v>
      </c>
      <c r="D3" s="9" t="s">
        <v>75</v>
      </c>
      <c r="E3" s="9" t="s">
        <v>4</v>
      </c>
      <c r="F3" s="9"/>
    </row>
    <row r="4" spans="1:6" x14ac:dyDescent="0.25">
      <c r="A4" s="9" t="s">
        <v>36</v>
      </c>
      <c r="B4" s="9" t="s">
        <v>35</v>
      </c>
      <c r="C4" s="9" t="s">
        <v>34</v>
      </c>
      <c r="D4" s="9"/>
      <c r="E4" s="9" t="s">
        <v>10</v>
      </c>
      <c r="F4" s="9"/>
    </row>
    <row r="5" spans="1:6" x14ac:dyDescent="0.25">
      <c r="A5" s="15"/>
      <c r="B5" s="15"/>
      <c r="C5" s="15" t="s">
        <v>84</v>
      </c>
      <c r="D5" s="15"/>
      <c r="E5" s="15"/>
      <c r="F5" s="9"/>
    </row>
    <row r="6" spans="1:6" x14ac:dyDescent="0.25">
      <c r="A6" s="9"/>
      <c r="B6" s="9"/>
      <c r="C6" s="9"/>
      <c r="D6" s="9"/>
      <c r="E6" s="9"/>
      <c r="F6" s="9"/>
    </row>
    <row r="7" spans="1:6" x14ac:dyDescent="0.25">
      <c r="A7" s="9"/>
      <c r="B7" s="9"/>
      <c r="C7" s="9"/>
      <c r="D7" s="9"/>
      <c r="E7" s="9"/>
      <c r="F7" s="9"/>
    </row>
    <row r="8" spans="1:6" x14ac:dyDescent="0.25">
      <c r="A8" s="9"/>
      <c r="B8" s="9"/>
      <c r="C8" s="9"/>
      <c r="D8" s="9"/>
      <c r="E8" s="9"/>
      <c r="F8" s="9"/>
    </row>
    <row r="9" spans="1:6" x14ac:dyDescent="0.25">
      <c r="A9" s="9" t="s">
        <v>83</v>
      </c>
      <c r="B9" s="9"/>
      <c r="C9" s="9"/>
      <c r="D9" s="9"/>
      <c r="E9" s="9"/>
      <c r="F9" s="9"/>
    </row>
    <row r="10" spans="1:6" x14ac:dyDescent="0.25">
      <c r="A10" s="9"/>
      <c r="B10" s="9"/>
      <c r="C10" s="9"/>
      <c r="D10" s="9"/>
      <c r="E10" s="9"/>
      <c r="F10" s="9"/>
    </row>
    <row r="11" spans="1:6" x14ac:dyDescent="0.25">
      <c r="A11" s="9"/>
      <c r="B11" s="9"/>
      <c r="C11" s="9"/>
      <c r="D11" s="9"/>
      <c r="E11" s="9"/>
      <c r="F11" s="9"/>
    </row>
    <row r="12" spans="1:6" x14ac:dyDescent="0.25">
      <c r="A12" s="9"/>
      <c r="B12" s="9"/>
      <c r="C12" s="9"/>
      <c r="D12" s="9"/>
      <c r="E12" s="9"/>
      <c r="F12" s="9"/>
    </row>
    <row r="13" spans="1:6" x14ac:dyDescent="0.25">
      <c r="A13" s="9" t="s">
        <v>82</v>
      </c>
      <c r="B13" s="9"/>
      <c r="C13" s="9"/>
      <c r="D13" s="9"/>
      <c r="E13" s="9"/>
      <c r="F13" s="9"/>
    </row>
    <row r="14" spans="1:6" x14ac:dyDescent="0.25">
      <c r="A14" s="9"/>
      <c r="B14" s="9"/>
      <c r="C14" s="9"/>
      <c r="D14" s="9"/>
      <c r="E14" s="9"/>
      <c r="F14" s="9"/>
    </row>
    <row r="15" spans="1:6" x14ac:dyDescent="0.25">
      <c r="A15" s="9"/>
      <c r="B15" s="9"/>
      <c r="C15" s="9"/>
      <c r="D15" s="9"/>
      <c r="E15" s="9"/>
      <c r="F15" s="9"/>
    </row>
    <row r="16" spans="1:6" x14ac:dyDescent="0.25">
      <c r="A16" s="9"/>
      <c r="B16" s="9"/>
      <c r="C16" s="9"/>
      <c r="D16" s="9"/>
      <c r="E16" s="9"/>
      <c r="F16" s="9"/>
    </row>
    <row r="17" spans="1:6" x14ac:dyDescent="0.25">
      <c r="A17" s="9" t="s">
        <v>81</v>
      </c>
      <c r="B17" s="9"/>
      <c r="C17" s="9"/>
      <c r="D17" s="9"/>
      <c r="E17" s="9"/>
      <c r="F17" s="9"/>
    </row>
    <row r="18" spans="1:6" x14ac:dyDescent="0.25">
      <c r="A18" s="9"/>
      <c r="B18" s="9"/>
      <c r="C18" s="9"/>
      <c r="D18" s="9"/>
      <c r="E18" s="9"/>
      <c r="F18" s="9"/>
    </row>
    <row r="19" spans="1:6" x14ac:dyDescent="0.25">
      <c r="A19" s="9"/>
      <c r="B19" s="9"/>
      <c r="C19" s="9"/>
      <c r="D19" s="9"/>
      <c r="E19" s="9"/>
      <c r="F19" s="9"/>
    </row>
    <row r="20" spans="1:6" x14ac:dyDescent="0.25">
      <c r="A20" s="9"/>
      <c r="B20" s="9"/>
      <c r="C20" s="9"/>
      <c r="D20" s="9"/>
      <c r="E20" s="9"/>
      <c r="F20" s="9"/>
    </row>
    <row r="21" spans="1:6" x14ac:dyDescent="0.25">
      <c r="A21" s="9"/>
      <c r="B21" s="9"/>
      <c r="C21" s="9"/>
      <c r="D21" s="9"/>
      <c r="E21" s="9"/>
      <c r="F21" s="9"/>
    </row>
    <row r="22" spans="1:6" x14ac:dyDescent="0.25">
      <c r="A22" s="9"/>
      <c r="B22" s="9"/>
      <c r="C22" s="9"/>
      <c r="D22" s="9"/>
      <c r="E22" s="9"/>
      <c r="F22" s="9"/>
    </row>
    <row r="23" spans="1:6" x14ac:dyDescent="0.25">
      <c r="A23" s="9"/>
      <c r="B23" s="9"/>
      <c r="C23" s="9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  <row r="31" spans="1:6" x14ac:dyDescent="0.25">
      <c r="A31" s="9"/>
      <c r="B31" s="9"/>
      <c r="C31" s="9"/>
      <c r="D31" s="9"/>
      <c r="E31" s="9"/>
      <c r="F31" s="9"/>
    </row>
  </sheetData>
  <mergeCells count="2">
    <mergeCell ref="A2:C2"/>
    <mergeCell ref="D2:E2"/>
  </mergeCells>
  <pageMargins left="0.7" right="0.7" top="0.75" bottom="0.75" header="0.3" footer="0.3"/>
  <pageSetup scale="94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2025-01-27T19:40:55Z</cp:lastPrinted>
  <dcterms:created xsi:type="dcterms:W3CDTF">2025-01-27T19:27:58Z</dcterms:created>
  <dcterms:modified xsi:type="dcterms:W3CDTF">2025-01-27T19:50:30Z</dcterms:modified>
</cp:coreProperties>
</file>