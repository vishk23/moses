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0CD77B58-38EA-4592-99FC-06B10EE0D40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F11" i="1"/>
  <c r="H22" i="1"/>
  <c r="E22" i="1"/>
  <c r="D22" i="1"/>
  <c r="C22" i="1"/>
</calcChain>
</file>

<file path=xl/sharedStrings.xml><?xml version="1.0" encoding="utf-8"?>
<sst xmlns="http://schemas.openxmlformats.org/spreadsheetml/2006/main" count="145" uniqueCount="84">
  <si>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</si>
  <si>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</si>
  <si>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</si>
  <si>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</si>
  <si>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</si>
  <si>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</si>
  <si>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</si>
  <si>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</si>
  <si>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</si>
  <si>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</si>
  <si>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Bald Hill Dodge Chrysler</t>
  </si>
  <si>
    <t>Marlene Braganca</t>
  </si>
  <si>
    <t>Colonial South Chrysler Dodge</t>
  </si>
  <si>
    <t>Neli Oliveira</t>
  </si>
  <si>
    <t>Gesner Auto Inc</t>
  </si>
  <si>
    <t>Grieco Toyota</t>
  </si>
  <si>
    <t>Metro Honda</t>
  </si>
  <si>
    <t>RAH FALL RIVER VW, LLC</t>
  </si>
  <si>
    <t>Salvadore Chevrolet</t>
  </si>
  <si>
    <t>T F Murphy Enterprises Inc</t>
  </si>
  <si>
    <t>Wareham Ford</t>
  </si>
  <si>
    <t>Column1</t>
  </si>
  <si>
    <t>Column2</t>
  </si>
  <si>
    <t># 10</t>
  </si>
  <si>
    <t>Hassett</t>
  </si>
  <si>
    <t>jfolk712@aol.com</t>
  </si>
  <si>
    <t>FOLKARD, JEREMIAH</t>
  </si>
  <si>
    <t>E Contract</t>
  </si>
  <si>
    <t>Route One</t>
  </si>
  <si>
    <t>151156588e</t>
  </si>
  <si>
    <t>CAPE COD PLUMBING &amp; HEATING CO., INC.</t>
  </si>
  <si>
    <t>BEAUDOIN</t>
  </si>
  <si>
    <t>CAPECODPLUMBING@YAHOO.COM</t>
  </si>
  <si>
    <t>HIBBARD, BRIAN</t>
  </si>
  <si>
    <t>151156546e</t>
  </si>
  <si>
    <t>GOMES</t>
  </si>
  <si>
    <t>heartwshop@gmail.com</t>
  </si>
  <si>
    <t>Soares, Helena</t>
  </si>
  <si>
    <t>151156512e</t>
  </si>
  <si>
    <t>Forand</t>
  </si>
  <si>
    <t>martuccielectric@yahoo.com</t>
  </si>
  <si>
    <t>MARTUCCI, PETER</t>
  </si>
  <si>
    <t>151156504e</t>
  </si>
  <si>
    <t>Garg</t>
  </si>
  <si>
    <t>absail608@gmail.com</t>
  </si>
  <si>
    <t>BASIL, ARVIND</t>
  </si>
  <si>
    <t>151156497e</t>
  </si>
  <si>
    <t>TAYLOR</t>
  </si>
  <si>
    <t>DNORRIS4251@GMAIL.COM</t>
  </si>
  <si>
    <t>NORRIS, DELANEY</t>
  </si>
  <si>
    <t>DealerTrack</t>
  </si>
  <si>
    <t>151156455e</t>
  </si>
  <si>
    <t>Mooney</t>
  </si>
  <si>
    <t>MPALAGI@YAHOO.COM</t>
  </si>
  <si>
    <t>KELLEY, MALYNDA</t>
  </si>
  <si>
    <t>Paper</t>
  </si>
  <si>
    <t>DWYRE</t>
  </si>
  <si>
    <t>SHELDON, DANE</t>
  </si>
  <si>
    <t>151156398e</t>
  </si>
  <si>
    <t>Anderson</t>
  </si>
  <si>
    <t>moonstoneflowerco@gmail.com</t>
  </si>
  <si>
    <t>OLSON, TAYLOR</t>
  </si>
  <si>
    <t>151156380e</t>
  </si>
  <si>
    <t>FORSTER</t>
  </si>
  <si>
    <t>CHRISKUHN1@YAHOO.COM</t>
  </si>
  <si>
    <t>KUHN, CHRISTOPHER</t>
  </si>
  <si>
    <t>151156273e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</si>
  <si>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</si>
  <si>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</si>
  <si>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</si>
  <si>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</si>
  <si>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</si>
  <si>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</si>
  <si>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</si>
  <si>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</si>
  <si>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</si>
  <si>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</si>
  <si>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</si>
  <si>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</t>
  </si>
  <si>
    <t>Received by__________________________________________________________________</t>
  </si>
  <si>
    <t>Delivered by_________________________________________________________________</t>
  </si>
  <si>
    <t># 1</t>
  </si>
  <si>
    <t>151156413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</si>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</sst>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2" borderId="0" xfId="1" applyAlignment="1">
      <alignment horizontal="left" vertical="top"/>
    </xf>
    <xf numFmtId="0" fontId="2" fillId="0" borderId="0" xfId="1" applyFill="1" applyAlignment="1">
      <alignment horizontal="left" vertical="top"/>
    </xf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 applyAlignment="1">
      <alignment horizontal="left" vertical="top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2F7B4440-BCEC-4E07-BF0E-BFEDEECB1975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2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EB3E747A-9644-4FFF-9BE4-0285C4104780}" name="Column1" dataDxfId="23"/>
    <tableColumn id="8" xr3:uid="{406C9BC3-6D51-4446-98B9-030D850CABD4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F960F-10E3-45BC-AA0C-0DF4C19952B4}" name="Table_13" displayName="Table_13" ref="A3:L14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A9CC37-0A05-40BB-BA32-B15E413727BA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1.140625" bestFit="1" customWidth="1"/>
    <col min="4" max="4" width="15.42578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45729</v>
      </c>
      <c r="E1" t="s">
        <v>2</v>
      </c>
      <c r="H1" s="4">
        <v>45729.999988425923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50876.95</v>
      </c>
      <c r="F4" s="2"/>
      <c r="G4" s="2"/>
      <c r="H4" s="2">
        <v>50951.95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1150</v>
      </c>
      <c r="D6" s="2">
        <v>0</v>
      </c>
      <c r="E6" s="2">
        <v>46004.69</v>
      </c>
      <c r="F6" s="2"/>
      <c r="G6" s="2"/>
      <c r="H6" s="2">
        <v>46079.69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650</v>
      </c>
      <c r="D8" s="2">
        <v>0</v>
      </c>
      <c r="E8" s="2">
        <v>23480.5</v>
      </c>
      <c r="F8" s="2"/>
      <c r="G8" s="2"/>
      <c r="H8" s="2">
        <v>23555.5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850</v>
      </c>
      <c r="D10" s="2">
        <v>0</v>
      </c>
      <c r="E10" s="2">
        <v>31921.25</v>
      </c>
      <c r="F10" s="2"/>
      <c r="G10" s="2"/>
      <c r="H10" s="2">
        <v>31996.25</v>
      </c>
    </row>
    <row r="11" spans="1:8" x14ac:dyDescent="0.25">
      <c r="A11" t="s">
        <v>15</v>
      </c>
      <c r="B11" t="s">
        <v>13</v>
      </c>
      <c r="C11" s="2">
        <v>950</v>
      </c>
      <c r="D11" s="2">
        <v>0</v>
      </c>
      <c r="E11" s="2">
        <v>37124.660000000003</v>
      </c>
      <c r="F11" s="2">
        <f>SUM(E10:E11)</f>
        <v>69045.91</v>
      </c>
      <c r="G11" s="2"/>
      <c r="H11" s="2">
        <v>37199.660000000003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950</v>
      </c>
      <c r="D13" s="2">
        <v>0</v>
      </c>
      <c r="E13" s="2">
        <v>37213.360000000001</v>
      </c>
      <c r="F13" s="2"/>
      <c r="G13" s="2"/>
      <c r="H13" s="2">
        <v>37288.36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13</v>
      </c>
      <c r="C15" s="2">
        <v>650</v>
      </c>
      <c r="D15" s="2">
        <v>0</v>
      </c>
      <c r="E15" s="2">
        <v>24286.06</v>
      </c>
      <c r="F15" s="2"/>
      <c r="G15" s="2"/>
      <c r="H15" s="2">
        <v>24361.06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500</v>
      </c>
      <c r="D17" s="2">
        <v>0</v>
      </c>
      <c r="E17" s="2">
        <v>17485.810000000001</v>
      </c>
      <c r="F17" s="2"/>
      <c r="G17" s="2"/>
      <c r="H17" s="2">
        <v>17560.810000000001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950</v>
      </c>
      <c r="D19" s="2">
        <v>0</v>
      </c>
      <c r="E19" s="2">
        <v>38821.93</v>
      </c>
      <c r="F19" s="2"/>
      <c r="G19" s="2"/>
      <c r="H19" s="2">
        <v>38896.93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750</v>
      </c>
      <c r="D21" s="2">
        <v>0</v>
      </c>
      <c r="E21" s="2">
        <v>25202.44</v>
      </c>
      <c r="F21" s="2"/>
      <c r="G21" s="2"/>
      <c r="H21" s="2">
        <v>25277.439999999999</v>
      </c>
    </row>
    <row r="22" spans="1:8" x14ac:dyDescent="0.25">
      <c r="A22" s="1"/>
      <c r="B22" s="1"/>
      <c r="C22" s="3">
        <f>SUM(C4:C21)</f>
        <v>8750</v>
      </c>
      <c r="D22" s="3">
        <f>SUM(D4:D21)</f>
        <v>0</v>
      </c>
      <c r="E22" s="3">
        <f>SUM(E4:E21)</f>
        <v>332417.65000000002</v>
      </c>
      <c r="F22" s="3"/>
      <c r="G22" s="3"/>
      <c r="H22" s="3">
        <f>SUM(H4:H21)</f>
        <v>333167.65000000002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DB7C-418B-4FAC-8917-81A8FBA26042}">
  <sheetPr>
    <pageSetUpPr fitToPage="1"/>
  </sheetPr>
  <dimension ref="A1:M20"/>
  <sheetViews>
    <sheetView tabSelected="1" workbookViewId="0">
      <pane ySplit="3" topLeftCell="A4" activePane="bottomLeft" state="frozen"/>
      <selection pane="bottomLeft" activeCell="F13" sqref="F13"/>
    </sheetView>
  </sheetViews>
  <sheetFormatPr defaultRowHeight="15" x14ac:dyDescent="0.25"/>
  <cols>
    <col min="1" max="1" width="16.42578125" style="9" bestFit="1" customWidth="1"/>
    <col min="2" max="2" width="12.140625" style="8" bestFit="1" customWidth="1"/>
    <col min="3" max="3" width="14" style="8" bestFit="1" customWidth="1"/>
    <col min="4" max="4" width="20.5703125" style="8" bestFit="1" customWidth="1"/>
    <col min="5" max="5" width="18.7109375" style="8" bestFit="1" customWidth="1"/>
    <col min="6" max="6" width="29.140625" style="8" bestFit="1" customWidth="1"/>
    <col min="7" max="7" width="17.7109375" style="8" bestFit="1" customWidth="1"/>
    <col min="8" max="8" width="17.140625" style="8" bestFit="1" customWidth="1"/>
    <col min="9" max="9" width="33" style="8" bestFit="1" customWidth="1"/>
    <col min="10" max="10" width="18.42578125" style="8" bestFit="1" customWidth="1"/>
    <col min="11" max="11" width="15.425781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 t="s">
        <v>3</v>
      </c>
      <c r="K1" s="12">
        <v>45729</v>
      </c>
      <c r="L1" s="11" t="s">
        <v>2</v>
      </c>
      <c r="M1" s="11"/>
    </row>
    <row r="2" spans="1:13" ht="35.1" customHeight="1" x14ac:dyDescent="0.25">
      <c r="A2" s="13" t="s">
        <v>0</v>
      </c>
      <c r="B2" s="14"/>
      <c r="C2" s="14"/>
      <c r="D2" s="14"/>
      <c r="E2" s="14"/>
      <c r="F2" s="14"/>
      <c r="G2" s="15" t="s">
        <v>77</v>
      </c>
      <c r="H2" s="14"/>
      <c r="I2" s="14"/>
      <c r="J2" s="14"/>
      <c r="K2" s="14"/>
      <c r="L2" s="14"/>
      <c r="M2" s="11"/>
    </row>
    <row r="3" spans="1:13" ht="35.1" customHeight="1" x14ac:dyDescent="0.25">
      <c r="A3" s="10" t="s">
        <v>76</v>
      </c>
      <c r="B3" s="11" t="s">
        <v>75</v>
      </c>
      <c r="C3" s="11" t="s">
        <v>74</v>
      </c>
      <c r="D3" s="11" t="s">
        <v>73</v>
      </c>
      <c r="E3" s="11" t="s">
        <v>72</v>
      </c>
      <c r="F3" s="11" t="s">
        <v>4</v>
      </c>
      <c r="G3" s="11" t="s">
        <v>5</v>
      </c>
      <c r="H3" s="11" t="s">
        <v>71</v>
      </c>
      <c r="I3" s="11" t="s">
        <v>70</v>
      </c>
      <c r="J3" s="11" t="s">
        <v>69</v>
      </c>
      <c r="K3" s="11" t="s">
        <v>68</v>
      </c>
      <c r="L3" s="11" t="s">
        <v>67</v>
      </c>
      <c r="M3" s="11"/>
    </row>
    <row r="4" spans="1:13" ht="35.1" customHeight="1" x14ac:dyDescent="0.25">
      <c r="A4" s="10" t="s">
        <v>66</v>
      </c>
      <c r="B4" s="11" t="s">
        <v>28</v>
      </c>
      <c r="C4" s="11" t="s">
        <v>27</v>
      </c>
      <c r="D4" s="11" t="s">
        <v>65</v>
      </c>
      <c r="E4" s="11"/>
      <c r="F4" s="11" t="s">
        <v>19</v>
      </c>
      <c r="G4" s="11" t="s">
        <v>11</v>
      </c>
      <c r="H4" s="16">
        <v>38896.93</v>
      </c>
      <c r="I4" s="11" t="s">
        <v>64</v>
      </c>
      <c r="J4" s="11"/>
      <c r="K4" s="11" t="s">
        <v>63</v>
      </c>
      <c r="L4" s="11"/>
      <c r="M4" s="11"/>
    </row>
    <row r="5" spans="1:13" ht="35.1" customHeight="1" x14ac:dyDescent="0.25">
      <c r="A5" s="10" t="s">
        <v>62</v>
      </c>
      <c r="B5" s="11" t="s">
        <v>50</v>
      </c>
      <c r="C5" s="11" t="s">
        <v>27</v>
      </c>
      <c r="D5" s="11" t="s">
        <v>61</v>
      </c>
      <c r="E5" s="11"/>
      <c r="F5" s="11" t="s">
        <v>16</v>
      </c>
      <c r="G5" s="11" t="s">
        <v>11</v>
      </c>
      <c r="H5" s="16">
        <v>37288.36</v>
      </c>
      <c r="I5" s="11" t="s">
        <v>60</v>
      </c>
      <c r="J5" s="11"/>
      <c r="K5" s="11" t="s">
        <v>59</v>
      </c>
      <c r="L5" s="11"/>
      <c r="M5" s="11"/>
    </row>
    <row r="6" spans="1:13" ht="35.1" customHeight="1" x14ac:dyDescent="0.25">
      <c r="A6" s="10" t="s">
        <v>58</v>
      </c>
      <c r="B6" s="11" t="s">
        <v>28</v>
      </c>
      <c r="C6" s="11" t="s">
        <v>27</v>
      </c>
      <c r="D6" s="11" t="s">
        <v>57</v>
      </c>
      <c r="E6" s="11"/>
      <c r="F6" s="11" t="s">
        <v>15</v>
      </c>
      <c r="G6" s="11" t="s">
        <v>13</v>
      </c>
      <c r="H6" s="16">
        <v>37199.660000000003</v>
      </c>
      <c r="I6" s="11"/>
      <c r="J6" s="11"/>
      <c r="K6" s="11" t="s">
        <v>56</v>
      </c>
      <c r="L6" s="11"/>
      <c r="M6" s="11"/>
    </row>
    <row r="7" spans="1:13" ht="35.1" customHeight="1" x14ac:dyDescent="0.25">
      <c r="A7" s="10">
        <v>151156413</v>
      </c>
      <c r="B7" s="11" t="s">
        <v>50</v>
      </c>
      <c r="C7" s="11" t="s">
        <v>55</v>
      </c>
      <c r="D7" s="11" t="s">
        <v>54</v>
      </c>
      <c r="E7" s="11"/>
      <c r="F7" s="11" t="s">
        <v>14</v>
      </c>
      <c r="G7" s="11" t="s">
        <v>11</v>
      </c>
      <c r="H7" s="16">
        <v>23555.5</v>
      </c>
      <c r="I7" s="11" t="s">
        <v>53</v>
      </c>
      <c r="J7" s="11"/>
      <c r="K7" s="11" t="s">
        <v>52</v>
      </c>
      <c r="L7" s="11"/>
      <c r="M7" s="11"/>
    </row>
    <row r="8" spans="1:13" ht="35.1" customHeight="1" x14ac:dyDescent="0.25">
      <c r="A8" s="10" t="s">
        <v>51</v>
      </c>
      <c r="B8" s="11" t="s">
        <v>50</v>
      </c>
      <c r="C8" s="11" t="s">
        <v>27</v>
      </c>
      <c r="D8" s="11" t="s">
        <v>49</v>
      </c>
      <c r="E8" s="11"/>
      <c r="F8" s="11" t="s">
        <v>17</v>
      </c>
      <c r="G8" s="11" t="s">
        <v>13</v>
      </c>
      <c r="H8" s="16">
        <v>24361.06</v>
      </c>
      <c r="I8" s="11" t="s">
        <v>48</v>
      </c>
      <c r="J8" s="11"/>
      <c r="K8" s="11" t="s">
        <v>47</v>
      </c>
      <c r="L8" s="11"/>
      <c r="M8" s="11"/>
    </row>
    <row r="9" spans="1:13" ht="35.1" customHeight="1" x14ac:dyDescent="0.25">
      <c r="A9" s="10" t="s">
        <v>46</v>
      </c>
      <c r="B9" s="11" t="s">
        <v>28</v>
      </c>
      <c r="C9" s="11" t="s">
        <v>27</v>
      </c>
      <c r="D9" s="11" t="s">
        <v>45</v>
      </c>
      <c r="E9" s="11"/>
      <c r="F9" s="11" t="s">
        <v>15</v>
      </c>
      <c r="G9" s="11" t="s">
        <v>11</v>
      </c>
      <c r="H9" s="16">
        <v>31996.25</v>
      </c>
      <c r="I9" s="11" t="s">
        <v>44</v>
      </c>
      <c r="J9" s="11"/>
      <c r="K9" s="11" t="s">
        <v>43</v>
      </c>
      <c r="L9" s="11"/>
      <c r="M9" s="11"/>
    </row>
    <row r="10" spans="1:13" ht="35.1" customHeight="1" x14ac:dyDescent="0.25">
      <c r="A10" s="10" t="s">
        <v>42</v>
      </c>
      <c r="B10" s="11" t="s">
        <v>28</v>
      </c>
      <c r="C10" s="11" t="s">
        <v>27</v>
      </c>
      <c r="D10" s="11" t="s">
        <v>41</v>
      </c>
      <c r="E10" s="11"/>
      <c r="F10" s="11" t="s">
        <v>10</v>
      </c>
      <c r="G10" s="11" t="s">
        <v>11</v>
      </c>
      <c r="H10" s="16">
        <v>50951.95</v>
      </c>
      <c r="I10" s="11" t="s">
        <v>40</v>
      </c>
      <c r="J10" s="11"/>
      <c r="K10" s="11" t="s">
        <v>39</v>
      </c>
      <c r="L10" s="11"/>
      <c r="M10" s="11"/>
    </row>
    <row r="11" spans="1:13" ht="35.1" customHeight="1" x14ac:dyDescent="0.25">
      <c r="A11" s="10" t="s">
        <v>38</v>
      </c>
      <c r="B11" s="11" t="s">
        <v>28</v>
      </c>
      <c r="C11" s="11" t="s">
        <v>27</v>
      </c>
      <c r="D11" s="11" t="s">
        <v>37</v>
      </c>
      <c r="E11" s="11"/>
      <c r="F11" s="11" t="s">
        <v>18</v>
      </c>
      <c r="G11" s="11" t="s">
        <v>11</v>
      </c>
      <c r="H11" s="16">
        <v>17560.810000000001</v>
      </c>
      <c r="I11" s="11" t="s">
        <v>36</v>
      </c>
      <c r="J11" s="11"/>
      <c r="K11" s="11" t="s">
        <v>35</v>
      </c>
      <c r="L11" s="11"/>
      <c r="M11" s="11"/>
    </row>
    <row r="12" spans="1:13" ht="35.1" customHeight="1" x14ac:dyDescent="0.25">
      <c r="A12" s="10" t="s">
        <v>34</v>
      </c>
      <c r="B12" s="11" t="s">
        <v>28</v>
      </c>
      <c r="C12" s="11" t="s">
        <v>27</v>
      </c>
      <c r="D12" s="11" t="s">
        <v>30</v>
      </c>
      <c r="E12" s="11" t="s">
        <v>33</v>
      </c>
      <c r="F12" s="11" t="s">
        <v>12</v>
      </c>
      <c r="G12" s="11" t="s">
        <v>13</v>
      </c>
      <c r="H12" s="16">
        <v>46079.69</v>
      </c>
      <c r="I12" s="11" t="s">
        <v>32</v>
      </c>
      <c r="J12" s="11"/>
      <c r="K12" s="11" t="s">
        <v>31</v>
      </c>
      <c r="L12" s="11"/>
      <c r="M12" s="11"/>
    </row>
    <row r="13" spans="1:13" ht="35.1" customHeight="1" x14ac:dyDescent="0.25">
      <c r="A13" s="10" t="s">
        <v>29</v>
      </c>
      <c r="B13" s="11" t="s">
        <v>28</v>
      </c>
      <c r="C13" s="11" t="s">
        <v>27</v>
      </c>
      <c r="D13" s="11" t="s">
        <v>26</v>
      </c>
      <c r="E13" s="11"/>
      <c r="F13" s="11" t="s">
        <v>20</v>
      </c>
      <c r="G13" s="11" t="s">
        <v>11</v>
      </c>
      <c r="H13" s="16">
        <v>25277.439999999999</v>
      </c>
      <c r="I13" s="11" t="s">
        <v>25</v>
      </c>
      <c r="J13" s="11"/>
      <c r="K13" s="11" t="s">
        <v>24</v>
      </c>
      <c r="L13" s="11"/>
      <c r="M13" s="11"/>
    </row>
    <row r="14" spans="1:13" ht="35.1" customHeight="1" x14ac:dyDescent="0.25">
      <c r="A14" s="17"/>
      <c r="B14" s="18"/>
      <c r="C14" s="18"/>
      <c r="D14" s="18" t="s">
        <v>23</v>
      </c>
      <c r="E14" s="18"/>
      <c r="F14" s="18"/>
      <c r="G14" s="18"/>
      <c r="H14" s="19">
        <f>SUM(H4:H13)</f>
        <v>333167.65000000002</v>
      </c>
      <c r="I14" s="18"/>
      <c r="J14" s="18"/>
      <c r="K14" s="18"/>
      <c r="L14" s="18"/>
      <c r="M14" s="11"/>
    </row>
    <row r="15" spans="1:13" ht="35.1" customHeight="1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35.1" customHeight="1" x14ac:dyDescent="0.25"/>
    <row r="17" ht="35.1" customHeight="1" x14ac:dyDescent="0.25"/>
    <row r="18" ht="35.1" customHeight="1" x14ac:dyDescent="0.25"/>
    <row r="19" ht="35.1" customHeight="1" x14ac:dyDescent="0.25"/>
    <row r="20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7B81-C11B-40FB-91FC-FBBDA5B272FA}">
  <sheetPr>
    <pageSetUpPr fitToPage="1"/>
  </sheetPr>
  <dimension ref="A1:E26"/>
  <sheetViews>
    <sheetView workbookViewId="0">
      <pane ySplit="3" topLeftCell="A4" activePane="bottomLeft" state="frozen"/>
      <selection pane="bottomLeft" activeCell="K14" sqref="K1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5703125" style="8" bestFit="1" customWidth="1"/>
    <col min="4" max="4" width="18.7109375" style="8" bestFit="1" customWidth="1"/>
    <col min="5" max="5" width="29.140625" style="8" bestFit="1" customWidth="1"/>
    <col min="6" max="16384" width="9.140625" style="8"/>
  </cols>
  <sheetData>
    <row r="1" spans="1:5" x14ac:dyDescent="0.25">
      <c r="A1" s="11"/>
      <c r="B1" s="11"/>
      <c r="C1" s="11" t="s">
        <v>3</v>
      </c>
      <c r="D1" s="12">
        <v>45729</v>
      </c>
      <c r="E1" s="11" t="s">
        <v>2</v>
      </c>
    </row>
    <row r="2" spans="1:5" x14ac:dyDescent="0.25">
      <c r="A2" s="13" t="s">
        <v>0</v>
      </c>
      <c r="B2" s="14"/>
      <c r="C2" s="14"/>
      <c r="D2" s="15" t="s">
        <v>83</v>
      </c>
      <c r="E2" s="14"/>
    </row>
    <row r="3" spans="1:5" x14ac:dyDescent="0.25">
      <c r="A3" s="11" t="s">
        <v>76</v>
      </c>
      <c r="B3" s="11" t="s">
        <v>74</v>
      </c>
      <c r="C3" s="11" t="s">
        <v>73</v>
      </c>
      <c r="D3" s="11" t="s">
        <v>72</v>
      </c>
      <c r="E3" s="11" t="s">
        <v>4</v>
      </c>
    </row>
    <row r="4" spans="1:5" x14ac:dyDescent="0.25">
      <c r="A4" s="11" t="s">
        <v>82</v>
      </c>
      <c r="B4" s="11" t="s">
        <v>55</v>
      </c>
      <c r="C4" s="11" t="s">
        <v>54</v>
      </c>
      <c r="D4" s="11"/>
      <c r="E4" s="11" t="s">
        <v>14</v>
      </c>
    </row>
    <row r="5" spans="1:5" x14ac:dyDescent="0.25">
      <c r="A5" s="18"/>
      <c r="B5" s="18"/>
      <c r="C5" s="18" t="s">
        <v>81</v>
      </c>
      <c r="D5" s="18"/>
      <c r="E5" s="18"/>
    </row>
    <row r="6" spans="1:5" x14ac:dyDescent="0.25">
      <c r="A6" s="11"/>
      <c r="B6" s="11"/>
      <c r="C6" s="11"/>
      <c r="D6" s="11"/>
      <c r="E6" s="11"/>
    </row>
    <row r="7" spans="1:5" x14ac:dyDescent="0.25">
      <c r="A7" s="11"/>
      <c r="B7" s="11"/>
      <c r="C7" s="11"/>
      <c r="D7" s="11"/>
      <c r="E7" s="11"/>
    </row>
    <row r="8" spans="1:5" x14ac:dyDescent="0.25">
      <c r="A8" s="11" t="s">
        <v>80</v>
      </c>
      <c r="B8" s="11"/>
      <c r="C8" s="11"/>
      <c r="D8" s="11"/>
      <c r="E8" s="11"/>
    </row>
    <row r="9" spans="1:5" x14ac:dyDescent="0.25">
      <c r="A9" s="11"/>
      <c r="B9" s="11"/>
      <c r="C9" s="11"/>
      <c r="D9" s="11"/>
      <c r="E9" s="11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 t="s">
        <v>79</v>
      </c>
      <c r="B11" s="11"/>
      <c r="C11" s="11"/>
      <c r="D11" s="11"/>
      <c r="E11" s="11"/>
    </row>
    <row r="12" spans="1:5" x14ac:dyDescent="0.25">
      <c r="A12" s="11"/>
      <c r="B12" s="11"/>
      <c r="C12" s="11"/>
      <c r="D12" s="11"/>
      <c r="E12" s="11"/>
    </row>
    <row r="13" spans="1:5" x14ac:dyDescent="0.25">
      <c r="A13" s="11"/>
      <c r="B13" s="11"/>
      <c r="C13" s="11"/>
      <c r="D13" s="11"/>
      <c r="E13" s="11"/>
    </row>
    <row r="14" spans="1:5" x14ac:dyDescent="0.25">
      <c r="A14" s="11"/>
      <c r="B14" s="11"/>
      <c r="C14" s="11"/>
      <c r="D14" s="11"/>
      <c r="E14" s="11"/>
    </row>
    <row r="15" spans="1:5" x14ac:dyDescent="0.25">
      <c r="A15" s="11" t="s">
        <v>78</v>
      </c>
      <c r="B15" s="11"/>
      <c r="C15" s="11"/>
      <c r="D15" s="11"/>
      <c r="E15" s="11"/>
    </row>
    <row r="16" spans="1:5" x14ac:dyDescent="0.25">
      <c r="A16" s="11"/>
      <c r="B16" s="11"/>
      <c r="C16" s="11"/>
      <c r="D16" s="11"/>
      <c r="E16" s="11"/>
    </row>
    <row r="17" spans="1:5" x14ac:dyDescent="0.25">
      <c r="A17" s="11"/>
      <c r="B17" s="11"/>
      <c r="C17" s="11"/>
      <c r="D17" s="11"/>
      <c r="E17" s="11"/>
    </row>
    <row r="18" spans="1:5" x14ac:dyDescent="0.25">
      <c r="A18" s="11"/>
      <c r="B18" s="11"/>
      <c r="C18" s="11"/>
      <c r="D18" s="11"/>
      <c r="E18" s="11"/>
    </row>
    <row r="19" spans="1:5" x14ac:dyDescent="0.25">
      <c r="A19" s="11"/>
      <c r="B19" s="11"/>
      <c r="C19" s="11"/>
      <c r="D19" s="11"/>
      <c r="E19" s="11"/>
    </row>
    <row r="20" spans="1:5" x14ac:dyDescent="0.25">
      <c r="A20" s="11"/>
      <c r="B20" s="11"/>
      <c r="C20" s="11"/>
      <c r="D20" s="11"/>
      <c r="E20" s="11"/>
    </row>
    <row r="21" spans="1:5" x14ac:dyDescent="0.25">
      <c r="A21" s="11"/>
      <c r="B21" s="11"/>
      <c r="C21" s="11"/>
      <c r="D21" s="11"/>
      <c r="E21" s="11"/>
    </row>
    <row r="22" spans="1:5" x14ac:dyDescent="0.25">
      <c r="A22" s="11"/>
      <c r="B22" s="11"/>
      <c r="C22" s="11"/>
      <c r="D22" s="11"/>
      <c r="E22" s="11"/>
    </row>
    <row r="23" spans="1:5" x14ac:dyDescent="0.25">
      <c r="A23" s="11"/>
      <c r="B23" s="11"/>
      <c r="C23" s="11"/>
      <c r="D23" s="11"/>
      <c r="E23" s="11"/>
    </row>
    <row r="24" spans="1:5" x14ac:dyDescent="0.25">
      <c r="A24" s="11"/>
      <c r="B24" s="11"/>
      <c r="C24" s="11"/>
      <c r="D24" s="11"/>
      <c r="E24" s="11"/>
    </row>
    <row r="25" spans="1:5" x14ac:dyDescent="0.25">
      <c r="A25" s="11"/>
      <c r="B25" s="11"/>
      <c r="C25" s="11"/>
      <c r="D25" s="11"/>
      <c r="E25" s="11"/>
    </row>
    <row r="26" spans="1:5" x14ac:dyDescent="0.25">
      <c r="A26" s="11"/>
      <c r="B26" s="11"/>
      <c r="C26" s="11"/>
      <c r="D26" s="11"/>
      <c r="E26" s="11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2025-03-13T17:53:12Z</cp:lastPrinted>
  <dcterms:created xsi:type="dcterms:W3CDTF">2025-03-13T17:40:05Z</dcterms:created>
  <dcterms:modified xsi:type="dcterms:W3CDTF">2025-03-13T17:54:55Z</dcterms:modified>
</cp:coreProperties>
</file>