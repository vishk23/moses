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0DD8E81-43BC-4E2A-83BB-ED6DDB9AA9EE}" xr6:coauthVersionLast="47" xr6:coauthVersionMax="47" xr10:uidLastSave="{00000000-0000-0000-0000-000000000000}"/>
  <bookViews>
    <workbookView xWindow="32880" yWindow="465" windowWidth="22755" windowHeight="14280" xr2:uid="{00000000-000D-0000-FFFF-FFFF00000000}"/>
  </bookViews>
  <sheets>
    <sheet name="Funding Worksheet - Folder Vers" sheetId="1" r:id="rId1"/>
    <sheet name="Funding Worksheet - ACH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F22" i="2"/>
  <c r="E22" i="2"/>
  <c r="D22" i="2"/>
  <c r="H13" i="1" l="1"/>
</calcChain>
</file>

<file path=xl/sharedStrings.xml><?xml version="1.0" encoding="utf-8"?>
<sst xmlns="http://schemas.openxmlformats.org/spreadsheetml/2006/main" count="143" uniqueCount="85">
  <si>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</si>
  <si>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</si>
  <si>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</si>
  <si>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</si>
  <si>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</si>
  <si>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</si>
  <si>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</si>
  <si>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</si>
  <si>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</si>
  <si>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</si>
  <si>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</si>
  <si>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</si>
  <si>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</si>
  <si>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</si>
  <si>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</si>
  <si>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</si>
  <si>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</si>
  <si>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Cormier, Ronald</t>
  </si>
  <si>
    <t>Salvadore Chrysler</t>
  </si>
  <si>
    <t>Marlene Braganca</t>
  </si>
  <si>
    <t>rjcormier46@gmail.com</t>
  </si>
  <si>
    <t>Robichaud</t>
  </si>
  <si>
    <t>151236851</t>
  </si>
  <si>
    <t>DealerTrack</t>
  </si>
  <si>
    <t>Paper</t>
  </si>
  <si>
    <t>MOORE, ERIN</t>
  </si>
  <si>
    <t>REMY, RAQUEL</t>
  </si>
  <si>
    <t>Saccucci Honda</t>
  </si>
  <si>
    <t>HALFPINTBD8@GMAIL.COM</t>
  </si>
  <si>
    <t>RAQUEL.REMY@SALVE.EDU</t>
  </si>
  <si>
    <t>RAMOS</t>
  </si>
  <si>
    <t>LANDMAN, MATTHEW</t>
  </si>
  <si>
    <t>Paul Masse Buick GMC South, Inc</t>
  </si>
  <si>
    <t>MATTLANDMAN@GMAIL.COM</t>
  </si>
  <si>
    <t>Korn</t>
  </si>
  <si>
    <t>151236950</t>
  </si>
  <si>
    <t>Pinelli, Steven</t>
  </si>
  <si>
    <t>Flood Mazda</t>
  </si>
  <si>
    <t>spinelli33@verizon.net</t>
  </si>
  <si>
    <t>Stable</t>
  </si>
  <si>
    <t>BRASTOW, TIMOTHY</t>
  </si>
  <si>
    <t>First Hyundai</t>
  </si>
  <si>
    <t>TSBRASTOW@GMAIL.COM</t>
  </si>
  <si>
    <t>Gonsalves</t>
  </si>
  <si>
    <t>MONIZ, DAVID</t>
  </si>
  <si>
    <t>MONIZ, SUSAN</t>
  </si>
  <si>
    <t>Battles Nissan, LLC</t>
  </si>
  <si>
    <t>DJMONIZ@COMCAST.NET</t>
  </si>
  <si>
    <t>SMONIZ2@COMCAST.NET</t>
  </si>
  <si>
    <t>CORRIEA</t>
  </si>
  <si>
    <t>HEBERT</t>
  </si>
  <si>
    <t>COLE, CHRISTOPHER</t>
  </si>
  <si>
    <t>COLE, MARY</t>
  </si>
  <si>
    <t>Drive Automotive Sales &amp; Service LLC</t>
  </si>
  <si>
    <t>Rachel Gorham</t>
  </si>
  <si>
    <t>c.william.cole@gmail.com</t>
  </si>
  <si>
    <t>molly.c.cole@gmail.com</t>
  </si>
  <si>
    <t>HORTON</t>
  </si>
  <si>
    <t>MCGETTIGAN</t>
  </si>
  <si>
    <t>LUIS, MELONY</t>
  </si>
  <si>
    <t>Grieco Enterprises, LLC d/b/a</t>
  </si>
  <si>
    <t>MELONYLUIS@ICLOUD.COM</t>
  </si>
  <si>
    <t>Luis</t>
  </si>
  <si>
    <t>REID, DOUGLAS</t>
  </si>
  <si>
    <t>BID Cars Boston</t>
  </si>
  <si>
    <t>WILKI02780@GMAIL.COM</t>
  </si>
  <si>
    <t>LONGSON</t>
  </si>
  <si>
    <t># 9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</si>
  <si>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</si>
  <si>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</si>
  <si>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</si>
  <si>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</si>
  <si>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</si>
  <si>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</si>
  <si>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</si>
  <si>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</si>
  <si>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2</t>
  </si>
  <si>
    <t>2330-8209</t>
  </si>
  <si>
    <t>151236835 E</t>
  </si>
  <si>
    <t>151236869 E</t>
  </si>
  <si>
    <t>151237023 E</t>
  </si>
  <si>
    <t>151237049 E</t>
  </si>
  <si>
    <t>151237099 E</t>
  </si>
  <si>
    <t>151237114 E</t>
  </si>
  <si>
    <t>151237180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</si>
</sst>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7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3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D5EFD4-420E-4095-B6B8-343DBF016B4B}" name="Table_14" displayName="Table_14" ref="A3:H22">
  <tableColumns count="8">
    <tableColumn id="1" xr3:uid="{4277CD86-3845-4A79-BC8D-D71C274086D7}" name="Dealer Name"/>
    <tableColumn id="7" xr3:uid="{C246AB4D-EF0E-477C-BBFC-2AE9A62C5892}" name="Column1"/>
    <tableColumn id="2" xr3:uid="{B644F1CD-9252-4785-AEBE-EEAE39D81280}" name="Funded by"/>
    <tableColumn id="3" xr3:uid="{BF352307-6893-45C7-959F-E304B6FC075A}" name="Dealer Flat"/>
    <tableColumn id="4" xr3:uid="{E090E993-C0D8-43AD-A72A-9BE0F8770976}" name="Dealer Split"/>
    <tableColumn id="5" xr3:uid="{B1A4B52C-5D1D-435B-847D-1F0497E3F367}" name="Net to Dealer"/>
    <tableColumn id="8" xr3:uid="{43D3AD43-6CD7-42D8-89D0-FC5C8CF145F7}" name="Column2" dataDxfId="0"/>
    <tableColumn id="6" xr3:uid="{E87E2966-EAA9-4084-9AD1-A2F8E3B78E4A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CB5720-3C5F-4536-AE22-F6878518F5D6}" name="Table_15" displayName="Table_15" ref="A3:F6">
  <tableColumns count="6">
    <tableColumn id="1" xr3:uid="{CD8E69F9-FC74-42F0-9B6A-E8D969166AF0}" name="Account Number"/>
    <tableColumn id="2" xr3:uid="{CF6DE661-EAC9-4651-9E56-6A451E9FAD23}" name="Contract Type"/>
    <tableColumn id="3" xr3:uid="{E9B0A8F6-B999-4BF7-873E-E04EC5F69D6B}" name="Applicant Name"/>
    <tableColumn id="4" xr3:uid="{BB00B915-8E6D-4A8A-BB95-C371C7D943B7}" name="Co-Applicant Name"/>
    <tableColumn id="5" xr3:uid="{A4EC82A2-24C5-4ED4-A06C-90139B694E72}" name="Dealer Name"/>
    <tableColumn id="6" xr3:uid="{28457F81-101B-436F-A303-8AB23F1883DF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tabSelected="1" workbookViewId="0">
      <pane ySplit="3" topLeftCell="A4" activePane="bottomLeft" state="frozen"/>
      <selection pane="bottomLeft" activeCell="E19" sqref="E19"/>
    </sheetView>
  </sheetViews>
  <sheetFormatPr defaultRowHeight="15" x14ac:dyDescent="0.25"/>
  <cols>
    <col min="1" max="1" width="14.140625" customWidth="1"/>
    <col min="2" max="2" width="12.140625" bestFit="1" customWidth="1"/>
    <col min="3" max="3" width="14" bestFit="1" customWidth="1"/>
    <col min="4" max="4" width="20.85546875" bestFit="1" customWidth="1"/>
    <col min="5" max="5" width="14.28515625" customWidth="1"/>
    <col min="6" max="6" width="35.85546875" bestFit="1" customWidth="1"/>
    <col min="7" max="7" width="17.7109375" bestFit="1" customWidth="1"/>
    <col min="8" max="8" width="17.140625" bestFit="1" customWidth="1"/>
    <col min="9" max="9" width="27.85546875" bestFit="1" customWidth="1"/>
    <col min="10" max="10" width="25.140625" customWidth="1"/>
    <col min="11" max="11" width="17.140625" bestFit="1" customWidth="1"/>
    <col min="12" max="12" width="13.28515625" bestFit="1" customWidth="1"/>
  </cols>
  <sheetData>
    <row r="1" spans="1:12" x14ac:dyDescent="0.25">
      <c r="K1" s="7">
        <v>45947</v>
      </c>
    </row>
    <row r="2" spans="1:12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0" customHeight="1" x14ac:dyDescent="0.25">
      <c r="A4" t="s">
        <v>78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12195.22</v>
      </c>
      <c r="I4" t="s">
        <v>20</v>
      </c>
      <c r="K4" t="s">
        <v>21</v>
      </c>
    </row>
    <row r="5" spans="1:12" ht="30" customHeight="1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19</v>
      </c>
      <c r="H5" s="2">
        <v>32051</v>
      </c>
      <c r="I5" t="s">
        <v>28</v>
      </c>
      <c r="J5" t="s">
        <v>29</v>
      </c>
      <c r="K5" t="s">
        <v>30</v>
      </c>
      <c r="L5" t="s">
        <v>30</v>
      </c>
    </row>
    <row r="6" spans="1:12" ht="30" customHeight="1" x14ac:dyDescent="0.25">
      <c r="A6" t="s">
        <v>79</v>
      </c>
      <c r="B6" t="s">
        <v>15</v>
      </c>
      <c r="C6" t="s">
        <v>16</v>
      </c>
      <c r="D6" t="s">
        <v>31</v>
      </c>
      <c r="F6" t="s">
        <v>32</v>
      </c>
      <c r="G6" t="s">
        <v>19</v>
      </c>
      <c r="H6" s="2">
        <v>25837.21</v>
      </c>
      <c r="I6" t="s">
        <v>33</v>
      </c>
      <c r="K6" t="s">
        <v>34</v>
      </c>
    </row>
    <row r="7" spans="1:12" ht="30" customHeight="1" x14ac:dyDescent="0.25">
      <c r="A7" t="s">
        <v>35</v>
      </c>
      <c r="B7" t="s">
        <v>15</v>
      </c>
      <c r="C7" t="s">
        <v>24</v>
      </c>
      <c r="D7" t="s">
        <v>36</v>
      </c>
      <c r="F7" t="s">
        <v>37</v>
      </c>
      <c r="G7" t="s">
        <v>19</v>
      </c>
      <c r="H7" s="2">
        <v>15613.33</v>
      </c>
      <c r="I7" t="s">
        <v>38</v>
      </c>
      <c r="K7" t="s">
        <v>39</v>
      </c>
    </row>
    <row r="8" spans="1:12" ht="30" customHeight="1" x14ac:dyDescent="0.25">
      <c r="A8" t="s">
        <v>80</v>
      </c>
      <c r="B8" t="s">
        <v>23</v>
      </c>
      <c r="C8" t="s">
        <v>16</v>
      </c>
      <c r="D8" t="s">
        <v>40</v>
      </c>
      <c r="F8" t="s">
        <v>41</v>
      </c>
      <c r="G8" t="s">
        <v>19</v>
      </c>
      <c r="H8" s="2">
        <v>17475.310000000001</v>
      </c>
      <c r="I8" t="s">
        <v>42</v>
      </c>
      <c r="K8" t="s">
        <v>43</v>
      </c>
    </row>
    <row r="9" spans="1:12" ht="30" customHeight="1" x14ac:dyDescent="0.25">
      <c r="A9" t="s">
        <v>81</v>
      </c>
      <c r="B9" t="s">
        <v>23</v>
      </c>
      <c r="C9" t="s">
        <v>16</v>
      </c>
      <c r="D9" t="s">
        <v>44</v>
      </c>
      <c r="E9" t="s">
        <v>45</v>
      </c>
      <c r="F9" t="s">
        <v>46</v>
      </c>
      <c r="G9" t="s">
        <v>19</v>
      </c>
      <c r="H9" s="2">
        <v>23619.439999999999</v>
      </c>
      <c r="I9" t="s">
        <v>47</v>
      </c>
      <c r="J9" t="s">
        <v>48</v>
      </c>
      <c r="K9" t="s">
        <v>49</v>
      </c>
      <c r="L9" t="s">
        <v>50</v>
      </c>
    </row>
    <row r="10" spans="1:12" ht="30" customHeight="1" x14ac:dyDescent="0.25">
      <c r="A10" t="s">
        <v>82</v>
      </c>
      <c r="B10" t="s">
        <v>15</v>
      </c>
      <c r="C10" t="s">
        <v>16</v>
      </c>
      <c r="D10" t="s">
        <v>51</v>
      </c>
      <c r="E10" t="s">
        <v>52</v>
      </c>
      <c r="F10" t="s">
        <v>53</v>
      </c>
      <c r="G10" t="s">
        <v>54</v>
      </c>
      <c r="H10" s="2">
        <v>30000</v>
      </c>
      <c r="I10" t="s">
        <v>55</v>
      </c>
      <c r="J10" t="s">
        <v>56</v>
      </c>
      <c r="K10" t="s">
        <v>57</v>
      </c>
      <c r="L10" t="s">
        <v>58</v>
      </c>
    </row>
    <row r="11" spans="1:12" ht="30" customHeight="1" x14ac:dyDescent="0.25">
      <c r="A11" t="s">
        <v>83</v>
      </c>
      <c r="B11" t="s">
        <v>23</v>
      </c>
      <c r="C11" t="s">
        <v>16</v>
      </c>
      <c r="D11" t="s">
        <v>59</v>
      </c>
      <c r="F11" t="s">
        <v>60</v>
      </c>
      <c r="G11" t="s">
        <v>19</v>
      </c>
      <c r="H11" s="2">
        <v>37396.58</v>
      </c>
      <c r="I11" t="s">
        <v>61</v>
      </c>
      <c r="K11" t="s">
        <v>62</v>
      </c>
    </row>
    <row r="12" spans="1:12" ht="30" customHeight="1" x14ac:dyDescent="0.25">
      <c r="A12" t="s">
        <v>84</v>
      </c>
      <c r="B12" t="s">
        <v>23</v>
      </c>
      <c r="C12" t="s">
        <v>16</v>
      </c>
      <c r="D12" t="s">
        <v>63</v>
      </c>
      <c r="F12" t="s">
        <v>64</v>
      </c>
      <c r="G12" t="s">
        <v>54</v>
      </c>
      <c r="H12" s="2">
        <v>14539.43</v>
      </c>
      <c r="I12" t="s">
        <v>65</v>
      </c>
      <c r="K12" t="s">
        <v>66</v>
      </c>
    </row>
    <row r="13" spans="1:12" x14ac:dyDescent="0.25">
      <c r="A13" s="1"/>
      <c r="B13" s="1"/>
      <c r="C13" s="1"/>
      <c r="D13" s="1" t="s">
        <v>67</v>
      </c>
      <c r="E13" s="1"/>
      <c r="F13" s="1"/>
      <c r="G13" s="1"/>
      <c r="H13" s="3">
        <f>SUM(H4:H12)</f>
        <v>208727.52000000002</v>
      </c>
      <c r="I13" s="1"/>
      <c r="J13" s="1"/>
      <c r="K13" s="1"/>
      <c r="L13" s="1"/>
    </row>
  </sheetData>
  <mergeCells count="2">
    <mergeCell ref="A2:F2"/>
    <mergeCell ref="G2:L2"/>
  </mergeCells>
  <pageMargins left="0.7" right="0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64EB-8073-433E-AF9B-189C33902575}">
  <sheetPr>
    <pageSetUpPr fitToPage="1"/>
  </sheetPr>
  <dimension ref="A1:H22"/>
  <sheetViews>
    <sheetView topLeftCell="A9" workbookViewId="0">
      <selection activeCell="C15" sqref="C15"/>
    </sheetView>
  </sheetViews>
  <sheetFormatPr defaultRowHeight="15" x14ac:dyDescent="0.25"/>
  <cols>
    <col min="1" max="1" width="17.42578125" customWidth="1"/>
    <col min="2" max="2" width="11.28515625" customWidth="1"/>
    <col min="3" max="3" width="19.28515625" customWidth="1"/>
    <col min="4" max="4" width="11.85546875" customWidth="1"/>
    <col min="5" max="5" width="15.140625" customWidth="1"/>
    <col min="6" max="6" width="15.5703125" customWidth="1"/>
    <col min="7" max="7" width="10.28515625" customWidth="1"/>
    <col min="8" max="8" width="16.28515625" customWidth="1"/>
  </cols>
  <sheetData>
    <row r="1" spans="1:8" x14ac:dyDescent="0.25">
      <c r="E1" s="4"/>
      <c r="H1" s="4">
        <v>45947.999988425923</v>
      </c>
    </row>
    <row r="2" spans="1:8" x14ac:dyDescent="0.25">
      <c r="A2" s="8" t="s">
        <v>0</v>
      </c>
      <c r="B2" s="8"/>
      <c r="C2" s="9"/>
      <c r="D2" s="9"/>
      <c r="E2" s="10" t="s">
        <v>68</v>
      </c>
      <c r="F2" s="9"/>
      <c r="G2" s="9"/>
      <c r="H2" s="9"/>
    </row>
    <row r="3" spans="1:8" x14ac:dyDescent="0.25">
      <c r="A3" t="s">
        <v>7</v>
      </c>
      <c r="B3" t="s">
        <v>73</v>
      </c>
      <c r="C3" t="s">
        <v>8</v>
      </c>
      <c r="D3" t="s">
        <v>69</v>
      </c>
      <c r="E3" t="s">
        <v>70</v>
      </c>
      <c r="F3" t="s">
        <v>71</v>
      </c>
      <c r="G3" t="s">
        <v>74</v>
      </c>
      <c r="H3" t="s">
        <v>72</v>
      </c>
    </row>
    <row r="4" spans="1:8" ht="24.95" customHeight="1" x14ac:dyDescent="0.25">
      <c r="A4" t="s">
        <v>46</v>
      </c>
      <c r="C4" t="s">
        <v>19</v>
      </c>
      <c r="D4" s="2">
        <v>650</v>
      </c>
      <c r="E4" s="2">
        <v>0</v>
      </c>
      <c r="F4" s="5">
        <v>23544.44</v>
      </c>
      <c r="G4" s="2"/>
      <c r="H4" s="2">
        <v>23619.439999999999</v>
      </c>
    </row>
    <row r="5" spans="1:8" ht="24.95" customHeight="1" x14ac:dyDescent="0.25">
      <c r="D5" s="2"/>
      <c r="E5" s="2"/>
      <c r="F5" s="5"/>
      <c r="G5" s="2"/>
      <c r="H5" s="2"/>
    </row>
    <row r="6" spans="1:8" ht="24.95" customHeight="1" x14ac:dyDescent="0.25">
      <c r="A6" t="s">
        <v>64</v>
      </c>
      <c r="C6" t="s">
        <v>54</v>
      </c>
      <c r="D6" s="2">
        <v>300</v>
      </c>
      <c r="E6" s="2">
        <v>0</v>
      </c>
      <c r="F6" s="5">
        <v>14464.43</v>
      </c>
      <c r="G6" s="2"/>
      <c r="H6" s="2">
        <v>14539.43</v>
      </c>
    </row>
    <row r="7" spans="1:8" ht="24.95" customHeight="1" x14ac:dyDescent="0.25">
      <c r="D7" s="2"/>
      <c r="E7" s="2"/>
      <c r="F7" s="5"/>
      <c r="G7" s="2"/>
      <c r="H7" s="2"/>
    </row>
    <row r="8" spans="1:8" ht="24.95" customHeight="1" x14ac:dyDescent="0.25">
      <c r="A8" t="s">
        <v>53</v>
      </c>
      <c r="C8" t="s">
        <v>54</v>
      </c>
      <c r="D8" s="2">
        <v>850</v>
      </c>
      <c r="E8" s="2">
        <v>0</v>
      </c>
      <c r="F8" s="5">
        <v>29925</v>
      </c>
      <c r="G8" s="2"/>
      <c r="H8" s="2">
        <v>30000</v>
      </c>
    </row>
    <row r="9" spans="1:8" ht="24.95" customHeight="1" x14ac:dyDescent="0.25">
      <c r="D9" s="2"/>
      <c r="E9" s="2"/>
      <c r="F9" s="5"/>
      <c r="G9" s="2"/>
      <c r="H9" s="2"/>
    </row>
    <row r="10" spans="1:8" ht="24.95" customHeight="1" x14ac:dyDescent="0.25">
      <c r="A10" t="s">
        <v>41</v>
      </c>
      <c r="B10" s="6" t="s">
        <v>77</v>
      </c>
      <c r="C10" t="s">
        <v>19</v>
      </c>
      <c r="D10" s="2">
        <v>500</v>
      </c>
      <c r="E10" s="2">
        <v>0</v>
      </c>
      <c r="F10" s="5">
        <v>17400.310000000001</v>
      </c>
      <c r="G10" s="2"/>
      <c r="H10" s="2">
        <v>17475.310000000001</v>
      </c>
    </row>
    <row r="11" spans="1:8" ht="24.95" customHeight="1" x14ac:dyDescent="0.25">
      <c r="D11" s="2"/>
      <c r="E11" s="2"/>
      <c r="F11" s="5"/>
      <c r="G11" s="2"/>
      <c r="H11" s="2"/>
    </row>
    <row r="12" spans="1:8" ht="24.95" customHeight="1" x14ac:dyDescent="0.25">
      <c r="A12" t="s">
        <v>37</v>
      </c>
      <c r="C12" t="s">
        <v>19</v>
      </c>
      <c r="D12" s="2">
        <v>500</v>
      </c>
      <c r="E12" s="2">
        <v>0</v>
      </c>
      <c r="F12" s="5">
        <v>15538.33</v>
      </c>
      <c r="G12" s="2"/>
      <c r="H12" s="2">
        <v>15613.33</v>
      </c>
    </row>
    <row r="13" spans="1:8" ht="24.95" customHeight="1" x14ac:dyDescent="0.25">
      <c r="D13" s="2"/>
      <c r="E13" s="2"/>
      <c r="F13" s="5"/>
      <c r="G13" s="2"/>
      <c r="H13" s="2"/>
    </row>
    <row r="14" spans="1:8" ht="24.95" customHeight="1" x14ac:dyDescent="0.25">
      <c r="A14" t="s">
        <v>60</v>
      </c>
      <c r="C14" t="s">
        <v>19</v>
      </c>
      <c r="D14" s="2">
        <v>950</v>
      </c>
      <c r="E14" s="2">
        <v>0</v>
      </c>
      <c r="F14" s="5">
        <v>37321.58</v>
      </c>
      <c r="G14" s="2"/>
      <c r="H14" s="2">
        <v>37396.58</v>
      </c>
    </row>
    <row r="15" spans="1:8" ht="24.95" customHeight="1" x14ac:dyDescent="0.25">
      <c r="D15" s="2"/>
      <c r="E15" s="2"/>
      <c r="F15" s="5"/>
      <c r="G15" s="2"/>
      <c r="H15" s="2"/>
    </row>
    <row r="16" spans="1:8" ht="24.95" customHeight="1" x14ac:dyDescent="0.25">
      <c r="A16" t="s">
        <v>32</v>
      </c>
      <c r="C16" t="s">
        <v>19</v>
      </c>
      <c r="D16" s="2">
        <v>750</v>
      </c>
      <c r="E16" s="2">
        <v>0</v>
      </c>
      <c r="F16" s="5">
        <v>25762.21</v>
      </c>
      <c r="G16" s="2"/>
      <c r="H16" s="2">
        <v>25837.21</v>
      </c>
    </row>
    <row r="17" spans="1:8" ht="24.95" customHeight="1" x14ac:dyDescent="0.25">
      <c r="D17" s="2"/>
      <c r="E17" s="2"/>
      <c r="F17" s="5"/>
      <c r="G17" s="2"/>
      <c r="H17" s="2"/>
    </row>
    <row r="18" spans="1:8" ht="24.95" customHeight="1" x14ac:dyDescent="0.25">
      <c r="A18" t="s">
        <v>27</v>
      </c>
      <c r="C18" t="s">
        <v>19</v>
      </c>
      <c r="D18" s="2">
        <v>850</v>
      </c>
      <c r="E18" s="2">
        <v>0</v>
      </c>
      <c r="F18" s="5">
        <v>31976</v>
      </c>
      <c r="G18" s="2"/>
      <c r="H18" s="2">
        <v>32051</v>
      </c>
    </row>
    <row r="19" spans="1:8" ht="24.95" customHeight="1" x14ac:dyDescent="0.25">
      <c r="D19" s="2"/>
      <c r="E19" s="2"/>
      <c r="F19" s="5"/>
      <c r="G19" s="2"/>
      <c r="H19" s="2"/>
    </row>
    <row r="20" spans="1:8" ht="24.95" customHeight="1" x14ac:dyDescent="0.25">
      <c r="A20" t="s">
        <v>18</v>
      </c>
      <c r="C20" t="s">
        <v>19</v>
      </c>
      <c r="D20" s="2">
        <v>300</v>
      </c>
      <c r="E20" s="2">
        <v>0</v>
      </c>
      <c r="F20" s="5">
        <v>12120.22</v>
      </c>
      <c r="G20" s="2"/>
      <c r="H20" s="2">
        <v>12195.22</v>
      </c>
    </row>
    <row r="21" spans="1:8" ht="24.95" customHeight="1" x14ac:dyDescent="0.25">
      <c r="D21" s="2"/>
      <c r="E21" s="2"/>
      <c r="F21" s="2"/>
      <c r="G21" s="2"/>
      <c r="H21" s="2"/>
    </row>
    <row r="22" spans="1:8" x14ac:dyDescent="0.25">
      <c r="A22" s="1"/>
      <c r="B22" s="1"/>
      <c r="C22" s="1"/>
      <c r="D22" s="3">
        <f>SUM(D4:D20)</f>
        <v>5650</v>
      </c>
      <c r="E22" s="3">
        <f>SUM(E4:E20)</f>
        <v>0</v>
      </c>
      <c r="F22" s="3">
        <f>SUM(F4:F20)</f>
        <v>208052.52</v>
      </c>
      <c r="G22" s="3"/>
      <c r="H22" s="3">
        <f>SUM(H4:H20)</f>
        <v>208727.52</v>
      </c>
    </row>
  </sheetData>
  <mergeCells count="2">
    <mergeCell ref="A2:D2"/>
    <mergeCell ref="E2:H2"/>
  </mergeCells>
  <pageMargins left="0.7" right="0.7" top="0.75" bottom="0.75" header="0.3" footer="0.3"/>
  <pageSetup scale="9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6CB7-305F-4CEA-96C2-8CD5E6671333}">
  <dimension ref="A1:F6"/>
  <sheetViews>
    <sheetView workbookViewId="0">
      <selection activeCell="E16" sqref="E16"/>
    </sheetView>
  </sheetViews>
  <sheetFormatPr defaultRowHeight="15" x14ac:dyDescent="0.25"/>
  <cols>
    <col min="1" max="1" width="14.7109375" customWidth="1"/>
    <col min="2" max="2" width="17.28515625" customWidth="1"/>
    <col min="3" max="3" width="14.28515625" customWidth="1"/>
    <col min="4" max="4" width="14.7109375" customWidth="1"/>
    <col min="5" max="5" width="15" customWidth="1"/>
    <col min="6" max="6" width="21" customWidth="1"/>
  </cols>
  <sheetData>
    <row r="1" spans="1:6" x14ac:dyDescent="0.25">
      <c r="D1" s="4"/>
      <c r="F1" s="4">
        <v>45947.999988425923</v>
      </c>
    </row>
    <row r="2" spans="1:6" x14ac:dyDescent="0.25">
      <c r="A2" s="8" t="s">
        <v>0</v>
      </c>
      <c r="B2" s="9"/>
      <c r="C2" s="9"/>
      <c r="D2" s="10" t="s">
        <v>75</v>
      </c>
      <c r="E2" s="9"/>
      <c r="F2" s="9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x14ac:dyDescent="0.25">
      <c r="A4" t="s">
        <v>22</v>
      </c>
      <c r="B4" t="s">
        <v>24</v>
      </c>
      <c r="C4" t="s">
        <v>25</v>
      </c>
      <c r="D4" t="s">
        <v>26</v>
      </c>
      <c r="E4" t="s">
        <v>27</v>
      </c>
    </row>
    <row r="5" spans="1:6" x14ac:dyDescent="0.25">
      <c r="A5" t="s">
        <v>35</v>
      </c>
      <c r="B5" t="s">
        <v>24</v>
      </c>
      <c r="C5" t="s">
        <v>36</v>
      </c>
      <c r="E5" t="s">
        <v>37</v>
      </c>
    </row>
    <row r="6" spans="1:6" x14ac:dyDescent="0.25">
      <c r="A6" s="1"/>
      <c r="B6" s="1"/>
      <c r="C6" s="1" t="s">
        <v>76</v>
      </c>
      <c r="D6" s="1"/>
      <c r="E6" s="1"/>
      <c r="F6" s="1"/>
    </row>
  </sheetData>
  <mergeCells count="2">
    <mergeCell ref="A2:C2"/>
    <mergeCell ref="D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2025-10-17T18:42:38Z</cp:lastPrinted>
  <dcterms:created xsi:type="dcterms:W3CDTF">2025-10-17T18:32:19Z</dcterms:created>
  <dcterms:modified xsi:type="dcterms:W3CDTF">2025-10-17T19:06:13Z</dcterms:modified>
</cp:coreProperties>
</file>