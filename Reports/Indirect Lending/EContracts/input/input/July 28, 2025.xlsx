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9F79749-3ACB-4192-B3EC-B40318B6DC1E}" xr6:coauthVersionLast="47" xr6:coauthVersionMax="47" xr10:uidLastSave="{00000000-0000-0000-0000-000000000000}"/>
  <bookViews>
    <workbookView xWindow="0" yWindow="600" windowWidth="29040" windowHeight="1560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30" i="1"/>
  <c r="F25" i="1"/>
  <c r="F18" i="1"/>
  <c r="F12" i="1"/>
  <c r="F7" i="1"/>
  <c r="H32" i="1"/>
  <c r="H31" i="1"/>
  <c r="E31" i="1"/>
  <c r="D31" i="1"/>
  <c r="C31" i="1"/>
</calcChain>
</file>

<file path=xl/sharedStrings.xml><?xml version="1.0" encoding="utf-8"?>
<sst xmlns="http://schemas.openxmlformats.org/spreadsheetml/2006/main" count="206" uniqueCount="114">
  <si>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</si>
  <si>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</si>
  <si>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</si>
  <si>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</si>
  <si>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</si>
  <si>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</si>
  <si>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</si>
  <si>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</si>
  <si>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</si>
  <si>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</si>
  <si>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</si>
  <si>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</si>
  <si>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Alden Mazda</t>
  </si>
  <si>
    <t>Neli Oliveira</t>
  </si>
  <si>
    <t>Lucchettis Service Center Inc</t>
  </si>
  <si>
    <t>Mathieu Ford Sales, Inc</t>
  </si>
  <si>
    <t>Patriot Auto Group Inc d/b/a</t>
  </si>
  <si>
    <t>Planet Subaru</t>
  </si>
  <si>
    <t>Priority Automotive LLC</t>
  </si>
  <si>
    <t>Salvadore Chevrolet</t>
  </si>
  <si>
    <t>T F Murphy Enterprises Inc</t>
  </si>
  <si>
    <t>Tasca Ford</t>
  </si>
  <si>
    <t>Wareham Ford</t>
  </si>
  <si>
    <t>Column1</t>
  </si>
  <si>
    <t>Column2</t>
  </si>
  <si>
    <t># 17</t>
  </si>
  <si>
    <t>SUOMI</t>
  </si>
  <si>
    <t>jranthannu@gmail.com</t>
  </si>
  <si>
    <t>Hannu, Grant</t>
  </si>
  <si>
    <t>E Contract</t>
  </si>
  <si>
    <t>Route One</t>
  </si>
  <si>
    <t>151207092e</t>
  </si>
  <si>
    <t>GOULET</t>
  </si>
  <si>
    <t>JOHANSENJESSICA1@GMAIL.COM</t>
  </si>
  <si>
    <t>JOHANSEN, JESSICA</t>
  </si>
  <si>
    <t>151207026e</t>
  </si>
  <si>
    <t>Powers</t>
  </si>
  <si>
    <t>AGMARQUES22@GMAIL.COM</t>
  </si>
  <si>
    <t>MARQUES, ANDREW</t>
  </si>
  <si>
    <t>151207018e</t>
  </si>
  <si>
    <t>Kaiser</t>
  </si>
  <si>
    <t>GREGGYB8@AOL.COM</t>
  </si>
  <si>
    <t>BARRETT, GREGORY</t>
  </si>
  <si>
    <t>151206995e</t>
  </si>
  <si>
    <t>Witcomb</t>
  </si>
  <si>
    <t>LGUERCIO@GMAIL.COM</t>
  </si>
  <si>
    <t>GUERCIO, LINDSAY</t>
  </si>
  <si>
    <t>DealerTrack</t>
  </si>
  <si>
    <t>151206987e</t>
  </si>
  <si>
    <t>McGowan</t>
  </si>
  <si>
    <t>CATHYCONC@COMCAST.NET</t>
  </si>
  <si>
    <t>CONCANNON, CATHERINE</t>
  </si>
  <si>
    <t>151206937e</t>
  </si>
  <si>
    <t>KENDALL</t>
  </si>
  <si>
    <t>kkendall0488@gmail.com</t>
  </si>
  <si>
    <t>Kendall, Katherine</t>
  </si>
  <si>
    <t>151206896e</t>
  </si>
  <si>
    <t>ROUSEAU</t>
  </si>
  <si>
    <t>CRAZYTELELADY@GMAIL.COM</t>
  </si>
  <si>
    <t>JOHANSEN, SHEILLA</t>
  </si>
  <si>
    <t>151206888e</t>
  </si>
  <si>
    <t>Marquis</t>
  </si>
  <si>
    <t>DIOTALEVI, STEVEN</t>
  </si>
  <si>
    <t>151206870e</t>
  </si>
  <si>
    <t>DIK</t>
  </si>
  <si>
    <t>Ivbabitski@gmail.com</t>
  </si>
  <si>
    <t>BABITSKI, IHAR</t>
  </si>
  <si>
    <t>151206862e</t>
  </si>
  <si>
    <t>HELLMAN</t>
  </si>
  <si>
    <t>FARRELL</t>
  </si>
  <si>
    <t>devilpup1@verizon.net</t>
  </si>
  <si>
    <t>HELMUTH, J SCOTT</t>
  </si>
  <si>
    <t>HELMUTH, MARY</t>
  </si>
  <si>
    <t>151206854e</t>
  </si>
  <si>
    <t>Adams</t>
  </si>
  <si>
    <t>briancroteau0@gmail.com</t>
  </si>
  <si>
    <t>Croteau, Brian</t>
  </si>
  <si>
    <t>151206838e</t>
  </si>
  <si>
    <t>OConnor</t>
  </si>
  <si>
    <t>huntjn@yahoo.com</t>
  </si>
  <si>
    <t>HUNT, JILLIAN</t>
  </si>
  <si>
    <t>151206789e</t>
  </si>
  <si>
    <t>Perez</t>
  </si>
  <si>
    <t>ABNERF50@GMAIL.COM</t>
  </si>
  <si>
    <t>DE LEON, ABNER</t>
  </si>
  <si>
    <t>151206771e</t>
  </si>
  <si>
    <t>Gruttadauria</t>
  </si>
  <si>
    <t>ecarpenito@bourneps.org</t>
  </si>
  <si>
    <t>CARPENITO, ELIZABETH</t>
  </si>
  <si>
    <t>151206763e</t>
  </si>
  <si>
    <t>STANISLAWZYK</t>
  </si>
  <si>
    <t>TONELLI</t>
  </si>
  <si>
    <t>MCK410@VERIZON.NET</t>
  </si>
  <si>
    <t>CUMMINGS, MAUREEN</t>
  </si>
  <si>
    <t>CUMMINGS, RICHARD</t>
  </si>
  <si>
    <t>151206739e</t>
  </si>
  <si>
    <t>GARFORTH</t>
  </si>
  <si>
    <t>TURIN</t>
  </si>
  <si>
    <t>DAISY142536@GMAIL.COM</t>
  </si>
  <si>
    <t>CRIPPEN, ALASTAIR</t>
  </si>
  <si>
    <t>FARRELL, DAISY</t>
  </si>
  <si>
    <t>151206507e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</si>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</sst>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2B632AD0-0A59-4191-99BF-6831F1527E0F}"/>
  </cellStyles>
  <dxfs count="18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2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D02243E7-BDC0-4D7C-94D2-D2D49463A525}" name="Column1" dataDxfId="16"/>
    <tableColumn id="8" xr3:uid="{F205D02A-F896-478E-B7E9-AFB81EFB11ED}" name="Column2" dataDxfId="17"/>
    <tableColumn id="6" xr3:uid="{00000000-0010-0000-0000-000006000000}" name="Contracted Amount Financed" totalsRowFunction="custom">
      <totalsRowFormula>COUNT(H4:H30)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22A8F-80AC-4CD5-874E-A037D8A199D2}" name="Table_13" displayName="Table_13" ref="A3:M21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workbookViewId="0">
      <pane ySplit="3" topLeftCell="A4" activePane="bottomLeft" state="frozen"/>
      <selection pane="bottomLeft" activeCell="F30" sqref="F30"/>
    </sheetView>
  </sheetViews>
  <sheetFormatPr defaultRowHeight="15" x14ac:dyDescent="0.25"/>
  <cols>
    <col min="1" max="1" width="27.85546875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45866</v>
      </c>
      <c r="E1" t="s">
        <v>2</v>
      </c>
      <c r="H1" s="4">
        <v>45866.999988425923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31705.19</v>
      </c>
      <c r="F4" s="2"/>
      <c r="G4" s="2"/>
      <c r="H4" s="2">
        <v>31780.19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650</v>
      </c>
      <c r="D6" s="2">
        <v>0</v>
      </c>
      <c r="E6" s="2">
        <v>21134.75</v>
      </c>
      <c r="F6" s="2"/>
      <c r="G6" s="2"/>
      <c r="H6" s="2">
        <v>21209.75</v>
      </c>
    </row>
    <row r="7" spans="1:8" x14ac:dyDescent="0.25">
      <c r="A7" t="s">
        <v>12</v>
      </c>
      <c r="B7" t="s">
        <v>13</v>
      </c>
      <c r="C7" s="2">
        <v>500</v>
      </c>
      <c r="D7" s="2">
        <v>0</v>
      </c>
      <c r="E7" s="2">
        <v>15058.19</v>
      </c>
      <c r="F7" s="2">
        <f>SUM(E6:E7)</f>
        <v>36192.94</v>
      </c>
      <c r="G7" s="2"/>
      <c r="H7" s="2">
        <v>15133.19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11</v>
      </c>
      <c r="C9" s="2">
        <v>850</v>
      </c>
      <c r="D9" s="2">
        <v>0</v>
      </c>
      <c r="E9" s="2">
        <v>30043.88</v>
      </c>
      <c r="F9" s="2"/>
      <c r="G9" s="2"/>
      <c r="H9" s="2">
        <v>30118.880000000001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750</v>
      </c>
      <c r="D11" s="2">
        <v>0</v>
      </c>
      <c r="E11" s="2">
        <v>29552</v>
      </c>
      <c r="F11" s="2"/>
      <c r="G11" s="2"/>
      <c r="H11" s="2">
        <v>29627</v>
      </c>
    </row>
    <row r="12" spans="1:8" x14ac:dyDescent="0.25">
      <c r="A12" t="s">
        <v>15</v>
      </c>
      <c r="B12" t="s">
        <v>11</v>
      </c>
      <c r="C12" s="2">
        <v>1350</v>
      </c>
      <c r="D12" s="2">
        <v>0</v>
      </c>
      <c r="E12" s="2">
        <v>63124.12</v>
      </c>
      <c r="F12" s="2">
        <f>SUM(E11:E12)</f>
        <v>92676.12</v>
      </c>
      <c r="G12" s="2"/>
      <c r="H12" s="2">
        <v>63199.12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13</v>
      </c>
      <c r="C14" s="2">
        <v>500</v>
      </c>
      <c r="D14" s="2">
        <v>0</v>
      </c>
      <c r="E14" s="2">
        <v>15432.63</v>
      </c>
      <c r="F14" s="2"/>
      <c r="G14" s="2"/>
      <c r="H14" s="2">
        <v>15507.63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11</v>
      </c>
      <c r="C16" s="2">
        <v>650</v>
      </c>
      <c r="D16" s="2">
        <v>0</v>
      </c>
      <c r="E16" s="2">
        <v>22565.13</v>
      </c>
      <c r="F16" s="2"/>
      <c r="G16" s="2"/>
      <c r="H16" s="2">
        <v>22640.13</v>
      </c>
    </row>
    <row r="17" spans="1:8" x14ac:dyDescent="0.25">
      <c r="A17" t="s">
        <v>17</v>
      </c>
      <c r="B17" t="s">
        <v>11</v>
      </c>
      <c r="C17" s="2">
        <v>500</v>
      </c>
      <c r="D17" s="2">
        <v>0</v>
      </c>
      <c r="E17" s="2">
        <v>16795</v>
      </c>
      <c r="F17" s="2"/>
      <c r="G17" s="2"/>
      <c r="H17" s="2">
        <v>16870</v>
      </c>
    </row>
    <row r="18" spans="1:8" x14ac:dyDescent="0.25">
      <c r="A18" t="s">
        <v>17</v>
      </c>
      <c r="B18" t="s">
        <v>11</v>
      </c>
      <c r="C18" s="2">
        <v>750</v>
      </c>
      <c r="D18" s="2">
        <v>0</v>
      </c>
      <c r="E18" s="2">
        <v>28817.98</v>
      </c>
      <c r="F18" s="2">
        <f>SUM(E16:E18)</f>
        <v>68178.11</v>
      </c>
      <c r="G18" s="2"/>
      <c r="H18" s="2">
        <v>28892.98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18</v>
      </c>
      <c r="B20" t="s">
        <v>11</v>
      </c>
      <c r="C20" s="2">
        <v>650</v>
      </c>
      <c r="D20" s="2">
        <v>0</v>
      </c>
      <c r="E20" s="2">
        <v>21711.25</v>
      </c>
      <c r="F20" s="2"/>
      <c r="G20" s="2"/>
      <c r="H20" s="2">
        <v>21786.25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19</v>
      </c>
      <c r="B22" t="s">
        <v>13</v>
      </c>
      <c r="C22" s="2">
        <v>750</v>
      </c>
      <c r="D22" s="2">
        <v>0</v>
      </c>
      <c r="E22" s="2">
        <v>29144</v>
      </c>
      <c r="F22" s="2"/>
      <c r="G22" s="2"/>
      <c r="H22" s="2">
        <v>29219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20</v>
      </c>
      <c r="B24" t="s">
        <v>11</v>
      </c>
      <c r="C24" s="2">
        <v>1050</v>
      </c>
      <c r="D24" s="2">
        <v>0</v>
      </c>
      <c r="E24" s="2">
        <v>40033.08</v>
      </c>
      <c r="F24" s="2"/>
      <c r="G24" s="2"/>
      <c r="H24" s="2">
        <v>40108.080000000002</v>
      </c>
    </row>
    <row r="25" spans="1:8" x14ac:dyDescent="0.25">
      <c r="A25" t="s">
        <v>20</v>
      </c>
      <c r="B25" t="s">
        <v>11</v>
      </c>
      <c r="C25" s="2">
        <v>950</v>
      </c>
      <c r="D25" s="2">
        <v>0</v>
      </c>
      <c r="E25" s="2">
        <v>39329.379999999997</v>
      </c>
      <c r="F25" s="2">
        <f>SUM(E24:E25)</f>
        <v>79362.459999999992</v>
      </c>
      <c r="G25" s="2"/>
      <c r="H25" s="2">
        <v>39404.379999999997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21</v>
      </c>
      <c r="B27" t="s">
        <v>13</v>
      </c>
      <c r="C27" s="2">
        <v>950</v>
      </c>
      <c r="D27" s="2">
        <v>0</v>
      </c>
      <c r="E27" s="2">
        <v>35637.83</v>
      </c>
      <c r="F27" s="2"/>
      <c r="G27" s="2"/>
      <c r="H27" s="2">
        <v>35712.83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22</v>
      </c>
      <c r="B29" t="s">
        <v>11</v>
      </c>
      <c r="C29" s="2">
        <v>1050</v>
      </c>
      <c r="D29" s="2">
        <v>0</v>
      </c>
      <c r="E29" s="2">
        <v>40038.17</v>
      </c>
      <c r="F29" s="2"/>
      <c r="G29" s="2"/>
      <c r="H29" s="2">
        <v>40113.17</v>
      </c>
    </row>
    <row r="30" spans="1:8" x14ac:dyDescent="0.25">
      <c r="A30" t="s">
        <v>22</v>
      </c>
      <c r="B30" t="s">
        <v>11</v>
      </c>
      <c r="C30" s="2">
        <v>1050</v>
      </c>
      <c r="D30" s="2">
        <v>0</v>
      </c>
      <c r="E30" s="2">
        <v>44007.81</v>
      </c>
      <c r="F30" s="2">
        <f>SUM(E29:E30)</f>
        <v>84045.98</v>
      </c>
      <c r="G30" s="2"/>
      <c r="H30" s="2">
        <v>44082.81</v>
      </c>
    </row>
    <row r="31" spans="1:8" x14ac:dyDescent="0.25">
      <c r="A31" s="1"/>
      <c r="B31" s="1"/>
      <c r="C31" s="3">
        <f>SUM(C4:C30)</f>
        <v>13800</v>
      </c>
      <c r="D31" s="3">
        <f>SUM(D4:D30)</f>
        <v>0</v>
      </c>
      <c r="E31" s="3">
        <f>SUM(E4:E30)</f>
        <v>524130.39</v>
      </c>
      <c r="F31" s="3"/>
      <c r="G31" s="3"/>
      <c r="H31" s="3">
        <f>SUM(H4:H30)</f>
        <v>525405.39</v>
      </c>
    </row>
    <row r="32" spans="1:8" x14ac:dyDescent="0.25">
      <c r="H32">
        <f>COUNT(H4:H30)</f>
        <v>17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E885-9A8B-44FC-8824-F6B7552C7A75}">
  <sheetPr>
    <pageSetUpPr fitToPage="1"/>
  </sheetPr>
  <dimension ref="A1:M24"/>
  <sheetViews>
    <sheetView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5" style="8" bestFit="1" customWidth="1"/>
    <col min="5" max="5" width="21.5703125" style="8" bestFit="1" customWidth="1"/>
    <col min="6" max="6" width="27.85546875" style="8" bestFit="1" customWidth="1"/>
    <col min="7" max="7" width="17.7109375" style="8" bestFit="1" customWidth="1"/>
    <col min="8" max="8" width="17.140625" style="8" bestFit="1" customWidth="1"/>
    <col min="9" max="9" width="31.5703125" style="8" bestFit="1" customWidth="1"/>
    <col min="10" max="10" width="23" style="8" bestFit="1" customWidth="1"/>
    <col min="11" max="11" width="13.140625" style="8" bestFit="1" customWidth="1"/>
    <col min="12" max="12" width="15.28515625" style="8" bestFit="1" customWidth="1"/>
    <col min="13" max="13" width="15.140625" style="8" bestFit="1" customWidth="1"/>
    <col min="14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45866</v>
      </c>
      <c r="L1" s="9" t="s">
        <v>2</v>
      </c>
      <c r="M1" s="10">
        <v>45866.999988425923</v>
      </c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113</v>
      </c>
      <c r="H2" s="12"/>
      <c r="I2" s="12"/>
      <c r="J2" s="12"/>
      <c r="K2" s="12"/>
      <c r="L2" s="12"/>
      <c r="M2" s="12"/>
    </row>
    <row r="3" spans="1:13" ht="35.1" customHeight="1" x14ac:dyDescent="0.25">
      <c r="A3" s="9" t="s">
        <v>112</v>
      </c>
      <c r="B3" s="9" t="s">
        <v>111</v>
      </c>
      <c r="C3" s="9" t="s">
        <v>110</v>
      </c>
      <c r="D3" s="9" t="s">
        <v>109</v>
      </c>
      <c r="E3" s="9" t="s">
        <v>108</v>
      </c>
      <c r="F3" s="9" t="s">
        <v>4</v>
      </c>
      <c r="G3" s="9" t="s">
        <v>5</v>
      </c>
      <c r="H3" s="9" t="s">
        <v>107</v>
      </c>
      <c r="I3" s="9" t="s">
        <v>106</v>
      </c>
      <c r="J3" s="9" t="s">
        <v>105</v>
      </c>
      <c r="K3" s="9" t="s">
        <v>104</v>
      </c>
      <c r="L3" s="9" t="s">
        <v>103</v>
      </c>
      <c r="M3" s="9" t="s">
        <v>102</v>
      </c>
    </row>
    <row r="4" spans="1:13" ht="35.1" customHeight="1" x14ac:dyDescent="0.25">
      <c r="A4" s="9" t="s">
        <v>101</v>
      </c>
      <c r="B4" s="9" t="s">
        <v>47</v>
      </c>
      <c r="C4" s="9" t="s">
        <v>29</v>
      </c>
      <c r="D4" s="9" t="s">
        <v>100</v>
      </c>
      <c r="E4" s="9" t="s">
        <v>99</v>
      </c>
      <c r="F4" s="9" t="s">
        <v>17</v>
      </c>
      <c r="G4" s="9" t="s">
        <v>11</v>
      </c>
      <c r="H4" s="14">
        <v>22640.13</v>
      </c>
      <c r="I4" s="9" t="s">
        <v>98</v>
      </c>
      <c r="J4" s="9"/>
      <c r="K4" s="9" t="s">
        <v>97</v>
      </c>
      <c r="L4" s="9" t="s">
        <v>96</v>
      </c>
      <c r="M4" s="9"/>
    </row>
    <row r="5" spans="1:13" ht="35.1" customHeight="1" x14ac:dyDescent="0.25">
      <c r="A5" s="9" t="s">
        <v>95</v>
      </c>
      <c r="B5" s="9" t="s">
        <v>30</v>
      </c>
      <c r="C5" s="9" t="s">
        <v>29</v>
      </c>
      <c r="D5" s="9" t="s">
        <v>94</v>
      </c>
      <c r="E5" s="9" t="s">
        <v>93</v>
      </c>
      <c r="F5" s="9" t="s">
        <v>10</v>
      </c>
      <c r="G5" s="9" t="s">
        <v>11</v>
      </c>
      <c r="H5" s="14">
        <v>31780.19</v>
      </c>
      <c r="I5" s="9" t="s">
        <v>92</v>
      </c>
      <c r="J5" s="9" t="s">
        <v>92</v>
      </c>
      <c r="K5" s="9" t="s">
        <v>91</v>
      </c>
      <c r="L5" s="9" t="s">
        <v>90</v>
      </c>
      <c r="M5" s="9"/>
    </row>
    <row r="6" spans="1:13" ht="35.1" customHeight="1" x14ac:dyDescent="0.25">
      <c r="A6" s="9" t="s">
        <v>89</v>
      </c>
      <c r="B6" s="9" t="s">
        <v>30</v>
      </c>
      <c r="C6" s="9" t="s">
        <v>29</v>
      </c>
      <c r="D6" s="9" t="s">
        <v>88</v>
      </c>
      <c r="E6" s="9"/>
      <c r="F6" s="9" t="s">
        <v>20</v>
      </c>
      <c r="G6" s="9" t="s">
        <v>11</v>
      </c>
      <c r="H6" s="14">
        <v>39404.379999999997</v>
      </c>
      <c r="I6" s="9" t="s">
        <v>87</v>
      </c>
      <c r="J6" s="9"/>
      <c r="K6" s="9" t="s">
        <v>86</v>
      </c>
      <c r="L6" s="9"/>
      <c r="M6" s="9"/>
    </row>
    <row r="7" spans="1:13" ht="35.1" customHeight="1" x14ac:dyDescent="0.25">
      <c r="A7" s="9" t="s">
        <v>85</v>
      </c>
      <c r="B7" s="9" t="s">
        <v>47</v>
      </c>
      <c r="C7" s="9" t="s">
        <v>29</v>
      </c>
      <c r="D7" s="9" t="s">
        <v>84</v>
      </c>
      <c r="E7" s="9"/>
      <c r="F7" s="9" t="s">
        <v>17</v>
      </c>
      <c r="G7" s="9" t="s">
        <v>11</v>
      </c>
      <c r="H7" s="14">
        <v>16870</v>
      </c>
      <c r="I7" s="9" t="s">
        <v>83</v>
      </c>
      <c r="J7" s="9"/>
      <c r="K7" s="9" t="s">
        <v>82</v>
      </c>
      <c r="L7" s="9"/>
      <c r="M7" s="9"/>
    </row>
    <row r="8" spans="1:13" ht="35.1" customHeight="1" x14ac:dyDescent="0.25">
      <c r="A8" s="9" t="s">
        <v>81</v>
      </c>
      <c r="B8" s="9" t="s">
        <v>30</v>
      </c>
      <c r="C8" s="9" t="s">
        <v>29</v>
      </c>
      <c r="D8" s="9" t="s">
        <v>80</v>
      </c>
      <c r="E8" s="9"/>
      <c r="F8" s="9" t="s">
        <v>20</v>
      </c>
      <c r="G8" s="9" t="s">
        <v>11</v>
      </c>
      <c r="H8" s="14">
        <v>40108.080000000002</v>
      </c>
      <c r="I8" s="9" t="s">
        <v>79</v>
      </c>
      <c r="J8" s="9"/>
      <c r="K8" s="9" t="s">
        <v>78</v>
      </c>
      <c r="L8" s="9"/>
      <c r="M8" s="9"/>
    </row>
    <row r="9" spans="1:13" ht="35.1" customHeight="1" x14ac:dyDescent="0.25">
      <c r="A9" s="9" t="s">
        <v>77</v>
      </c>
      <c r="B9" s="9" t="s">
        <v>30</v>
      </c>
      <c r="C9" s="9" t="s">
        <v>29</v>
      </c>
      <c r="D9" s="9" t="s">
        <v>76</v>
      </c>
      <c r="E9" s="9"/>
      <c r="F9" s="9" t="s">
        <v>15</v>
      </c>
      <c r="G9" s="9" t="s">
        <v>11</v>
      </c>
      <c r="H9" s="14">
        <v>63199.12</v>
      </c>
      <c r="I9" s="9" t="s">
        <v>75</v>
      </c>
      <c r="J9" s="9"/>
      <c r="K9" s="9" t="s">
        <v>74</v>
      </c>
      <c r="L9" s="9"/>
      <c r="M9" s="9"/>
    </row>
    <row r="10" spans="1:13" ht="35.1" customHeight="1" x14ac:dyDescent="0.25">
      <c r="A10" s="9" t="s">
        <v>73</v>
      </c>
      <c r="B10" s="9" t="s">
        <v>30</v>
      </c>
      <c r="C10" s="9" t="s">
        <v>29</v>
      </c>
      <c r="D10" s="9" t="s">
        <v>72</v>
      </c>
      <c r="E10" s="9" t="s">
        <v>71</v>
      </c>
      <c r="F10" s="9" t="s">
        <v>22</v>
      </c>
      <c r="G10" s="9" t="s">
        <v>11</v>
      </c>
      <c r="H10" s="14">
        <v>44082.81</v>
      </c>
      <c r="I10" s="9" t="s">
        <v>70</v>
      </c>
      <c r="J10" s="9"/>
      <c r="K10" s="9" t="s">
        <v>69</v>
      </c>
      <c r="L10" s="9" t="s">
        <v>68</v>
      </c>
      <c r="M10" s="9"/>
    </row>
    <row r="11" spans="1:13" ht="35.1" customHeight="1" x14ac:dyDescent="0.25">
      <c r="A11" s="9" t="s">
        <v>67</v>
      </c>
      <c r="B11" s="9" t="s">
        <v>30</v>
      </c>
      <c r="C11" s="9" t="s">
        <v>29</v>
      </c>
      <c r="D11" s="9" t="s">
        <v>66</v>
      </c>
      <c r="E11" s="9"/>
      <c r="F11" s="9" t="s">
        <v>16</v>
      </c>
      <c r="G11" s="9" t="s">
        <v>13</v>
      </c>
      <c r="H11" s="14">
        <v>15507.63</v>
      </c>
      <c r="I11" s="9" t="s">
        <v>65</v>
      </c>
      <c r="J11" s="9"/>
      <c r="K11" s="9" t="s">
        <v>64</v>
      </c>
      <c r="L11" s="9"/>
      <c r="M11" s="9"/>
    </row>
    <row r="12" spans="1:13" ht="35.1" customHeight="1" x14ac:dyDescent="0.25">
      <c r="A12" s="9" t="s">
        <v>63</v>
      </c>
      <c r="B12" s="9" t="s">
        <v>30</v>
      </c>
      <c r="C12" s="9" t="s">
        <v>29</v>
      </c>
      <c r="D12" s="9" t="s">
        <v>62</v>
      </c>
      <c r="E12" s="9"/>
      <c r="F12" s="9" t="s">
        <v>15</v>
      </c>
      <c r="G12" s="9" t="s">
        <v>11</v>
      </c>
      <c r="H12" s="14">
        <v>29627</v>
      </c>
      <c r="I12" s="9"/>
      <c r="J12" s="9"/>
      <c r="K12" s="9" t="s">
        <v>61</v>
      </c>
      <c r="L12" s="9"/>
      <c r="M12" s="9"/>
    </row>
    <row r="13" spans="1:13" ht="35.1" customHeight="1" x14ac:dyDescent="0.25">
      <c r="A13" s="9" t="s">
        <v>60</v>
      </c>
      <c r="B13" s="9" t="s">
        <v>30</v>
      </c>
      <c r="C13" s="9" t="s">
        <v>29</v>
      </c>
      <c r="D13" s="9" t="s">
        <v>59</v>
      </c>
      <c r="E13" s="9"/>
      <c r="F13" s="9" t="s">
        <v>12</v>
      </c>
      <c r="G13" s="9" t="s">
        <v>13</v>
      </c>
      <c r="H13" s="14">
        <v>21209.75</v>
      </c>
      <c r="I13" s="9" t="s">
        <v>58</v>
      </c>
      <c r="J13" s="9"/>
      <c r="K13" s="9" t="s">
        <v>57</v>
      </c>
      <c r="L13" s="9"/>
      <c r="M13" s="9"/>
    </row>
    <row r="14" spans="1:13" ht="35.1" customHeight="1" x14ac:dyDescent="0.25">
      <c r="A14" s="9" t="s">
        <v>56</v>
      </c>
      <c r="B14" s="9" t="s">
        <v>30</v>
      </c>
      <c r="C14" s="9" t="s">
        <v>29</v>
      </c>
      <c r="D14" s="9" t="s">
        <v>55</v>
      </c>
      <c r="E14" s="9"/>
      <c r="F14" s="9" t="s">
        <v>21</v>
      </c>
      <c r="G14" s="9" t="s">
        <v>13</v>
      </c>
      <c r="H14" s="14">
        <v>35712.83</v>
      </c>
      <c r="I14" s="9" t="s">
        <v>54</v>
      </c>
      <c r="J14" s="9"/>
      <c r="K14" s="9" t="s">
        <v>53</v>
      </c>
      <c r="L14" s="9"/>
      <c r="M14" s="9"/>
    </row>
    <row r="15" spans="1:13" ht="35.1" customHeight="1" x14ac:dyDescent="0.25">
      <c r="A15" s="9" t="s">
        <v>52</v>
      </c>
      <c r="B15" s="9" t="s">
        <v>47</v>
      </c>
      <c r="C15" s="9" t="s">
        <v>29</v>
      </c>
      <c r="D15" s="9" t="s">
        <v>51</v>
      </c>
      <c r="E15" s="9"/>
      <c r="F15" s="9" t="s">
        <v>17</v>
      </c>
      <c r="G15" s="9" t="s">
        <v>11</v>
      </c>
      <c r="H15" s="14">
        <v>28892.98</v>
      </c>
      <c r="I15" s="9" t="s">
        <v>50</v>
      </c>
      <c r="J15" s="9"/>
      <c r="K15" s="9" t="s">
        <v>49</v>
      </c>
      <c r="L15" s="9"/>
      <c r="M15" s="9"/>
    </row>
    <row r="16" spans="1:13" ht="35.1" customHeight="1" x14ac:dyDescent="0.25">
      <c r="A16" s="9" t="s">
        <v>48</v>
      </c>
      <c r="B16" s="9" t="s">
        <v>47</v>
      </c>
      <c r="C16" s="9" t="s">
        <v>29</v>
      </c>
      <c r="D16" s="9" t="s">
        <v>46</v>
      </c>
      <c r="E16" s="9"/>
      <c r="F16" s="9" t="s">
        <v>18</v>
      </c>
      <c r="G16" s="9" t="s">
        <v>11</v>
      </c>
      <c r="H16" s="14">
        <v>21786.25</v>
      </c>
      <c r="I16" s="9" t="s">
        <v>45</v>
      </c>
      <c r="J16" s="9"/>
      <c r="K16" s="9" t="s">
        <v>44</v>
      </c>
      <c r="L16" s="9"/>
      <c r="M16" s="9"/>
    </row>
    <row r="17" spans="1:13" ht="35.1" customHeight="1" x14ac:dyDescent="0.25">
      <c r="A17" s="9" t="s">
        <v>43</v>
      </c>
      <c r="B17" s="9" t="s">
        <v>30</v>
      </c>
      <c r="C17" s="9" t="s">
        <v>29</v>
      </c>
      <c r="D17" s="9" t="s">
        <v>42</v>
      </c>
      <c r="E17" s="9"/>
      <c r="F17" s="9" t="s">
        <v>22</v>
      </c>
      <c r="G17" s="9" t="s">
        <v>11</v>
      </c>
      <c r="H17" s="14">
        <v>40113.17</v>
      </c>
      <c r="I17" s="9" t="s">
        <v>41</v>
      </c>
      <c r="J17" s="9"/>
      <c r="K17" s="9" t="s">
        <v>40</v>
      </c>
      <c r="L17" s="9"/>
      <c r="M17" s="9"/>
    </row>
    <row r="18" spans="1:13" ht="35.1" customHeight="1" x14ac:dyDescent="0.25">
      <c r="A18" s="9" t="s">
        <v>39</v>
      </c>
      <c r="B18" s="9" t="s">
        <v>30</v>
      </c>
      <c r="C18" s="9" t="s">
        <v>29</v>
      </c>
      <c r="D18" s="9" t="s">
        <v>38</v>
      </c>
      <c r="E18" s="9"/>
      <c r="F18" s="9" t="s">
        <v>14</v>
      </c>
      <c r="G18" s="9" t="s">
        <v>11</v>
      </c>
      <c r="H18" s="14">
        <v>30118.880000000001</v>
      </c>
      <c r="I18" s="9" t="s">
        <v>37</v>
      </c>
      <c r="J18" s="9"/>
      <c r="K18" s="9" t="s">
        <v>36</v>
      </c>
      <c r="L18" s="9"/>
      <c r="M18" s="9"/>
    </row>
    <row r="19" spans="1:13" ht="35.1" customHeight="1" x14ac:dyDescent="0.25">
      <c r="A19" s="9" t="s">
        <v>35</v>
      </c>
      <c r="B19" s="9" t="s">
        <v>30</v>
      </c>
      <c r="C19" s="9" t="s">
        <v>29</v>
      </c>
      <c r="D19" s="9" t="s">
        <v>34</v>
      </c>
      <c r="E19" s="9"/>
      <c r="F19" s="9" t="s">
        <v>12</v>
      </c>
      <c r="G19" s="9" t="s">
        <v>13</v>
      </c>
      <c r="H19" s="14">
        <v>15133.19</v>
      </c>
      <c r="I19" s="9" t="s">
        <v>33</v>
      </c>
      <c r="J19" s="9"/>
      <c r="K19" s="9" t="s">
        <v>32</v>
      </c>
      <c r="L19" s="9"/>
      <c r="M19" s="9"/>
    </row>
    <row r="20" spans="1:13" ht="35.1" customHeight="1" x14ac:dyDescent="0.25">
      <c r="A20" s="9" t="s">
        <v>31</v>
      </c>
      <c r="B20" s="9" t="s">
        <v>30</v>
      </c>
      <c r="C20" s="9" t="s">
        <v>29</v>
      </c>
      <c r="D20" s="9" t="s">
        <v>28</v>
      </c>
      <c r="E20" s="9"/>
      <c r="F20" s="9" t="s">
        <v>19</v>
      </c>
      <c r="G20" s="9" t="s">
        <v>13</v>
      </c>
      <c r="H20" s="14">
        <v>29219</v>
      </c>
      <c r="I20" s="9" t="s">
        <v>27</v>
      </c>
      <c r="J20" s="9"/>
      <c r="K20" s="9" t="s">
        <v>26</v>
      </c>
      <c r="L20" s="9"/>
      <c r="M20" s="9"/>
    </row>
    <row r="21" spans="1:13" ht="35.1" customHeight="1" x14ac:dyDescent="0.25">
      <c r="A21" s="15"/>
      <c r="B21" s="15"/>
      <c r="C21" s="15"/>
      <c r="D21" s="15" t="s">
        <v>25</v>
      </c>
      <c r="E21" s="15"/>
      <c r="F21" s="15"/>
      <c r="G21" s="15"/>
      <c r="H21" s="16">
        <f>SUM(H4:H20)</f>
        <v>525405.3899999999</v>
      </c>
      <c r="I21" s="15"/>
      <c r="J21" s="15"/>
      <c r="K21" s="15"/>
      <c r="L21" s="15"/>
      <c r="M21" s="15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35.1" customHeight="1" x14ac:dyDescent="0.25"/>
    <row r="24" spans="1:13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2025-07-28T18:18:01Z</cp:lastPrinted>
  <dcterms:created xsi:type="dcterms:W3CDTF">2025-07-28T18:11:09Z</dcterms:created>
  <dcterms:modified xsi:type="dcterms:W3CDTF">2025-07-28T18:29:32Z</dcterms:modified>
</cp:coreProperties>
</file>