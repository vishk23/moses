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AE6DA402-010C-4181-9888-748665FC56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F7" i="1"/>
  <c r="F23" i="1"/>
  <c r="H24" i="1"/>
  <c r="E24" i="1"/>
  <c r="D24" i="1"/>
  <c r="C24" i="1"/>
</calcChain>
</file>

<file path=xl/sharedStrings.xml><?xml version="1.0" encoding="utf-8"?>
<sst xmlns="http://schemas.openxmlformats.org/spreadsheetml/2006/main" count="171" uniqueCount="90">
  <si>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</si>
  <si>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</si>
  <si>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</si>
  <si>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</si>
  <si>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</si>
  <si>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</si>
  <si>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</si>
  <si>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</si>
  <si>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</si>
  <si>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</si>
  <si>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Bald Hill Dodge Chrysler</t>
  </si>
  <si>
    <t>Rachel Gorham</t>
  </si>
  <si>
    <t>Grieco Toyota</t>
  </si>
  <si>
    <t>Neli Oliveira</t>
  </si>
  <si>
    <t>Milford Nissan Corp</t>
  </si>
  <si>
    <t>Patriot Auto Group Inc d/b/a</t>
  </si>
  <si>
    <t>Paul Masse Chevrolet South Inc</t>
  </si>
  <si>
    <t>Planet Automotive Sales LLC</t>
  </si>
  <si>
    <t>Richard Lundgren, Inc. d/b/a</t>
  </si>
  <si>
    <t>S&amp;E Auto Services and Sales Inc</t>
  </si>
  <si>
    <t>T F Murphy Enterprises Inc</t>
  </si>
  <si>
    <t>Column1</t>
  </si>
  <si>
    <t>Column2</t>
  </si>
  <si>
    <t># 12</t>
  </si>
  <si>
    <t>LABOSSIERE</t>
  </si>
  <si>
    <t>DVALCOURT53@YAHOO.COM</t>
  </si>
  <si>
    <t>VALCOURT, DEBORAH</t>
  </si>
  <si>
    <t>E Contract</t>
  </si>
  <si>
    <t>DealerTrack</t>
  </si>
  <si>
    <t>BERTHOLDT</t>
  </si>
  <si>
    <t>breab6489@yahoo.com</t>
  </si>
  <si>
    <t>CARSON, BREA</t>
  </si>
  <si>
    <t>Route One</t>
  </si>
  <si>
    <t>ROMANELLI</t>
  </si>
  <si>
    <t>mwrightington@gmail.com</t>
  </si>
  <si>
    <t>WRIGHTINGTON, MICHAEL</t>
  </si>
  <si>
    <t>PATRAS, ELIZABETH</t>
  </si>
  <si>
    <t>Paper</t>
  </si>
  <si>
    <t>151229533</t>
  </si>
  <si>
    <t>MCHALE</t>
  </si>
  <si>
    <t>WDENEAULT@YAHOO.COM</t>
  </si>
  <si>
    <t>DENEAULT, WILLIAM</t>
  </si>
  <si>
    <t>PATT</t>
  </si>
  <si>
    <t>MCMORRA@GMAIL.COM</t>
  </si>
  <si>
    <t>Morra, Mary</t>
  </si>
  <si>
    <t>GRANDE</t>
  </si>
  <si>
    <t>KOTHRENBERGER4@GMAIL.COM</t>
  </si>
  <si>
    <t>OHRENBERGER, KYLE</t>
  </si>
  <si>
    <t>151229484</t>
  </si>
  <si>
    <t>MACGEORGE</t>
  </si>
  <si>
    <t>ademartin903@gmail.com</t>
  </si>
  <si>
    <t>DEMARTIN, ALEX</t>
  </si>
  <si>
    <t>RITTENHOUSE</t>
  </si>
  <si>
    <t>JMJR37@MSN.COM</t>
  </si>
  <si>
    <t>MAWN, JOHN</t>
  </si>
  <si>
    <t>ZAPPEG</t>
  </si>
  <si>
    <t>zappegm@gmail.com</t>
  </si>
  <si>
    <t>ZAPPEG CARVAJAL, MOISES</t>
  </si>
  <si>
    <t>MELE</t>
  </si>
  <si>
    <t>pmele1@verizon.net</t>
  </si>
  <si>
    <t>MELE, PAMELA</t>
  </si>
  <si>
    <t>MILLER</t>
  </si>
  <si>
    <t>ingridcorona19@gmail.com</t>
  </si>
  <si>
    <t>CORONA, INGRID</t>
  </si>
  <si>
    <t>151229426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</si>
  <si>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</si>
  <si>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</si>
  <si>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</si>
  <si>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</si>
  <si>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</si>
  <si>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</si>
  <si>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</si>
  <si>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</si>
  <si>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</si>
  <si>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</si>
  <si>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</si>
  <si>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151229434E</t>
  </si>
  <si>
    <t>151229442E</t>
  </si>
  <si>
    <t>151229468E</t>
  </si>
  <si>
    <t>151229476E</t>
  </si>
  <si>
    <t>151229492E</t>
  </si>
  <si>
    <t>151229517E</t>
  </si>
  <si>
    <t>151229541E</t>
  </si>
  <si>
    <t>151229559E</t>
  </si>
  <si>
    <t>151229567E</t>
  </si>
  <si>
    <t>Date signed_____________________________________________________________</t>
  </si>
  <si>
    <t>Received By___________________________________________________________________</t>
  </si>
  <si>
    <t>Delivered By___________________________________________________________________</t>
  </si>
  <si>
    <t># 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</si>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</sst>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5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2" fillId="0" borderId="0" xfId="1" applyFill="1" applyAlignment="1">
      <alignment horizontal="left"/>
    </xf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  <xf numFmtId="0" fontId="1" fillId="0" borderId="0" xfId="2" applyFont="1" applyFill="1"/>
  </cellXfs>
  <cellStyles count="3">
    <cellStyle name="Normal" xfId="0" builtinId="0"/>
    <cellStyle name="Normal 2" xfId="1" xr:uid="{F1602CE4-31E3-4471-8C81-2D60C7F195F8}"/>
    <cellStyle name="Normal 3" xfId="2" xr:uid="{AE96D6DF-5775-4CF2-A970-5BA97BF60D7A}"/>
  </cellStyles>
  <dxfs count="2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4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7A60492E-8E98-4A0D-8757-35207A5AF9EE}" name="Column1" dataDxfId="23"/>
    <tableColumn id="8" xr3:uid="{9A867885-1282-4E7A-AEAC-8BA7FC6C6682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181F41-2517-4A37-98E4-ABA831723A7F}" name="Table_13" displayName="Table_13" ref="A3:L16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EC12B1-DBA3-48C8-8026-AD396429020D}" name="Table_14" displayName="Table_14" ref="A3:E7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workbookViewId="0">
      <pane ySplit="3" topLeftCell="A4" activePane="bottomLeft" state="frozen"/>
      <selection pane="bottomLeft" activeCell="P20" sqref="P19:P20"/>
    </sheetView>
  </sheetViews>
  <sheetFormatPr defaultRowHeight="15" x14ac:dyDescent="0.25"/>
  <cols>
    <col min="1" max="1" width="30.7109375" bestFit="1" customWidth="1"/>
    <col min="2" max="2" width="15.140625" bestFit="1" customWidth="1"/>
    <col min="3" max="3" width="11.140625" bestFit="1" customWidth="1"/>
    <col min="4" max="4" width="19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45929</v>
      </c>
      <c r="E1" t="s">
        <v>2</v>
      </c>
      <c r="H1" s="4">
        <v>45929.999988425923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21</v>
      </c>
      <c r="G3" t="s">
        <v>22</v>
      </c>
      <c r="H3" t="s">
        <v>9</v>
      </c>
    </row>
    <row r="4" spans="1:8" x14ac:dyDescent="0.25">
      <c r="A4" t="s">
        <v>10</v>
      </c>
      <c r="B4" t="s">
        <v>11</v>
      </c>
      <c r="C4" s="2">
        <v>1350</v>
      </c>
      <c r="D4" s="2">
        <v>0</v>
      </c>
      <c r="E4" s="2">
        <v>57167.9</v>
      </c>
      <c r="F4" s="2"/>
      <c r="G4" s="2"/>
      <c r="H4" s="2">
        <v>57242.9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1050</v>
      </c>
      <c r="D6" s="2">
        <v>0</v>
      </c>
      <c r="E6" s="2">
        <v>41787.06</v>
      </c>
      <c r="F6" s="2"/>
      <c r="G6" s="2"/>
      <c r="H6" s="2">
        <v>41862.06</v>
      </c>
    </row>
    <row r="7" spans="1:8" x14ac:dyDescent="0.25">
      <c r="A7" t="s">
        <v>12</v>
      </c>
      <c r="B7" t="s">
        <v>13</v>
      </c>
      <c r="C7" s="2">
        <v>750</v>
      </c>
      <c r="D7" s="2">
        <v>0</v>
      </c>
      <c r="E7" s="2">
        <v>27774.99</v>
      </c>
      <c r="F7" s="2">
        <f>SUM(E6:E7)</f>
        <v>69562.05</v>
      </c>
      <c r="G7" s="2"/>
      <c r="H7" s="2">
        <v>27849.99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13</v>
      </c>
      <c r="C9" s="2">
        <v>500</v>
      </c>
      <c r="D9" s="2">
        <v>0</v>
      </c>
      <c r="E9" s="2">
        <v>15925.17</v>
      </c>
      <c r="F9" s="2"/>
      <c r="G9" s="2"/>
      <c r="H9" s="2">
        <v>16000.17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13</v>
      </c>
      <c r="C11" s="2">
        <v>950</v>
      </c>
      <c r="D11" s="2">
        <v>0</v>
      </c>
      <c r="E11" s="2">
        <v>39424.82</v>
      </c>
      <c r="F11" s="2"/>
      <c r="G11" s="2"/>
      <c r="H11" s="2">
        <v>39499.82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13</v>
      </c>
      <c r="C13" s="2">
        <v>1150</v>
      </c>
      <c r="D13" s="2">
        <v>0</v>
      </c>
      <c r="E13" s="2">
        <v>47184.26</v>
      </c>
      <c r="F13" s="2"/>
      <c r="G13" s="2"/>
      <c r="H13" s="2">
        <v>47259.26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13</v>
      </c>
      <c r="C15" s="2">
        <v>850</v>
      </c>
      <c r="D15" s="2">
        <v>0</v>
      </c>
      <c r="E15" s="2">
        <v>29965.1</v>
      </c>
      <c r="F15" s="2"/>
      <c r="G15" s="2"/>
      <c r="H15" s="2">
        <v>30040.1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11</v>
      </c>
      <c r="C17" s="2">
        <v>650</v>
      </c>
      <c r="D17" s="2">
        <v>0</v>
      </c>
      <c r="E17" s="2">
        <v>22781.439999999999</v>
      </c>
      <c r="F17" s="2"/>
      <c r="G17" s="2"/>
      <c r="H17" s="2">
        <v>22856.44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11</v>
      </c>
      <c r="C19" s="2">
        <v>650</v>
      </c>
      <c r="D19" s="2">
        <v>0</v>
      </c>
      <c r="E19" s="2">
        <v>21875</v>
      </c>
      <c r="F19" s="2"/>
      <c r="G19" s="2"/>
      <c r="H19" s="2">
        <v>21950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20</v>
      </c>
      <c r="B21" t="s">
        <v>13</v>
      </c>
      <c r="C21" s="2">
        <v>300</v>
      </c>
      <c r="D21" s="2">
        <v>0</v>
      </c>
      <c r="E21" s="2">
        <v>14495</v>
      </c>
      <c r="F21" s="2"/>
      <c r="G21" s="2"/>
      <c r="H21" s="2">
        <v>14570</v>
      </c>
    </row>
    <row r="22" spans="1:8" x14ac:dyDescent="0.25">
      <c r="A22" t="s">
        <v>20</v>
      </c>
      <c r="B22" t="s">
        <v>13</v>
      </c>
      <c r="C22" s="2">
        <v>650</v>
      </c>
      <c r="D22" s="2">
        <v>0</v>
      </c>
      <c r="E22" s="2">
        <v>23936.880000000001</v>
      </c>
      <c r="F22" s="2"/>
      <c r="G22" s="2"/>
      <c r="H22" s="2">
        <v>24011.88</v>
      </c>
    </row>
    <row r="23" spans="1:8" x14ac:dyDescent="0.25">
      <c r="A23" t="s">
        <v>20</v>
      </c>
      <c r="B23" t="s">
        <v>13</v>
      </c>
      <c r="C23" s="2">
        <v>1350</v>
      </c>
      <c r="D23" s="2">
        <v>0</v>
      </c>
      <c r="E23" s="2">
        <v>53485.25</v>
      </c>
      <c r="F23" s="2">
        <f>SUM(E21:E23)</f>
        <v>91917.13</v>
      </c>
      <c r="G23" s="2"/>
      <c r="H23" s="2">
        <v>53560.25</v>
      </c>
    </row>
    <row r="24" spans="1:8" x14ac:dyDescent="0.25">
      <c r="A24" s="1"/>
      <c r="B24" s="1"/>
      <c r="C24" s="3">
        <f>SUM(C4:C23)</f>
        <v>10200</v>
      </c>
      <c r="D24" s="3">
        <f>SUM(D4:D23)</f>
        <v>0</v>
      </c>
      <c r="E24" s="3">
        <f>SUM(E4:E23)</f>
        <v>395802.87</v>
      </c>
      <c r="F24" s="3"/>
      <c r="G24" s="3"/>
      <c r="H24" s="3">
        <f>SUM(H4:H23)</f>
        <v>396702.87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E53D-038F-4AD2-9ABF-6EE572F8272C}">
  <sheetPr>
    <pageSetUpPr fitToPage="1"/>
  </sheetPr>
  <dimension ref="A1:M22"/>
  <sheetViews>
    <sheetView workbookViewId="0">
      <pane ySplit="3" topLeftCell="A4" activePane="bottomLeft" state="frozen"/>
      <selection pane="bottomLeft" activeCell="A15" sqref="A15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6.28515625" style="8" bestFit="1" customWidth="1"/>
    <col min="5" max="5" width="18.7109375" style="8" bestFit="1" customWidth="1"/>
    <col min="6" max="6" width="30.7109375" style="8" bestFit="1" customWidth="1"/>
    <col min="7" max="7" width="15.140625" style="8" bestFit="1" customWidth="1"/>
    <col min="8" max="8" width="17.140625" style="8" bestFit="1" customWidth="1"/>
    <col min="9" max="9" width="31.28515625" style="8" bestFit="1" customWidth="1"/>
    <col min="10" max="10" width="18.42578125" style="8" bestFit="1" customWidth="1"/>
    <col min="11" max="11" width="19.85546875" style="8" bestFit="1" customWidth="1"/>
    <col min="12" max="12" width="12.85546875" style="8" bestFit="1" customWidth="1"/>
    <col min="13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45929</v>
      </c>
      <c r="L1" s="9" t="s">
        <v>2</v>
      </c>
      <c r="M1" s="9"/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75</v>
      </c>
      <c r="H2" s="12"/>
      <c r="I2" s="12"/>
      <c r="J2" s="12"/>
      <c r="K2" s="12"/>
      <c r="L2" s="12"/>
      <c r="M2" s="9"/>
    </row>
    <row r="3" spans="1:13" ht="35.1" customHeight="1" x14ac:dyDescent="0.25">
      <c r="A3" s="9" t="s">
        <v>74</v>
      </c>
      <c r="B3" s="9" t="s">
        <v>73</v>
      </c>
      <c r="C3" s="9" t="s">
        <v>72</v>
      </c>
      <c r="D3" s="9" t="s">
        <v>71</v>
      </c>
      <c r="E3" s="9" t="s">
        <v>70</v>
      </c>
      <c r="F3" s="9" t="s">
        <v>4</v>
      </c>
      <c r="G3" s="9" t="s">
        <v>5</v>
      </c>
      <c r="H3" s="9" t="s">
        <v>69</v>
      </c>
      <c r="I3" s="9" t="s">
        <v>68</v>
      </c>
      <c r="J3" s="9" t="s">
        <v>67</v>
      </c>
      <c r="K3" s="9" t="s">
        <v>66</v>
      </c>
      <c r="L3" s="9" t="s">
        <v>65</v>
      </c>
      <c r="M3" s="9"/>
    </row>
    <row r="4" spans="1:13" ht="35.1" customHeight="1" x14ac:dyDescent="0.25">
      <c r="A4" s="17">
        <v>151229426</v>
      </c>
      <c r="B4" s="9" t="s">
        <v>28</v>
      </c>
      <c r="C4" s="9" t="s">
        <v>37</v>
      </c>
      <c r="D4" s="9" t="s">
        <v>63</v>
      </c>
      <c r="E4" s="9"/>
      <c r="F4" s="9" t="s">
        <v>17</v>
      </c>
      <c r="G4" s="9" t="s">
        <v>13</v>
      </c>
      <c r="H4" s="14">
        <v>30040.1</v>
      </c>
      <c r="I4" s="9" t="s">
        <v>62</v>
      </c>
      <c r="J4" s="9"/>
      <c r="K4" s="9" t="s">
        <v>61</v>
      </c>
      <c r="L4" s="9"/>
      <c r="M4" s="9"/>
    </row>
    <row r="5" spans="1:13" ht="35.1" customHeight="1" x14ac:dyDescent="0.25">
      <c r="A5" s="9" t="s">
        <v>76</v>
      </c>
      <c r="B5" s="9" t="s">
        <v>32</v>
      </c>
      <c r="C5" s="9" t="s">
        <v>27</v>
      </c>
      <c r="D5" s="9" t="s">
        <v>60</v>
      </c>
      <c r="E5" s="9"/>
      <c r="F5" s="9" t="s">
        <v>15</v>
      </c>
      <c r="G5" s="9" t="s">
        <v>13</v>
      </c>
      <c r="H5" s="14">
        <v>39499.82</v>
      </c>
      <c r="I5" s="9" t="s">
        <v>59</v>
      </c>
      <c r="J5" s="9"/>
      <c r="K5" s="9" t="s">
        <v>58</v>
      </c>
      <c r="L5" s="9"/>
      <c r="M5" s="9"/>
    </row>
    <row r="6" spans="1:13" ht="35.1" customHeight="1" x14ac:dyDescent="0.25">
      <c r="A6" s="9" t="s">
        <v>77</v>
      </c>
      <c r="B6" s="9" t="s">
        <v>32</v>
      </c>
      <c r="C6" s="9" t="s">
        <v>27</v>
      </c>
      <c r="D6" s="9" t="s">
        <v>57</v>
      </c>
      <c r="E6" s="9"/>
      <c r="F6" s="9" t="s">
        <v>12</v>
      </c>
      <c r="G6" s="9" t="s">
        <v>13</v>
      </c>
      <c r="H6" s="14">
        <v>41862.06</v>
      </c>
      <c r="I6" s="9" t="s">
        <v>56</v>
      </c>
      <c r="J6" s="9"/>
      <c r="K6" s="9" t="s">
        <v>55</v>
      </c>
      <c r="L6" s="9"/>
      <c r="M6" s="9"/>
    </row>
    <row r="7" spans="1:13" ht="35.1" customHeight="1" x14ac:dyDescent="0.25">
      <c r="A7" s="9" t="s">
        <v>78</v>
      </c>
      <c r="B7" s="9" t="s">
        <v>32</v>
      </c>
      <c r="C7" s="9" t="s">
        <v>27</v>
      </c>
      <c r="D7" s="9" t="s">
        <v>54</v>
      </c>
      <c r="E7" s="9"/>
      <c r="F7" s="9" t="s">
        <v>20</v>
      </c>
      <c r="G7" s="9" t="s">
        <v>13</v>
      </c>
      <c r="H7" s="14">
        <v>14570</v>
      </c>
      <c r="I7" s="9" t="s">
        <v>53</v>
      </c>
      <c r="J7" s="9"/>
      <c r="K7" s="9" t="s">
        <v>52</v>
      </c>
      <c r="L7" s="9"/>
      <c r="M7" s="9"/>
    </row>
    <row r="8" spans="1:13" ht="35.1" customHeight="1" x14ac:dyDescent="0.25">
      <c r="A8" s="9" t="s">
        <v>79</v>
      </c>
      <c r="B8" s="9" t="s">
        <v>32</v>
      </c>
      <c r="C8" s="9" t="s">
        <v>27</v>
      </c>
      <c r="D8" s="9" t="s">
        <v>51</v>
      </c>
      <c r="E8" s="9"/>
      <c r="F8" s="9" t="s">
        <v>20</v>
      </c>
      <c r="G8" s="9" t="s">
        <v>13</v>
      </c>
      <c r="H8" s="14">
        <v>24011.88</v>
      </c>
      <c r="I8" s="9" t="s">
        <v>50</v>
      </c>
      <c r="J8" s="9"/>
      <c r="K8" s="9" t="s">
        <v>49</v>
      </c>
      <c r="L8" s="9"/>
      <c r="M8" s="9"/>
    </row>
    <row r="9" spans="1:13" ht="35.1" customHeight="1" x14ac:dyDescent="0.25">
      <c r="A9" s="9" t="s">
        <v>48</v>
      </c>
      <c r="B9" s="9" t="s">
        <v>28</v>
      </c>
      <c r="C9" s="9" t="s">
        <v>37</v>
      </c>
      <c r="D9" s="9" t="s">
        <v>47</v>
      </c>
      <c r="E9" s="9"/>
      <c r="F9" s="9" t="s">
        <v>19</v>
      </c>
      <c r="G9" s="9" t="s">
        <v>11</v>
      </c>
      <c r="H9" s="14">
        <v>21950</v>
      </c>
      <c r="I9" s="9" t="s">
        <v>46</v>
      </c>
      <c r="J9" s="9"/>
      <c r="K9" s="9" t="s">
        <v>45</v>
      </c>
      <c r="L9" s="9"/>
      <c r="M9" s="9"/>
    </row>
    <row r="10" spans="1:13" ht="35.1" customHeight="1" x14ac:dyDescent="0.25">
      <c r="A10" s="9" t="s">
        <v>80</v>
      </c>
      <c r="B10" s="9" t="s">
        <v>32</v>
      </c>
      <c r="C10" s="9" t="s">
        <v>27</v>
      </c>
      <c r="D10" s="9" t="s">
        <v>44</v>
      </c>
      <c r="E10" s="9"/>
      <c r="F10" s="9" t="s">
        <v>12</v>
      </c>
      <c r="G10" s="9" t="s">
        <v>13</v>
      </c>
      <c r="H10" s="14">
        <v>27849.99</v>
      </c>
      <c r="I10" s="9" t="s">
        <v>43</v>
      </c>
      <c r="J10" s="9"/>
      <c r="K10" s="9" t="s">
        <v>42</v>
      </c>
      <c r="L10" s="9"/>
      <c r="M10" s="9"/>
    </row>
    <row r="11" spans="1:13" ht="35.1" customHeight="1" x14ac:dyDescent="0.25">
      <c r="A11" s="9" t="s">
        <v>81</v>
      </c>
      <c r="B11" s="9" t="s">
        <v>32</v>
      </c>
      <c r="C11" s="9" t="s">
        <v>27</v>
      </c>
      <c r="D11" s="9" t="s">
        <v>41</v>
      </c>
      <c r="E11" s="9"/>
      <c r="F11" s="9" t="s">
        <v>16</v>
      </c>
      <c r="G11" s="9" t="s">
        <v>13</v>
      </c>
      <c r="H11" s="14">
        <v>47259.26</v>
      </c>
      <c r="I11" s="9" t="s">
        <v>40</v>
      </c>
      <c r="J11" s="9"/>
      <c r="K11" s="9" t="s">
        <v>39</v>
      </c>
      <c r="L11" s="9"/>
      <c r="M11" s="9"/>
    </row>
    <row r="12" spans="1:13" ht="35.1" customHeight="1" x14ac:dyDescent="0.25">
      <c r="A12" s="9" t="s">
        <v>38</v>
      </c>
      <c r="B12" s="9" t="s">
        <v>28</v>
      </c>
      <c r="C12" s="9" t="s">
        <v>37</v>
      </c>
      <c r="D12" s="9" t="s">
        <v>36</v>
      </c>
      <c r="E12" s="9"/>
      <c r="F12" s="9" t="s">
        <v>14</v>
      </c>
      <c r="G12" s="9" t="s">
        <v>13</v>
      </c>
      <c r="H12" s="14">
        <v>16000.17</v>
      </c>
      <c r="I12" s="9"/>
      <c r="J12" s="9"/>
      <c r="K12" s="9"/>
      <c r="L12" s="9"/>
      <c r="M12" s="9"/>
    </row>
    <row r="13" spans="1:13" ht="35.1" customHeight="1" x14ac:dyDescent="0.25">
      <c r="A13" s="9" t="s">
        <v>82</v>
      </c>
      <c r="B13" s="9" t="s">
        <v>32</v>
      </c>
      <c r="C13" s="9" t="s">
        <v>27</v>
      </c>
      <c r="D13" s="9" t="s">
        <v>35</v>
      </c>
      <c r="E13" s="9"/>
      <c r="F13" s="9" t="s">
        <v>20</v>
      </c>
      <c r="G13" s="9" t="s">
        <v>13</v>
      </c>
      <c r="H13" s="14">
        <v>53560.25</v>
      </c>
      <c r="I13" s="9" t="s">
        <v>34</v>
      </c>
      <c r="J13" s="9"/>
      <c r="K13" s="9" t="s">
        <v>33</v>
      </c>
      <c r="L13" s="9"/>
      <c r="M13" s="9"/>
    </row>
    <row r="14" spans="1:13" ht="35.1" customHeight="1" x14ac:dyDescent="0.25">
      <c r="A14" s="9" t="s">
        <v>83</v>
      </c>
      <c r="B14" s="9" t="s">
        <v>32</v>
      </c>
      <c r="C14" s="9" t="s">
        <v>27</v>
      </c>
      <c r="D14" s="9" t="s">
        <v>31</v>
      </c>
      <c r="E14" s="9"/>
      <c r="F14" s="9" t="s">
        <v>10</v>
      </c>
      <c r="G14" s="9" t="s">
        <v>11</v>
      </c>
      <c r="H14" s="14">
        <v>57242.9</v>
      </c>
      <c r="I14" s="9" t="s">
        <v>30</v>
      </c>
      <c r="J14" s="9"/>
      <c r="K14" s="9" t="s">
        <v>29</v>
      </c>
      <c r="L14" s="9"/>
      <c r="M14" s="9"/>
    </row>
    <row r="15" spans="1:13" ht="35.1" customHeight="1" x14ac:dyDescent="0.25">
      <c r="A15" s="9" t="s">
        <v>84</v>
      </c>
      <c r="B15" s="9" t="s">
        <v>28</v>
      </c>
      <c r="C15" s="9" t="s">
        <v>27</v>
      </c>
      <c r="D15" s="9" t="s">
        <v>26</v>
      </c>
      <c r="E15" s="9"/>
      <c r="F15" s="9" t="s">
        <v>18</v>
      </c>
      <c r="G15" s="9" t="s">
        <v>11</v>
      </c>
      <c r="H15" s="14">
        <v>22856.44</v>
      </c>
      <c r="I15" s="9" t="s">
        <v>25</v>
      </c>
      <c r="J15" s="9"/>
      <c r="K15" s="9" t="s">
        <v>24</v>
      </c>
      <c r="L15" s="9"/>
      <c r="M15" s="9"/>
    </row>
    <row r="16" spans="1:13" ht="35.1" customHeight="1" x14ac:dyDescent="0.25">
      <c r="A16" s="15"/>
      <c r="B16" s="15"/>
      <c r="C16" s="15"/>
      <c r="D16" s="15" t="s">
        <v>23</v>
      </c>
      <c r="E16" s="15"/>
      <c r="F16" s="15"/>
      <c r="G16" s="15"/>
      <c r="H16" s="16">
        <f>SUM(H4:H15)</f>
        <v>396702.87</v>
      </c>
      <c r="I16" s="15"/>
      <c r="J16" s="15"/>
      <c r="K16" s="15"/>
      <c r="L16" s="15"/>
      <c r="M16" s="9"/>
    </row>
    <row r="17" spans="1:13" ht="35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ht="35.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5.1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5.1" customHeight="1" x14ac:dyDescent="0.25"/>
    <row r="21" spans="1:13" ht="35.1" customHeight="1" x14ac:dyDescent="0.25"/>
    <row r="22" spans="1:13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CBC1-C17F-4619-A7E5-7740A13A01CE}">
  <sheetPr>
    <pageSetUpPr fitToPage="1"/>
  </sheetPr>
  <dimension ref="A1:F28"/>
  <sheetViews>
    <sheetView workbookViewId="0">
      <pane ySplit="3" topLeftCell="A4" activePane="bottomLeft" state="frozen"/>
      <selection pane="bottomLeft" activeCell="K24" sqref="K24"/>
    </sheetView>
  </sheetViews>
  <sheetFormatPr defaultRowHeight="15" x14ac:dyDescent="0.25"/>
  <cols>
    <col min="1" max="1" width="16.42578125" style="18" bestFit="1" customWidth="1"/>
    <col min="2" max="2" width="14" style="18" bestFit="1" customWidth="1"/>
    <col min="3" max="3" width="26.28515625" style="18" bestFit="1" customWidth="1"/>
    <col min="4" max="4" width="19.85546875" style="18" bestFit="1" customWidth="1"/>
    <col min="5" max="5" width="30.7109375" style="18" bestFit="1" customWidth="1"/>
    <col min="6" max="16384" width="9.140625" style="18"/>
  </cols>
  <sheetData>
    <row r="1" spans="1:6" x14ac:dyDescent="0.25">
      <c r="A1" s="19"/>
      <c r="B1" s="19"/>
      <c r="C1" s="19" t="s">
        <v>3</v>
      </c>
      <c r="D1" s="20">
        <v>45929</v>
      </c>
      <c r="E1" s="19" t="s">
        <v>2</v>
      </c>
      <c r="F1" s="19"/>
    </row>
    <row r="2" spans="1:6" x14ac:dyDescent="0.25">
      <c r="A2" s="21" t="s">
        <v>0</v>
      </c>
      <c r="B2" s="22"/>
      <c r="C2" s="22"/>
      <c r="D2" s="23" t="s">
        <v>89</v>
      </c>
      <c r="E2" s="22"/>
      <c r="F2" s="19"/>
    </row>
    <row r="3" spans="1:6" x14ac:dyDescent="0.25">
      <c r="A3" s="19" t="s">
        <v>74</v>
      </c>
      <c r="B3" s="19" t="s">
        <v>72</v>
      </c>
      <c r="C3" s="19" t="s">
        <v>71</v>
      </c>
      <c r="D3" s="19" t="s">
        <v>70</v>
      </c>
      <c r="E3" s="19" t="s">
        <v>4</v>
      </c>
      <c r="F3" s="19"/>
    </row>
    <row r="4" spans="1:6" x14ac:dyDescent="0.25">
      <c r="A4" s="19" t="s">
        <v>64</v>
      </c>
      <c r="B4" s="19" t="s">
        <v>37</v>
      </c>
      <c r="C4" s="19" t="s">
        <v>63</v>
      </c>
      <c r="D4" s="19"/>
      <c r="E4" s="19" t="s">
        <v>17</v>
      </c>
      <c r="F4" s="19"/>
    </row>
    <row r="5" spans="1:6" x14ac:dyDescent="0.25">
      <c r="A5" s="19" t="s">
        <v>48</v>
      </c>
      <c r="B5" s="19" t="s">
        <v>37</v>
      </c>
      <c r="C5" s="19" t="s">
        <v>47</v>
      </c>
      <c r="D5" s="19"/>
      <c r="E5" s="19" t="s">
        <v>19</v>
      </c>
      <c r="F5" s="19"/>
    </row>
    <row r="6" spans="1:6" x14ac:dyDescent="0.25">
      <c r="A6" s="19" t="s">
        <v>38</v>
      </c>
      <c r="B6" s="19" t="s">
        <v>37</v>
      </c>
      <c r="C6" s="19" t="s">
        <v>36</v>
      </c>
      <c r="D6" s="19"/>
      <c r="E6" s="19" t="s">
        <v>14</v>
      </c>
      <c r="F6" s="19"/>
    </row>
    <row r="7" spans="1:6" x14ac:dyDescent="0.25">
      <c r="A7" s="24"/>
      <c r="B7" s="24"/>
      <c r="C7" s="24" t="s">
        <v>88</v>
      </c>
      <c r="D7" s="24"/>
      <c r="E7" s="24"/>
      <c r="F7" s="19"/>
    </row>
    <row r="8" spans="1:6" x14ac:dyDescent="0.25">
      <c r="A8" s="19"/>
      <c r="B8" s="19"/>
      <c r="C8" s="19"/>
      <c r="D8" s="19"/>
      <c r="E8" s="19"/>
      <c r="F8" s="19"/>
    </row>
    <row r="9" spans="1:6" x14ac:dyDescent="0.25">
      <c r="A9" s="19"/>
      <c r="B9" s="19"/>
      <c r="C9" s="19"/>
      <c r="D9" s="19"/>
      <c r="E9" s="19"/>
      <c r="F9" s="19"/>
    </row>
    <row r="10" spans="1:6" x14ac:dyDescent="0.25">
      <c r="A10" s="19" t="s">
        <v>87</v>
      </c>
      <c r="B10" s="19"/>
      <c r="C10" s="19"/>
      <c r="D10" s="19"/>
      <c r="E10" s="19"/>
      <c r="F10" s="19"/>
    </row>
    <row r="11" spans="1:6" x14ac:dyDescent="0.25">
      <c r="A11" s="19"/>
      <c r="B11" s="19"/>
      <c r="C11" s="19"/>
      <c r="D11" s="19"/>
      <c r="E11" s="19"/>
      <c r="F11" s="19"/>
    </row>
    <row r="12" spans="1:6" x14ac:dyDescent="0.25">
      <c r="A12" s="19"/>
      <c r="B12" s="19"/>
      <c r="C12" s="19"/>
      <c r="D12" s="19"/>
      <c r="E12" s="19"/>
      <c r="F12" s="19"/>
    </row>
    <row r="13" spans="1:6" x14ac:dyDescent="0.25">
      <c r="A13" s="19" t="s">
        <v>86</v>
      </c>
      <c r="B13" s="19"/>
      <c r="C13" s="19"/>
      <c r="D13" s="19"/>
      <c r="E13" s="19"/>
      <c r="F13" s="19"/>
    </row>
    <row r="14" spans="1:6" x14ac:dyDescent="0.25">
      <c r="A14" s="19"/>
      <c r="B14" s="19"/>
      <c r="C14" s="19"/>
      <c r="D14" s="19"/>
      <c r="E14" s="19"/>
      <c r="F14" s="19"/>
    </row>
    <row r="15" spans="1:6" x14ac:dyDescent="0.25">
      <c r="A15" s="19"/>
      <c r="B15" s="19"/>
      <c r="C15" s="19"/>
      <c r="D15" s="19"/>
      <c r="E15" s="19"/>
      <c r="F15" s="19"/>
    </row>
    <row r="16" spans="1:6" x14ac:dyDescent="0.25">
      <c r="A16" s="19"/>
      <c r="B16" s="19"/>
      <c r="C16" s="19"/>
      <c r="D16" s="19"/>
      <c r="E16" s="19"/>
      <c r="F16" s="19"/>
    </row>
    <row r="17" spans="1:6" x14ac:dyDescent="0.25">
      <c r="A17" s="19" t="s">
        <v>85</v>
      </c>
      <c r="B17" s="19"/>
      <c r="C17" s="19"/>
      <c r="D17" s="19"/>
      <c r="E17" s="19"/>
      <c r="F17" s="19"/>
    </row>
    <row r="18" spans="1:6" x14ac:dyDescent="0.25">
      <c r="A18" s="19"/>
      <c r="B18" s="19"/>
      <c r="C18" s="19"/>
      <c r="D18" s="19"/>
      <c r="E18" s="19"/>
      <c r="F18" s="19"/>
    </row>
    <row r="19" spans="1:6" x14ac:dyDescent="0.25">
      <c r="A19" s="19"/>
      <c r="B19" s="19"/>
      <c r="C19" s="19"/>
      <c r="D19" s="19"/>
      <c r="E19" s="19"/>
      <c r="F19" s="19"/>
    </row>
    <row r="20" spans="1:6" x14ac:dyDescent="0.25">
      <c r="A20" s="19"/>
      <c r="B20" s="19"/>
      <c r="C20" s="19"/>
      <c r="D20" s="19"/>
      <c r="E20" s="19"/>
      <c r="F20" s="19"/>
    </row>
    <row r="21" spans="1:6" x14ac:dyDescent="0.25">
      <c r="A21" s="19"/>
      <c r="B21" s="19"/>
      <c r="C21" s="19"/>
      <c r="D21" s="19"/>
      <c r="E21" s="19"/>
      <c r="F21" s="19"/>
    </row>
    <row r="22" spans="1:6" x14ac:dyDescent="0.25">
      <c r="A22" s="19"/>
      <c r="B22" s="19"/>
      <c r="C22" s="19"/>
      <c r="D22" s="19"/>
      <c r="E22" s="19"/>
      <c r="F22" s="19"/>
    </row>
    <row r="23" spans="1:6" x14ac:dyDescent="0.25">
      <c r="A23" s="19"/>
      <c r="B23" s="19"/>
      <c r="C23" s="19"/>
      <c r="D23" s="19"/>
      <c r="E23" s="19"/>
      <c r="F23" s="19"/>
    </row>
    <row r="24" spans="1:6" x14ac:dyDescent="0.25">
      <c r="A24" s="19"/>
      <c r="B24" s="19"/>
      <c r="C24" s="19"/>
      <c r="D24" s="19"/>
      <c r="E24" s="19"/>
      <c r="F24" s="19"/>
    </row>
    <row r="25" spans="1:6" x14ac:dyDescent="0.25">
      <c r="A25" s="19"/>
      <c r="B25" s="19"/>
      <c r="C25" s="19"/>
      <c r="D25" s="19"/>
      <c r="E25" s="19"/>
      <c r="F25" s="19"/>
    </row>
    <row r="26" spans="1:6" x14ac:dyDescent="0.25">
      <c r="A26" s="19"/>
      <c r="B26" s="19"/>
      <c r="C26" s="19"/>
      <c r="D26" s="19"/>
      <c r="E26" s="19"/>
      <c r="F26" s="19"/>
    </row>
    <row r="27" spans="1:6" x14ac:dyDescent="0.25">
      <c r="A27" s="19"/>
      <c r="B27" s="19"/>
      <c r="C27" s="19"/>
      <c r="D27" s="19"/>
      <c r="E27" s="19"/>
      <c r="F27" s="19"/>
    </row>
    <row r="28" spans="1:6" x14ac:dyDescent="0.25">
      <c r="A28" s="19"/>
      <c r="B28" s="19"/>
      <c r="C28" s="19"/>
      <c r="D28" s="19"/>
      <c r="E28" s="19"/>
      <c r="F28" s="19"/>
    </row>
  </sheetData>
  <mergeCells count="2">
    <mergeCell ref="A2:C2"/>
    <mergeCell ref="D2:E2"/>
  </mergeCells>
  <pageMargins left="0.7" right="0.7" top="0.75" bottom="0.75" header="0.3" footer="0.3"/>
  <pageSetup scale="84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2025-09-29T18:42:06Z</cp:lastPrinted>
  <dcterms:created xsi:type="dcterms:W3CDTF">2025-09-29T18:35:41Z</dcterms:created>
  <dcterms:modified xsi:type="dcterms:W3CDTF">2025-09-29T18:59:05Z</dcterms:modified>
</cp:coreProperties>
</file>