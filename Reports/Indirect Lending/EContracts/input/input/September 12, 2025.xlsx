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DBB35ADC-653A-4C3C-A249-FA2DAC9871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5" i="1"/>
  <c r="F12" i="1"/>
  <c r="F17" i="1"/>
  <c r="F23" i="1"/>
  <c r="H21" i="2"/>
  <c r="H31" i="1"/>
  <c r="E31" i="1"/>
  <c r="D31" i="1"/>
  <c r="C31" i="1"/>
</calcChain>
</file>

<file path=xl/sharedStrings.xml><?xml version="1.0" encoding="utf-8"?>
<sst xmlns="http://schemas.openxmlformats.org/spreadsheetml/2006/main" count="247" uniqueCount="126">
  <si>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</si>
  <si>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</si>
  <si>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</si>
  <si>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</si>
  <si>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</si>
  <si>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</si>
  <si>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</si>
  <si>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</si>
  <si>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</si>
  <si>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</si>
  <si>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Grieco Enterprises, LLC d/b/a</t>
  </si>
  <si>
    <t>Rachel Gorham</t>
  </si>
  <si>
    <t>Neli Oliveira</t>
  </si>
  <si>
    <t>Grieco Hyundai</t>
  </si>
  <si>
    <t>Hiller Co Inc</t>
  </si>
  <si>
    <t>Mastria Buick Pontiac</t>
  </si>
  <si>
    <t>Mastria Mazda</t>
  </si>
  <si>
    <t>New England Automax Inc (marlborough)</t>
  </si>
  <si>
    <t>Paul Masse Chevrolet South Inc</t>
  </si>
  <si>
    <t>Planet Automotive Sales LLC</t>
  </si>
  <si>
    <t>Planet Subaru</t>
  </si>
  <si>
    <t>Salvadore Chevrolet</t>
  </si>
  <si>
    <t>Volvo of Tiverton</t>
  </si>
  <si>
    <t># 17</t>
  </si>
  <si>
    <t>CROSBIE</t>
  </si>
  <si>
    <t>CONKLIN</t>
  </si>
  <si>
    <t>natay7657@comcast.net</t>
  </si>
  <si>
    <t>HOUSTON, PAM</t>
  </si>
  <si>
    <t>HOUSTON, JOHN</t>
  </si>
  <si>
    <t>E Contract</t>
  </si>
  <si>
    <t>Route One</t>
  </si>
  <si>
    <t>PAILLE</t>
  </si>
  <si>
    <t>MOREAU</t>
  </si>
  <si>
    <t>MRSCOOBY@VERIZON.NET</t>
  </si>
  <si>
    <t>MRSCOBBY@VERIZON.NET</t>
  </si>
  <si>
    <t>BELISLE, LISA</t>
  </si>
  <si>
    <t>BELISLE, MARC</t>
  </si>
  <si>
    <t>Paper</t>
  </si>
  <si>
    <t>DealerTrack</t>
  </si>
  <si>
    <t>151224054</t>
  </si>
  <si>
    <t>BOOTH</t>
  </si>
  <si>
    <t>ZORNOW</t>
  </si>
  <si>
    <t>AEWILCOX710@GMAIL.COM</t>
  </si>
  <si>
    <t>BZWILCOX@GMAIL.COM</t>
  </si>
  <si>
    <t>WILCOX, ALEXANDRA</t>
  </si>
  <si>
    <t>WILCOX, BENJAMIN</t>
  </si>
  <si>
    <t>VAZ</t>
  </si>
  <si>
    <t>ERIN.CRONIN722@GMAIL.COM</t>
  </si>
  <si>
    <t>CRONIN, ERIN</t>
  </si>
  <si>
    <t>HEALY</t>
  </si>
  <si>
    <t>MITESTA@CISCO.COM</t>
  </si>
  <si>
    <t>TESTA, MICHAEL</t>
  </si>
  <si>
    <t>OTTO</t>
  </si>
  <si>
    <t>ASHMACKENZIE91@GMAIL.COM</t>
  </si>
  <si>
    <t>MACKENZIE, ASHLEY</t>
  </si>
  <si>
    <t>151224012</t>
  </si>
  <si>
    <t>LILLIE</t>
  </si>
  <si>
    <t>chevelle2577@gmail.com</t>
  </si>
  <si>
    <t>RIEL, ANGELA</t>
  </si>
  <si>
    <t>BARROSO</t>
  </si>
  <si>
    <t>RBARROSODACUNHA@GMAIL.COM</t>
  </si>
  <si>
    <t>DA CUNHA, RAFAEL</t>
  </si>
  <si>
    <t>CABRAL</t>
  </si>
  <si>
    <t>ELI@LGCHOMES.COM</t>
  </si>
  <si>
    <t>COSTA, ELI</t>
  </si>
  <si>
    <t>ROSSELLI</t>
  </si>
  <si>
    <t>MEVELYN2146@GMAIL.COM</t>
  </si>
  <si>
    <t>EVELYN, MICHAEL</t>
  </si>
  <si>
    <t>151223973</t>
  </si>
  <si>
    <t>MURPHY</t>
  </si>
  <si>
    <t>FEELTHEMUSIC15@YAHOO.COM</t>
  </si>
  <si>
    <t>HUNT, LYNN</t>
  </si>
  <si>
    <t>KELLEHER</t>
  </si>
  <si>
    <t>LG2CAPE0420@GMAIL.COM</t>
  </si>
  <si>
    <t>FLANNERY, LORI</t>
  </si>
  <si>
    <t>151223866</t>
  </si>
  <si>
    <t>RICHARDS</t>
  </si>
  <si>
    <t>LEAHEE7@GMAIL.COM</t>
  </si>
  <si>
    <t>EELEY, LEAH</t>
  </si>
  <si>
    <t>FEROSI</t>
  </si>
  <si>
    <t>BCALKINSEAST@GMAIL.COM</t>
  </si>
  <si>
    <t>CALKINS, BRENDA</t>
  </si>
  <si>
    <t>151223824</t>
  </si>
  <si>
    <t>LEONARD</t>
  </si>
  <si>
    <t>MHART54@HOTMAIL.COM</t>
  </si>
  <si>
    <t>HART, MICHAEL</t>
  </si>
  <si>
    <t>HADDAD</t>
  </si>
  <si>
    <t>CHARLIEIBRAHIM10@GMAIL.COM</t>
  </si>
  <si>
    <t>IBRAHIM, CHARLIE</t>
  </si>
  <si>
    <t>MURRAY</t>
  </si>
  <si>
    <t>GARRETTMORONI@GMAIL.COM</t>
  </si>
  <si>
    <t>MORONI, GARRETT</t>
  </si>
  <si>
    <t>151223725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</si>
  <si>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</si>
  <si>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</si>
  <si>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</si>
  <si>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</si>
  <si>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</si>
  <si>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</si>
  <si>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</si>
  <si>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</si>
  <si>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</si>
  <si>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</si>
  <si>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</si>
  <si>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</si>
  <si>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151223783e</t>
  </si>
  <si>
    <t>151223791e</t>
  </si>
  <si>
    <t>151223832e</t>
  </si>
  <si>
    <t>151223866e</t>
  </si>
  <si>
    <t>151223915e</t>
  </si>
  <si>
    <t>151223981e</t>
  </si>
  <si>
    <t>151223999e</t>
  </si>
  <si>
    <t>151224004e</t>
  </si>
  <si>
    <t>151224020e</t>
  </si>
  <si>
    <t>151224038e</t>
  </si>
  <si>
    <t>151224046e</t>
  </si>
  <si>
    <t>151224096e</t>
  </si>
  <si>
    <t>Date Signed_____________________________________________________________</t>
  </si>
  <si>
    <t>Received By__________________________________________________________________________</t>
  </si>
  <si>
    <t>Deliverd By__________________________________________________________________________</t>
  </si>
  <si>
    <t># 6</t>
  </si>
  <si>
    <t>Funding Worksheet - Signoff Version</t>
  </si>
  <si>
    <t>Column1</t>
  </si>
  <si>
    <t>Column2</t>
  </si>
  <si>
    <t>4453    2150</t>
  </si>
  <si>
    <t>5900      6390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</si>
</sst>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2" fillId="0" borderId="0" xfId="1" applyFill="1" applyAlignment="1">
      <alignment horizontal="left" vertical="top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5E4327D9-3667-4985-AA56-3702B1FA7D21}"/>
  </cellStyles>
  <dxfs count="26">
    <dxf>
      <numFmt numFmtId="11" formatCode="&quot;$&quot;#,##0.00_);\(&quot;$&quot;#,##0.00\)"/>
    </dxf>
    <dxf>
      <numFmt numFmtId="11" formatCode="&quot;$&quot;#,##0.00_);\(&quot;$&quot;#,##0.00\)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66555BEB-0F3E-409D-8C00-396BAF50F12B}" name="Column1" dataDxfId="0"/>
    <tableColumn id="8" xr3:uid="{2C6D19C8-7437-4D25-A067-1086365B3C53}" name="Column2" dataDxfId="1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0AFED2-AED6-42EF-8B80-E69C7AB2C68B}" name="Table_13" displayName="Table_13" ref="A3:M21" headerRowDxfId="12" dataDxfId="10" totalsRowDxfId="11">
  <tableColumns count="13">
    <tableColumn id="1" xr3:uid="{00000000-0010-0000-0000-000001000000}" name="Account Number" dataDxfId="25"/>
    <tableColumn id="2" xr3:uid="{00000000-0010-0000-0000-000002000000}" name="Portal" dataDxfId="24"/>
    <tableColumn id="3" xr3:uid="{00000000-0010-0000-0000-000003000000}" name="Contract Type" dataDxfId="23"/>
    <tableColumn id="4" xr3:uid="{00000000-0010-0000-0000-000004000000}" name="Applicant Name" dataDxfId="22"/>
    <tableColumn id="5" xr3:uid="{00000000-0010-0000-0000-000005000000}" name="Co-Applicant Name" dataDxfId="21"/>
    <tableColumn id="6" xr3:uid="{00000000-0010-0000-0000-000006000000}" name="Dealer Name" dataDxfId="20"/>
    <tableColumn id="7" xr3:uid="{00000000-0010-0000-0000-000007000000}" name="Funded by" dataDxfId="19"/>
    <tableColumn id="8" xr3:uid="{00000000-0010-0000-0000-000008000000}" name="Amount Financed" dataDxfId="18"/>
    <tableColumn id="9" xr3:uid="{00000000-0010-0000-0000-000009000000}" name="Applicant Email" dataDxfId="17"/>
    <tableColumn id="10" xr3:uid="{00000000-0010-0000-0000-00000A000000}" name="Co-Applicant Email" dataDxfId="16"/>
    <tableColumn id="11" xr3:uid="{00000000-0010-0000-0000-00000B000000}" name="App MMN" dataDxfId="15"/>
    <tableColumn id="12" xr3:uid="{00000000-0010-0000-0000-00000C000000}" name="Co-App MMN" dataDxfId="14"/>
    <tableColumn id="13" xr3:uid="{00000000-0010-0000-0000-00000D000000}" name="Business Name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4F442E-B161-4FB1-A7E0-7718B8395C86}" name="Table_14" displayName="Table_14" ref="A3:E10" headerRowDxfId="4" dataDxfId="2" totalsRowDxfId="3">
  <tableColumns count="5">
    <tableColumn id="1" xr3:uid="{00000000-0010-0000-0000-000001000000}" name="Account Number" dataDxfId="9"/>
    <tableColumn id="2" xr3:uid="{00000000-0010-0000-0000-000002000000}" name="Contract Type" dataDxfId="8"/>
    <tableColumn id="3" xr3:uid="{00000000-0010-0000-0000-000003000000}" name="Applicant Name" dataDxfId="7"/>
    <tableColumn id="4" xr3:uid="{00000000-0010-0000-0000-000004000000}" name="Co-Applicant Name" dataDxfId="6"/>
    <tableColumn id="5" xr3:uid="{00000000-0010-0000-0000-000005000000}" name="Dealer Nam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tabSelected="1" workbookViewId="0">
      <pane ySplit="3" topLeftCell="A4" activePane="bottomLeft" state="frozen"/>
      <selection pane="bottomLeft" activeCell="F30" sqref="F30"/>
    </sheetView>
  </sheetViews>
  <sheetFormatPr defaultRowHeight="15" x14ac:dyDescent="0.25"/>
  <cols>
    <col min="1" max="1" width="39" bestFit="1" customWidth="1"/>
    <col min="2" max="2" width="15.140625" bestFit="1" customWidth="1"/>
    <col min="3" max="3" width="11.140625" bestFit="1" customWidth="1"/>
    <col min="4" max="4" width="19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45912</v>
      </c>
      <c r="E1" t="s">
        <v>2</v>
      </c>
      <c r="H1" s="4">
        <v>45912.999988425923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122</v>
      </c>
      <c r="G3" t="s">
        <v>123</v>
      </c>
      <c r="H3" t="s">
        <v>9</v>
      </c>
    </row>
    <row r="4" spans="1:8" x14ac:dyDescent="0.25">
      <c r="A4" t="s">
        <v>10</v>
      </c>
      <c r="B4" t="s">
        <v>11</v>
      </c>
      <c r="C4" s="2">
        <v>850</v>
      </c>
      <c r="D4" s="2">
        <v>0</v>
      </c>
      <c r="E4" s="2">
        <v>31745.94</v>
      </c>
      <c r="F4" s="2"/>
      <c r="G4" s="2"/>
      <c r="H4" s="2">
        <v>31820.94</v>
      </c>
    </row>
    <row r="5" spans="1:8" x14ac:dyDescent="0.25">
      <c r="A5" t="s">
        <v>10</v>
      </c>
      <c r="B5" t="s">
        <v>12</v>
      </c>
      <c r="C5" s="2">
        <v>1350</v>
      </c>
      <c r="D5" s="2">
        <v>0</v>
      </c>
      <c r="E5" s="2">
        <v>51436.06</v>
      </c>
      <c r="F5" s="2">
        <f>SUM(E4:E5)</f>
        <v>83182</v>
      </c>
      <c r="G5" s="2"/>
      <c r="H5" s="2">
        <v>51511.06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13</v>
      </c>
      <c r="B7" t="s">
        <v>11</v>
      </c>
      <c r="C7" s="2">
        <v>1150</v>
      </c>
      <c r="D7" s="2">
        <v>0</v>
      </c>
      <c r="E7" s="2">
        <v>45374.95</v>
      </c>
      <c r="F7" s="2"/>
      <c r="G7" s="2"/>
      <c r="H7" s="2">
        <v>45449.95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12</v>
      </c>
      <c r="C9" s="2">
        <v>650</v>
      </c>
      <c r="D9" s="2">
        <v>0</v>
      </c>
      <c r="E9" s="2">
        <v>22419.439999999999</v>
      </c>
      <c r="F9" s="2"/>
      <c r="G9" s="2"/>
      <c r="H9" s="2">
        <v>22494.44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950</v>
      </c>
      <c r="D11" s="2">
        <v>0</v>
      </c>
      <c r="E11" s="2">
        <v>38283.49</v>
      </c>
      <c r="F11" s="2"/>
      <c r="G11" s="2" t="s">
        <v>124</v>
      </c>
      <c r="H11" s="2">
        <v>38358.49</v>
      </c>
    </row>
    <row r="12" spans="1:8" x14ac:dyDescent="0.25">
      <c r="A12" t="s">
        <v>15</v>
      </c>
      <c r="B12" t="s">
        <v>12</v>
      </c>
      <c r="C12" s="2">
        <v>950</v>
      </c>
      <c r="D12" s="2">
        <v>0</v>
      </c>
      <c r="E12" s="2">
        <v>36652.050000000003</v>
      </c>
      <c r="F12" s="2">
        <f>SUM(E11:E12)</f>
        <v>74935.540000000008</v>
      </c>
      <c r="G12" s="2"/>
      <c r="H12" s="2">
        <v>36727.050000000003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11</v>
      </c>
      <c r="C14" s="2">
        <v>750</v>
      </c>
      <c r="D14" s="2">
        <v>0</v>
      </c>
      <c r="E14" s="2">
        <v>29434.48</v>
      </c>
      <c r="F14" s="2"/>
      <c r="G14" s="2" t="s">
        <v>125</v>
      </c>
      <c r="H14" s="2">
        <v>29509.48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11</v>
      </c>
      <c r="C16" s="2">
        <v>1350</v>
      </c>
      <c r="D16" s="2">
        <v>0</v>
      </c>
      <c r="E16" s="2">
        <v>54684.51</v>
      </c>
      <c r="F16" s="2"/>
      <c r="G16" s="2"/>
      <c r="H16" s="2">
        <v>54759.51</v>
      </c>
    </row>
    <row r="17" spans="1:8" x14ac:dyDescent="0.25">
      <c r="A17" t="s">
        <v>17</v>
      </c>
      <c r="B17" t="s">
        <v>12</v>
      </c>
      <c r="C17" s="2">
        <v>650</v>
      </c>
      <c r="D17" s="2">
        <v>0</v>
      </c>
      <c r="E17" s="2">
        <v>21463.06</v>
      </c>
      <c r="F17" s="2">
        <f>SUM(E16:E17)</f>
        <v>76147.570000000007</v>
      </c>
      <c r="G17" s="2"/>
      <c r="H17" s="2">
        <v>21538.06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18</v>
      </c>
      <c r="B19" t="s">
        <v>12</v>
      </c>
      <c r="C19" s="2">
        <v>750</v>
      </c>
      <c r="D19" s="2">
        <v>0</v>
      </c>
      <c r="E19" s="2">
        <v>29594.69</v>
      </c>
      <c r="F19" s="2"/>
      <c r="G19" s="2"/>
      <c r="H19" s="2">
        <v>29669.69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19</v>
      </c>
      <c r="B21" t="s">
        <v>11</v>
      </c>
      <c r="C21" s="2">
        <v>300</v>
      </c>
      <c r="D21" s="2">
        <v>0</v>
      </c>
      <c r="E21" s="2">
        <v>9925</v>
      </c>
      <c r="F21" s="2"/>
      <c r="G21" s="2"/>
      <c r="H21" s="2">
        <v>10000</v>
      </c>
    </row>
    <row r="22" spans="1:8" x14ac:dyDescent="0.25">
      <c r="A22" t="s">
        <v>19</v>
      </c>
      <c r="B22" t="s">
        <v>11</v>
      </c>
      <c r="C22" s="2">
        <v>850</v>
      </c>
      <c r="D22" s="2">
        <v>0</v>
      </c>
      <c r="E22" s="2">
        <v>29946.35</v>
      </c>
      <c r="F22" s="2"/>
      <c r="G22" s="2"/>
      <c r="H22" s="2">
        <v>30021.35</v>
      </c>
    </row>
    <row r="23" spans="1:8" x14ac:dyDescent="0.25">
      <c r="A23" t="s">
        <v>19</v>
      </c>
      <c r="B23" t="s">
        <v>11</v>
      </c>
      <c r="C23" s="2">
        <v>1350</v>
      </c>
      <c r="D23" s="2">
        <v>0</v>
      </c>
      <c r="E23" s="2">
        <v>51925.2</v>
      </c>
      <c r="F23" s="2">
        <f>SUM(E21:E23)</f>
        <v>91796.549999999988</v>
      </c>
      <c r="G23" s="2"/>
      <c r="H23" s="2">
        <v>52000.2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20</v>
      </c>
      <c r="B25" t="s">
        <v>12</v>
      </c>
      <c r="C25" s="2">
        <v>500</v>
      </c>
      <c r="D25" s="2">
        <v>0</v>
      </c>
      <c r="E25" s="2">
        <v>15043.25</v>
      </c>
      <c r="F25" s="2"/>
      <c r="G25" s="2"/>
      <c r="H25" s="2">
        <v>15118.25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21</v>
      </c>
      <c r="B27" t="s">
        <v>11</v>
      </c>
      <c r="C27" s="2">
        <v>650</v>
      </c>
      <c r="D27" s="2">
        <v>0</v>
      </c>
      <c r="E27" s="2">
        <v>24124.19</v>
      </c>
      <c r="F27" s="2"/>
      <c r="G27" s="2"/>
      <c r="H27" s="2">
        <v>24199.19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22</v>
      </c>
      <c r="B29" t="s">
        <v>12</v>
      </c>
      <c r="C29" s="2">
        <v>750</v>
      </c>
      <c r="D29" s="2">
        <v>0</v>
      </c>
      <c r="E29" s="2">
        <v>28967.26</v>
      </c>
      <c r="F29" s="2"/>
      <c r="G29" s="2"/>
      <c r="H29" s="2">
        <v>29042.26</v>
      </c>
    </row>
    <row r="30" spans="1:8" x14ac:dyDescent="0.25">
      <c r="A30" t="s">
        <v>22</v>
      </c>
      <c r="B30" t="s">
        <v>12</v>
      </c>
      <c r="C30" s="2">
        <v>1350</v>
      </c>
      <c r="D30" s="2">
        <v>0</v>
      </c>
      <c r="E30" s="2">
        <v>51576.26</v>
      </c>
      <c r="F30" s="2">
        <f>SUM(E29:E30)</f>
        <v>80543.520000000004</v>
      </c>
      <c r="G30" s="2"/>
      <c r="H30" s="2">
        <v>51651.26</v>
      </c>
    </row>
    <row r="31" spans="1:8" x14ac:dyDescent="0.25">
      <c r="A31" s="1"/>
      <c r="B31" s="1"/>
      <c r="C31" s="3">
        <f>SUM(C4:C30)</f>
        <v>15150</v>
      </c>
      <c r="D31" s="3">
        <f>SUM(D4:D30)</f>
        <v>0</v>
      </c>
      <c r="E31" s="3">
        <f>SUM(E4:E30)</f>
        <v>572596.17999999993</v>
      </c>
      <c r="F31" s="3"/>
      <c r="G31" s="3"/>
      <c r="H31" s="3">
        <f>SUM(H4:H30)</f>
        <v>573871.17999999993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7D8A-AA41-475E-8432-C5F90A79E984}">
  <sheetPr>
    <pageSetUpPr fitToPage="1"/>
  </sheetPr>
  <dimension ref="A1:M27"/>
  <sheetViews>
    <sheetView workbookViewId="0">
      <pane ySplit="3" topLeftCell="A10" activePane="bottomLeft" state="frozen"/>
      <selection pane="bottomLeft" activeCell="A4" sqref="A4:A20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0.140625" style="8" bestFit="1" customWidth="1"/>
    <col min="5" max="5" width="20.85546875" style="8" bestFit="1" customWidth="1"/>
    <col min="6" max="6" width="39" style="8" bestFit="1" customWidth="1"/>
    <col min="7" max="7" width="15.140625" style="8" bestFit="1" customWidth="1"/>
    <col min="8" max="8" width="17.140625" style="8" bestFit="1" customWidth="1"/>
    <col min="9" max="9" width="33.28515625" style="8" bestFit="1" customWidth="1"/>
    <col min="10" max="10" width="26.85546875" style="8" bestFit="1" customWidth="1"/>
    <col min="11" max="11" width="19.85546875" style="8" bestFit="1" customWidth="1"/>
    <col min="12" max="12" width="12.85546875" style="8" bestFit="1" customWidth="1"/>
    <col min="13" max="13" width="19.85546875" style="8" bestFit="1" customWidth="1"/>
    <col min="14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45912</v>
      </c>
      <c r="L1" s="9" t="s">
        <v>2</v>
      </c>
      <c r="M1" s="10">
        <v>45912.999988425923</v>
      </c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104</v>
      </c>
      <c r="H2" s="12"/>
      <c r="I2" s="12"/>
      <c r="J2" s="12"/>
      <c r="K2" s="12"/>
      <c r="L2" s="12"/>
      <c r="M2" s="12"/>
    </row>
    <row r="3" spans="1:13" ht="35.1" customHeight="1" x14ac:dyDescent="0.25">
      <c r="A3" s="9" t="s">
        <v>103</v>
      </c>
      <c r="B3" s="9" t="s">
        <v>102</v>
      </c>
      <c r="C3" s="9" t="s">
        <v>101</v>
      </c>
      <c r="D3" s="9" t="s">
        <v>100</v>
      </c>
      <c r="E3" s="9" t="s">
        <v>99</v>
      </c>
      <c r="F3" s="9" t="s">
        <v>4</v>
      </c>
      <c r="G3" s="9" t="s">
        <v>5</v>
      </c>
      <c r="H3" s="9" t="s">
        <v>98</v>
      </c>
      <c r="I3" s="9" t="s">
        <v>97</v>
      </c>
      <c r="J3" s="9" t="s">
        <v>96</v>
      </c>
      <c r="K3" s="9" t="s">
        <v>95</v>
      </c>
      <c r="L3" s="9" t="s">
        <v>94</v>
      </c>
      <c r="M3" s="9" t="s">
        <v>93</v>
      </c>
    </row>
    <row r="4" spans="1:13" ht="35.1" customHeight="1" x14ac:dyDescent="0.25">
      <c r="A4" s="14">
        <v>151223725</v>
      </c>
      <c r="B4" s="9" t="s">
        <v>30</v>
      </c>
      <c r="C4" s="9" t="s">
        <v>37</v>
      </c>
      <c r="D4" s="9" t="s">
        <v>91</v>
      </c>
      <c r="E4" s="9"/>
      <c r="F4" s="9" t="s">
        <v>18</v>
      </c>
      <c r="G4" s="9" t="s">
        <v>12</v>
      </c>
      <c r="H4" s="15">
        <v>29669.69</v>
      </c>
      <c r="I4" s="9" t="s">
        <v>90</v>
      </c>
      <c r="J4" s="9"/>
      <c r="K4" s="9" t="s">
        <v>89</v>
      </c>
      <c r="L4" s="9"/>
      <c r="M4" s="9"/>
    </row>
    <row r="5" spans="1:13" ht="35.1" customHeight="1" x14ac:dyDescent="0.25">
      <c r="A5" s="9" t="s">
        <v>105</v>
      </c>
      <c r="B5" s="9" t="s">
        <v>30</v>
      </c>
      <c r="C5" s="9" t="s">
        <v>29</v>
      </c>
      <c r="D5" s="9" t="s">
        <v>88</v>
      </c>
      <c r="E5" s="9"/>
      <c r="F5" s="9" t="s">
        <v>15</v>
      </c>
      <c r="G5" s="9" t="s">
        <v>12</v>
      </c>
      <c r="H5" s="15">
        <v>36727.050000000003</v>
      </c>
      <c r="I5" s="9" t="s">
        <v>87</v>
      </c>
      <c r="J5" s="9"/>
      <c r="K5" s="9" t="s">
        <v>86</v>
      </c>
      <c r="L5" s="9"/>
      <c r="M5" s="9"/>
    </row>
    <row r="6" spans="1:13" ht="35.1" customHeight="1" x14ac:dyDescent="0.25">
      <c r="A6" s="9" t="s">
        <v>106</v>
      </c>
      <c r="B6" s="9" t="s">
        <v>38</v>
      </c>
      <c r="C6" s="9" t="s">
        <v>29</v>
      </c>
      <c r="D6" s="9" t="s">
        <v>85</v>
      </c>
      <c r="E6" s="9"/>
      <c r="F6" s="9" t="s">
        <v>17</v>
      </c>
      <c r="G6" s="9" t="s">
        <v>12</v>
      </c>
      <c r="H6" s="15">
        <v>21538.06</v>
      </c>
      <c r="I6" s="9" t="s">
        <v>84</v>
      </c>
      <c r="J6" s="9"/>
      <c r="K6" s="9" t="s">
        <v>83</v>
      </c>
      <c r="L6" s="9"/>
      <c r="M6" s="9"/>
    </row>
    <row r="7" spans="1:13" ht="35.1" customHeight="1" x14ac:dyDescent="0.25">
      <c r="A7" s="9" t="s">
        <v>82</v>
      </c>
      <c r="B7" s="9" t="s">
        <v>38</v>
      </c>
      <c r="C7" s="9" t="s">
        <v>37</v>
      </c>
      <c r="D7" s="9" t="s">
        <v>81</v>
      </c>
      <c r="E7" s="9"/>
      <c r="F7" s="9" t="s">
        <v>22</v>
      </c>
      <c r="G7" s="9" t="s">
        <v>12</v>
      </c>
      <c r="H7" s="15">
        <v>29042.26</v>
      </c>
      <c r="I7" s="9" t="s">
        <v>80</v>
      </c>
      <c r="J7" s="9"/>
      <c r="K7" s="9" t="s">
        <v>79</v>
      </c>
      <c r="L7" s="9"/>
      <c r="M7" s="9"/>
    </row>
    <row r="8" spans="1:13" ht="35.1" customHeight="1" x14ac:dyDescent="0.25">
      <c r="A8" s="9" t="s">
        <v>107</v>
      </c>
      <c r="B8" s="9" t="s">
        <v>38</v>
      </c>
      <c r="C8" s="9" t="s">
        <v>29</v>
      </c>
      <c r="D8" s="9" t="s">
        <v>78</v>
      </c>
      <c r="E8" s="9"/>
      <c r="F8" s="9" t="s">
        <v>20</v>
      </c>
      <c r="G8" s="9" t="s">
        <v>12</v>
      </c>
      <c r="H8" s="15">
        <v>15118.25</v>
      </c>
      <c r="I8" s="9" t="s">
        <v>77</v>
      </c>
      <c r="J8" s="9"/>
      <c r="K8" s="9" t="s">
        <v>76</v>
      </c>
      <c r="L8" s="9"/>
      <c r="M8" s="9"/>
    </row>
    <row r="9" spans="1:13" ht="35.1" customHeight="1" x14ac:dyDescent="0.25">
      <c r="A9" s="9" t="s">
        <v>108</v>
      </c>
      <c r="B9" s="9" t="s">
        <v>38</v>
      </c>
      <c r="C9" s="9" t="s">
        <v>37</v>
      </c>
      <c r="D9" s="9" t="s">
        <v>74</v>
      </c>
      <c r="E9" s="9"/>
      <c r="F9" s="9" t="s">
        <v>22</v>
      </c>
      <c r="G9" s="9" t="s">
        <v>12</v>
      </c>
      <c r="H9" s="15">
        <v>51651.26</v>
      </c>
      <c r="I9" s="9" t="s">
        <v>73</v>
      </c>
      <c r="J9" s="9"/>
      <c r="K9" s="9" t="s">
        <v>72</v>
      </c>
      <c r="L9" s="9"/>
      <c r="M9" s="9"/>
    </row>
    <row r="10" spans="1:13" ht="35.1" customHeight="1" x14ac:dyDescent="0.25">
      <c r="A10" s="9" t="s">
        <v>109</v>
      </c>
      <c r="B10" s="9" t="s">
        <v>38</v>
      </c>
      <c r="C10" s="9" t="s">
        <v>29</v>
      </c>
      <c r="D10" s="9" t="s">
        <v>71</v>
      </c>
      <c r="E10" s="9"/>
      <c r="F10" s="9" t="s">
        <v>10</v>
      </c>
      <c r="G10" s="9" t="s">
        <v>12</v>
      </c>
      <c r="H10" s="15">
        <v>51511.06</v>
      </c>
      <c r="I10" s="9" t="s">
        <v>70</v>
      </c>
      <c r="J10" s="9"/>
      <c r="K10" s="9" t="s">
        <v>69</v>
      </c>
      <c r="L10" s="9"/>
      <c r="M10" s="9"/>
    </row>
    <row r="11" spans="1:13" ht="35.1" customHeight="1" x14ac:dyDescent="0.25">
      <c r="A11" s="9" t="s">
        <v>68</v>
      </c>
      <c r="B11" s="9" t="s">
        <v>38</v>
      </c>
      <c r="C11" s="9" t="s">
        <v>37</v>
      </c>
      <c r="D11" s="9" t="s">
        <v>67</v>
      </c>
      <c r="E11" s="9"/>
      <c r="F11" s="9" t="s">
        <v>19</v>
      </c>
      <c r="G11" s="9" t="s">
        <v>11</v>
      </c>
      <c r="H11" s="15">
        <v>52000.2</v>
      </c>
      <c r="I11" s="9" t="s">
        <v>66</v>
      </c>
      <c r="J11" s="9"/>
      <c r="K11" s="9" t="s">
        <v>65</v>
      </c>
      <c r="L11" s="9"/>
      <c r="M11" s="9"/>
    </row>
    <row r="12" spans="1:13" ht="35.1" customHeight="1" x14ac:dyDescent="0.25">
      <c r="A12" s="9" t="s">
        <v>110</v>
      </c>
      <c r="B12" s="9" t="s">
        <v>38</v>
      </c>
      <c r="C12" s="9" t="s">
        <v>29</v>
      </c>
      <c r="D12" s="9" t="s">
        <v>64</v>
      </c>
      <c r="E12" s="9"/>
      <c r="F12" s="9" t="s">
        <v>13</v>
      </c>
      <c r="G12" s="9" t="s">
        <v>11</v>
      </c>
      <c r="H12" s="15">
        <v>45449.95</v>
      </c>
      <c r="I12" s="9" t="s">
        <v>63</v>
      </c>
      <c r="J12" s="9"/>
      <c r="K12" s="9" t="s">
        <v>62</v>
      </c>
      <c r="L12" s="9"/>
      <c r="M12" s="9"/>
    </row>
    <row r="13" spans="1:13" ht="35.1" customHeight="1" x14ac:dyDescent="0.25">
      <c r="A13" s="9" t="s">
        <v>111</v>
      </c>
      <c r="B13" s="9" t="s">
        <v>38</v>
      </c>
      <c r="C13" s="9" t="s">
        <v>29</v>
      </c>
      <c r="D13" s="9" t="s">
        <v>61</v>
      </c>
      <c r="E13" s="9"/>
      <c r="F13" s="9" t="s">
        <v>17</v>
      </c>
      <c r="G13" s="9" t="s">
        <v>11</v>
      </c>
      <c r="H13" s="15">
        <v>54759.51</v>
      </c>
      <c r="I13" s="9" t="s">
        <v>60</v>
      </c>
      <c r="J13" s="9"/>
      <c r="K13" s="9" t="s">
        <v>59</v>
      </c>
      <c r="L13" s="9"/>
      <c r="M13" s="9"/>
    </row>
    <row r="14" spans="1:13" ht="35.1" customHeight="1" x14ac:dyDescent="0.25">
      <c r="A14" s="9" t="s">
        <v>112</v>
      </c>
      <c r="B14" s="9" t="s">
        <v>30</v>
      </c>
      <c r="C14" s="9" t="s">
        <v>29</v>
      </c>
      <c r="D14" s="9" t="s">
        <v>58</v>
      </c>
      <c r="E14" s="9"/>
      <c r="F14" s="9" t="s">
        <v>21</v>
      </c>
      <c r="G14" s="9" t="s">
        <v>11</v>
      </c>
      <c r="H14" s="15">
        <v>24199.19</v>
      </c>
      <c r="I14" s="9" t="s">
        <v>57</v>
      </c>
      <c r="J14" s="9"/>
      <c r="K14" s="9" t="s">
        <v>56</v>
      </c>
      <c r="L14" s="9"/>
      <c r="M14" s="9"/>
    </row>
    <row r="15" spans="1:13" ht="35.1" customHeight="1" x14ac:dyDescent="0.25">
      <c r="A15" s="9" t="s">
        <v>55</v>
      </c>
      <c r="B15" s="9" t="s">
        <v>38</v>
      </c>
      <c r="C15" s="9" t="s">
        <v>37</v>
      </c>
      <c r="D15" s="9" t="s">
        <v>54</v>
      </c>
      <c r="E15" s="9"/>
      <c r="F15" s="9" t="s">
        <v>19</v>
      </c>
      <c r="G15" s="9" t="s">
        <v>11</v>
      </c>
      <c r="H15" s="15">
        <v>30021.35</v>
      </c>
      <c r="I15" s="9" t="s">
        <v>53</v>
      </c>
      <c r="J15" s="9"/>
      <c r="K15" s="9" t="s">
        <v>52</v>
      </c>
      <c r="L15" s="9"/>
      <c r="M15" s="9"/>
    </row>
    <row r="16" spans="1:13" ht="35.1" customHeight="1" x14ac:dyDescent="0.25">
      <c r="A16" s="9" t="s">
        <v>113</v>
      </c>
      <c r="B16" s="9" t="s">
        <v>30</v>
      </c>
      <c r="C16" s="9" t="s">
        <v>29</v>
      </c>
      <c r="D16" s="9" t="s">
        <v>51</v>
      </c>
      <c r="E16" s="9"/>
      <c r="F16" s="9" t="s">
        <v>15</v>
      </c>
      <c r="G16" s="9" t="s">
        <v>11</v>
      </c>
      <c r="H16" s="15">
        <v>38358.49</v>
      </c>
      <c r="I16" s="9" t="s">
        <v>50</v>
      </c>
      <c r="J16" s="9"/>
      <c r="K16" s="9" t="s">
        <v>49</v>
      </c>
      <c r="L16" s="9"/>
      <c r="M16" s="9"/>
    </row>
    <row r="17" spans="1:13" ht="35.1" customHeight="1" x14ac:dyDescent="0.25">
      <c r="A17" s="9" t="s">
        <v>114</v>
      </c>
      <c r="B17" s="9" t="s">
        <v>38</v>
      </c>
      <c r="C17" s="9" t="s">
        <v>29</v>
      </c>
      <c r="D17" s="9" t="s">
        <v>48</v>
      </c>
      <c r="E17" s="9"/>
      <c r="F17" s="9" t="s">
        <v>10</v>
      </c>
      <c r="G17" s="9" t="s">
        <v>11</v>
      </c>
      <c r="H17" s="15">
        <v>31820.94</v>
      </c>
      <c r="I17" s="9" t="s">
        <v>47</v>
      </c>
      <c r="J17" s="9"/>
      <c r="K17" s="9" t="s">
        <v>46</v>
      </c>
      <c r="L17" s="9"/>
      <c r="M17" s="9"/>
    </row>
    <row r="18" spans="1:13" ht="35.1" customHeight="1" x14ac:dyDescent="0.25">
      <c r="A18" s="9" t="s">
        <v>115</v>
      </c>
      <c r="B18" s="9" t="s">
        <v>30</v>
      </c>
      <c r="C18" s="9" t="s">
        <v>29</v>
      </c>
      <c r="D18" s="9" t="s">
        <v>45</v>
      </c>
      <c r="E18" s="9" t="s">
        <v>44</v>
      </c>
      <c r="F18" s="9" t="s">
        <v>16</v>
      </c>
      <c r="G18" s="9" t="s">
        <v>11</v>
      </c>
      <c r="H18" s="15">
        <v>29509.48</v>
      </c>
      <c r="I18" s="9" t="s">
        <v>43</v>
      </c>
      <c r="J18" s="9" t="s">
        <v>42</v>
      </c>
      <c r="K18" s="9" t="s">
        <v>41</v>
      </c>
      <c r="L18" s="9" t="s">
        <v>40</v>
      </c>
      <c r="M18" s="9"/>
    </row>
    <row r="19" spans="1:13" ht="35.1" customHeight="1" x14ac:dyDescent="0.25">
      <c r="A19" s="9" t="s">
        <v>39</v>
      </c>
      <c r="B19" s="9" t="s">
        <v>38</v>
      </c>
      <c r="C19" s="9" t="s">
        <v>37</v>
      </c>
      <c r="D19" s="9" t="s">
        <v>36</v>
      </c>
      <c r="E19" s="9" t="s">
        <v>35</v>
      </c>
      <c r="F19" s="9" t="s">
        <v>19</v>
      </c>
      <c r="G19" s="9" t="s">
        <v>11</v>
      </c>
      <c r="H19" s="15">
        <v>10000</v>
      </c>
      <c r="I19" s="9" t="s">
        <v>34</v>
      </c>
      <c r="J19" s="9" t="s">
        <v>33</v>
      </c>
      <c r="K19" s="9" t="s">
        <v>32</v>
      </c>
      <c r="L19" s="9" t="s">
        <v>31</v>
      </c>
      <c r="M19" s="9"/>
    </row>
    <row r="20" spans="1:13" ht="35.1" customHeight="1" x14ac:dyDescent="0.25">
      <c r="A20" s="9" t="s">
        <v>116</v>
      </c>
      <c r="B20" s="9" t="s">
        <v>30</v>
      </c>
      <c r="C20" s="9" t="s">
        <v>29</v>
      </c>
      <c r="D20" s="9" t="s">
        <v>28</v>
      </c>
      <c r="E20" s="9" t="s">
        <v>27</v>
      </c>
      <c r="F20" s="9" t="s">
        <v>14</v>
      </c>
      <c r="G20" s="9" t="s">
        <v>12</v>
      </c>
      <c r="H20" s="15">
        <v>22494.44</v>
      </c>
      <c r="I20" s="9" t="s">
        <v>26</v>
      </c>
      <c r="J20" s="9"/>
      <c r="K20" s="9" t="s">
        <v>25</v>
      </c>
      <c r="L20" s="9" t="s">
        <v>24</v>
      </c>
      <c r="M20" s="9"/>
    </row>
    <row r="21" spans="1:13" ht="35.1" customHeight="1" x14ac:dyDescent="0.25">
      <c r="A21" s="16"/>
      <c r="B21" s="16"/>
      <c r="C21" s="16"/>
      <c r="D21" s="16" t="s">
        <v>23</v>
      </c>
      <c r="E21" s="16"/>
      <c r="F21" s="16"/>
      <c r="G21" s="16"/>
      <c r="H21" s="17">
        <f>SUM(H4:H20)</f>
        <v>573871.17999999993</v>
      </c>
      <c r="I21" s="16"/>
      <c r="J21" s="16"/>
      <c r="K21" s="16"/>
      <c r="L21" s="16"/>
      <c r="M21" s="16"/>
    </row>
    <row r="22" spans="1:13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ht="35.1" customHeight="1" x14ac:dyDescent="0.25"/>
    <row r="24" spans="1:13" ht="35.1" customHeight="1" x14ac:dyDescent="0.25"/>
    <row r="25" spans="1:13" ht="35.1" customHeight="1" x14ac:dyDescent="0.25"/>
    <row r="26" spans="1:13" ht="35.1" customHeight="1" x14ac:dyDescent="0.25"/>
    <row r="27" spans="1:13" ht="35.1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58E7-6E66-4A7E-B23D-40C7CAFFC059}">
  <sheetPr>
    <pageSetUpPr fitToPage="1"/>
  </sheetPr>
  <dimension ref="A1:E25"/>
  <sheetViews>
    <sheetView workbookViewId="0">
      <pane ySplit="3" topLeftCell="A4" activePane="bottomLeft" state="frozen"/>
      <selection pane="bottomLeft" activeCell="D15" sqref="D15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0.140625" style="8" bestFit="1" customWidth="1"/>
    <col min="4" max="4" width="20.85546875" style="8" bestFit="1" customWidth="1"/>
    <col min="5" max="5" width="39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45912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121</v>
      </c>
      <c r="E2" s="12"/>
    </row>
    <row r="3" spans="1:5" x14ac:dyDescent="0.25">
      <c r="A3" s="9" t="s">
        <v>103</v>
      </c>
      <c r="B3" s="9" t="s">
        <v>101</v>
      </c>
      <c r="C3" s="9" t="s">
        <v>100</v>
      </c>
      <c r="D3" s="9" t="s">
        <v>99</v>
      </c>
      <c r="E3" s="9" t="s">
        <v>4</v>
      </c>
    </row>
    <row r="4" spans="1:5" x14ac:dyDescent="0.25">
      <c r="A4" s="9" t="s">
        <v>92</v>
      </c>
      <c r="B4" s="9" t="s">
        <v>37</v>
      </c>
      <c r="C4" s="9" t="s">
        <v>91</v>
      </c>
      <c r="D4" s="9"/>
      <c r="E4" s="9" t="s">
        <v>18</v>
      </c>
    </row>
    <row r="5" spans="1:5" x14ac:dyDescent="0.25">
      <c r="A5" s="9" t="s">
        <v>82</v>
      </c>
      <c r="B5" s="9" t="s">
        <v>37</v>
      </c>
      <c r="C5" s="9" t="s">
        <v>81</v>
      </c>
      <c r="D5" s="9"/>
      <c r="E5" s="9" t="s">
        <v>22</v>
      </c>
    </row>
    <row r="6" spans="1:5" x14ac:dyDescent="0.25">
      <c r="A6" s="9" t="s">
        <v>75</v>
      </c>
      <c r="B6" s="9" t="s">
        <v>37</v>
      </c>
      <c r="C6" s="9" t="s">
        <v>74</v>
      </c>
      <c r="D6" s="9"/>
      <c r="E6" s="9" t="s">
        <v>22</v>
      </c>
    </row>
    <row r="7" spans="1:5" x14ac:dyDescent="0.25">
      <c r="A7" s="9" t="s">
        <v>68</v>
      </c>
      <c r="B7" s="9" t="s">
        <v>37</v>
      </c>
      <c r="C7" s="9" t="s">
        <v>67</v>
      </c>
      <c r="D7" s="9"/>
      <c r="E7" s="9" t="s">
        <v>19</v>
      </c>
    </row>
    <row r="8" spans="1:5" x14ac:dyDescent="0.25">
      <c r="A8" s="9" t="s">
        <v>55</v>
      </c>
      <c r="B8" s="9" t="s">
        <v>37</v>
      </c>
      <c r="C8" s="9" t="s">
        <v>54</v>
      </c>
      <c r="D8" s="9"/>
      <c r="E8" s="9" t="s">
        <v>19</v>
      </c>
    </row>
    <row r="9" spans="1:5" x14ac:dyDescent="0.25">
      <c r="A9" s="9" t="s">
        <v>39</v>
      </c>
      <c r="B9" s="9" t="s">
        <v>37</v>
      </c>
      <c r="C9" s="9" t="s">
        <v>36</v>
      </c>
      <c r="D9" s="9" t="s">
        <v>35</v>
      </c>
      <c r="E9" s="9" t="s">
        <v>19</v>
      </c>
    </row>
    <row r="10" spans="1:5" x14ac:dyDescent="0.25">
      <c r="A10" s="16"/>
      <c r="B10" s="16"/>
      <c r="C10" s="16" t="s">
        <v>120</v>
      </c>
      <c r="D10" s="16"/>
      <c r="E10" s="16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119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118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 t="s">
        <v>117</v>
      </c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</sheetData>
  <mergeCells count="2">
    <mergeCell ref="A2:C2"/>
    <mergeCell ref="D2:E2"/>
  </mergeCells>
  <pageMargins left="0.7" right="0.7" top="0.75" bottom="0.75" header="0.3" footer="0.3"/>
  <pageSetup scale="8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2025-09-12T18:42:06Z</cp:lastPrinted>
  <dcterms:created xsi:type="dcterms:W3CDTF">2025-09-12T18:29:56Z</dcterms:created>
  <dcterms:modified xsi:type="dcterms:W3CDTF">2025-09-12T18:58:43Z</dcterms:modified>
</cp:coreProperties>
</file>