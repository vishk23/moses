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4A623BFD-FAD1-4016-ADF1-4DFAD1076743}" xr6:coauthVersionLast="47" xr6:coauthVersionMax="47" xr10:uidLastSave="{00000000-0000-0000-0000-000000000000}"/>
  <bookViews>
    <workbookView xWindow="29955" yWindow="690" windowWidth="20580" windowHeight="1560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" l="1"/>
  <c r="G22" i="2"/>
  <c r="G15" i="2"/>
  <c r="G10" i="2"/>
  <c r="G7" i="2"/>
  <c r="H33" i="2"/>
  <c r="F33" i="2"/>
  <c r="E33" i="2"/>
  <c r="D33" i="2"/>
  <c r="H22" i="1"/>
</calcChain>
</file>

<file path=xl/sharedStrings.xml><?xml version="1.0" encoding="utf-8"?>
<sst xmlns="http://schemas.openxmlformats.org/spreadsheetml/2006/main" count="229" uniqueCount="122">
  <si>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</si>
  <si>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</si>
  <si>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</si>
  <si>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</si>
  <si>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</si>
  <si>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</si>
  <si>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</si>
  <si>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</si>
  <si>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</si>
  <si>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</si>
  <si>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</si>
  <si>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</si>
  <si>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</si>
  <si>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</si>
  <si>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Route One</t>
  </si>
  <si>
    <t>E Contract</t>
  </si>
  <si>
    <t>FURBISH, RONALD</t>
  </si>
  <si>
    <t>Toyota of Dartmouth</t>
  </si>
  <si>
    <t>Marlene Braganca</t>
  </si>
  <si>
    <t>rfurby1@gmail.com</t>
  </si>
  <si>
    <t>Peaton</t>
  </si>
  <si>
    <t>MARSTON, SETH</t>
  </si>
  <si>
    <t>Wareham Ford</t>
  </si>
  <si>
    <t>marstonbar@yahoo.com</t>
  </si>
  <si>
    <t>Hauber</t>
  </si>
  <si>
    <t>CHAMBERLAIN, KERRI</t>
  </si>
  <si>
    <t>Lucchettis Service Center Inc</t>
  </si>
  <si>
    <t>KERRICVT@GMAIL.COM</t>
  </si>
  <si>
    <t>Westgate</t>
  </si>
  <si>
    <t>CARDEIRO, BRIAN</t>
  </si>
  <si>
    <t>Grieco Toyota</t>
  </si>
  <si>
    <t>Kollek</t>
  </si>
  <si>
    <t>TRUONG, HONG</t>
  </si>
  <si>
    <t>Herb Chambers Lexus of Hingham</t>
  </si>
  <si>
    <t>Neli Oliveira</t>
  </si>
  <si>
    <t>WRITE2HONG@GMAIL.COM</t>
  </si>
  <si>
    <t>HUYNH</t>
  </si>
  <si>
    <t>DealerTrack</t>
  </si>
  <si>
    <t>MANLEY, MARK</t>
  </si>
  <si>
    <t>Coastal Volkswagon</t>
  </si>
  <si>
    <t>MARKEVERETTMANLEY@GMAIL.COM</t>
  </si>
  <si>
    <t>FISHER</t>
  </si>
  <si>
    <t>SOULIOTIS, HANNAH</t>
  </si>
  <si>
    <t>Mastria Mazda</t>
  </si>
  <si>
    <t>novakh22@gmail.com</t>
  </si>
  <si>
    <t>NOVAK</t>
  </si>
  <si>
    <t>HORAN, DANIEL</t>
  </si>
  <si>
    <t>Rachel Gorham</t>
  </si>
  <si>
    <t>COVELL</t>
  </si>
  <si>
    <t>151163830</t>
  </si>
  <si>
    <t>Paper</t>
  </si>
  <si>
    <t>RAZEE, GARY</t>
  </si>
  <si>
    <t>RAZEE, DIANNE</t>
  </si>
  <si>
    <t>T F Murphy Enterprises Inc</t>
  </si>
  <si>
    <t>GRAZEE1874@AOL.COM</t>
  </si>
  <si>
    <t>MCCALL</t>
  </si>
  <si>
    <t>VAUDRAIN</t>
  </si>
  <si>
    <t>NATH, MANISH</t>
  </si>
  <si>
    <t>MANISH.NATH@GMAIL.COM</t>
  </si>
  <si>
    <t>LABH</t>
  </si>
  <si>
    <t>PHILLIPS, LORI</t>
  </si>
  <si>
    <t>NILLAMUFFIN2@AOL.COM</t>
  </si>
  <si>
    <t>RICCI</t>
  </si>
  <si>
    <t>MCAULEY, THOMAS</t>
  </si>
  <si>
    <t>TMCAULEY@BURNDY.COM</t>
  </si>
  <si>
    <t>BURNS</t>
  </si>
  <si>
    <t>151163989</t>
  </si>
  <si>
    <t>MCLAUGHLIN, DENNIS</t>
  </si>
  <si>
    <t>Viti Mercedes</t>
  </si>
  <si>
    <t>FLTSRV@GMAIL.COM</t>
  </si>
  <si>
    <t>HANLON</t>
  </si>
  <si>
    <t>GAOUETTE, KYLIE</t>
  </si>
  <si>
    <t>KYHARK@COMCAST.NET</t>
  </si>
  <si>
    <t>BISHOP</t>
  </si>
  <si>
    <t>HOLT, ABBEY</t>
  </si>
  <si>
    <t>HOLT, NANCY</t>
  </si>
  <si>
    <t>abbeymarisa@gmail.com</t>
  </si>
  <si>
    <t>Butters</t>
  </si>
  <si>
    <t>Collins</t>
  </si>
  <si>
    <t>MARTINO, CARLO</t>
  </si>
  <si>
    <t>Grieco Enterprises, LLC d/b/a</t>
  </si>
  <si>
    <t>CARLOMARTINO2016@GMAIL.COM</t>
  </si>
  <si>
    <t>Martino</t>
  </si>
  <si>
    <t>RAMOS SANTIAGO, CHRISTIAN</t>
  </si>
  <si>
    <t>Adao Automotive Group Inc d/b/a</t>
  </si>
  <si>
    <t>SANTANA</t>
  </si>
  <si>
    <t>GALLOGLY, RAYMOND</t>
  </si>
  <si>
    <t>GALLOGS@VERIZON.NET</t>
  </si>
  <si>
    <t>Poland</t>
  </si>
  <si>
    <t># 18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</si>
  <si>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</si>
  <si>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</si>
  <si>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</si>
  <si>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</si>
  <si>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</si>
  <si>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</si>
  <si>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</si>
  <si>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Funding Worksheet - Signoff Version</t>
  </si>
  <si>
    <t># 2</t>
  </si>
  <si>
    <t>Original Notes Delivered</t>
  </si>
  <si>
    <t>Delivered by:</t>
  </si>
  <si>
    <t>Received by:</t>
  </si>
  <si>
    <t>Date Signed:</t>
  </si>
  <si>
    <t>kia-Adao Automotive Group Inc d/b/a</t>
  </si>
  <si>
    <t>5900-</t>
  </si>
  <si>
    <t>151163814 E</t>
  </si>
  <si>
    <t>151163591 E</t>
  </si>
  <si>
    <t>151163608 E</t>
  </si>
  <si>
    <t>151163640 E</t>
  </si>
  <si>
    <t>151163658 E</t>
  </si>
  <si>
    <t>151163749 E</t>
  </si>
  <si>
    <t>151163765 E</t>
  </si>
  <si>
    <t>151163781 E</t>
  </si>
  <si>
    <t>151163848 E</t>
  </si>
  <si>
    <t>151163856 E</t>
  </si>
  <si>
    <t>151163898 E</t>
  </si>
  <si>
    <t>151163997 E</t>
  </si>
  <si>
    <t>151164010 E</t>
  </si>
  <si>
    <t>151164028 E</t>
  </si>
  <si>
    <t>151164044 E</t>
  </si>
  <si>
    <t>151164052 E</t>
  </si>
  <si>
    <t>3376-3754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</si>
</sst>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[$-409]mmmm\ d\,\ yyyy;@"/>
    <numFmt numFmtId="167" formatCode="[$-F800]dddd\,\ mmmm\ dd\,\ yyyy"/>
  </numFmts>
  <fonts count="6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167" fontId="2" fillId="0" borderId="0" xfId="0" applyNumberFormat="1" applyFont="1"/>
    <xf numFmtId="0" fontId="0" fillId="0" borderId="1" xfId="0" applyBorder="1"/>
    <xf numFmtId="0" fontId="2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3" fillId="0" borderId="0" xfId="0" applyFont="1"/>
    <xf numFmtId="0" fontId="5" fillId="0" borderId="0" xfId="0" applyFont="1" applyAlignment="1">
      <alignment horizontal="right"/>
    </xf>
    <xf numFmtId="7" fontId="3" fillId="0" borderId="0" xfId="0" applyNumberFormat="1" applyFont="1"/>
    <xf numFmtId="7" fontId="4" fillId="0" borderId="0" xfId="0" applyNumberFormat="1" applyFont="1"/>
    <xf numFmtId="0" fontId="5" fillId="0" borderId="0" xfId="0" applyFont="1"/>
    <xf numFmtId="7" fontId="5" fillId="0" borderId="0" xfId="0" applyNumberFormat="1" applyFont="1"/>
    <xf numFmtId="164" fontId="0" fillId="0" borderId="0" xfId="0" applyNumberFormat="1" applyAlignment="1">
      <alignment horizontal="right"/>
    </xf>
    <xf numFmtId="0" fontId="0" fillId="0" borderId="0" xfId="0" applyAlignment="1"/>
    <xf numFmtId="14" fontId="2" fillId="0" borderId="0" xfId="0" applyNumberFormat="1" applyFont="1" applyAlignment="1">
      <alignment horizontal="left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22">
  <tableColumns count="12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ADE717-93E5-44E0-9398-0C452F4C3BF1}" name="Table_14" displayName="Table_14" ref="A3:H33" headerRowDxfId="2" dataDxfId="0" totalsRowDxfId="1">
  <sortState xmlns:xlrd2="http://schemas.microsoft.com/office/spreadsheetml/2017/richdata2" ref="A4:H33">
    <sortCondition ref="A4:A33"/>
  </sortState>
  <tableColumns count="8">
    <tableColumn id="1" xr3:uid="{0B132EAE-A038-4498-8925-F72536644A93}" name="Dealer Name" dataDxfId="10"/>
    <tableColumn id="8" xr3:uid="{7F427AD3-9B7D-4505-8935-8E28CF6B475F}" name="Column2" dataDxfId="9"/>
    <tableColumn id="2" xr3:uid="{2947946D-86EB-400B-B236-BBA61E1CDD96}" name="Funded by" dataDxfId="8"/>
    <tableColumn id="3" xr3:uid="{086831A8-D0D0-4687-8A51-454557E4EFF6}" name="Dealer Flat" dataDxfId="7"/>
    <tableColumn id="4" xr3:uid="{6AB1C352-4BF8-4DBB-958E-B5854964192F}" name="Dealer Split" dataDxfId="6"/>
    <tableColumn id="5" xr3:uid="{2C54A175-AD8C-48D4-99F1-ED4FD562C711}" name="Net to Dealer" dataDxfId="5"/>
    <tableColumn id="7" xr3:uid="{C62BE6D5-FCBA-481D-98E5-2EF3F17F16DF}" name="Column1" dataDxfId="4"/>
    <tableColumn id="6" xr3:uid="{5B4F5655-8C82-4570-BF61-C72E0A0E1930}" name="Contracted Amount Financed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5FE8F5-69EE-41C6-AF04-766D7EB93C29}" name="Table_15" displayName="Table_15" ref="A3:E6">
  <tableColumns count="5">
    <tableColumn id="1" xr3:uid="{A21B0875-46FA-4BDA-9E5C-E6CFE3CE28E5}" name="Account Number"/>
    <tableColumn id="2" xr3:uid="{02C157B4-BF7E-4AE5-BF7E-23015C813C75}" name="Contract Type"/>
    <tableColumn id="3" xr3:uid="{1C3CEC0D-6204-4311-B6B7-780F63B567A3}" name="Applicant Name"/>
    <tableColumn id="4" xr3:uid="{C63854E6-319A-4BD1-B524-969A703936DD}" name="Co-Applicant Name"/>
    <tableColumn id="5" xr3:uid="{C9CC3BCA-D19A-4EA1-858D-2C23F95F25B5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2"/>
  <sheetViews>
    <sheetView tabSelected="1" workbookViewId="0">
      <pane ySplit="3" topLeftCell="A4" activePane="bottomLeft" state="frozen"/>
      <selection pane="bottomLeft" activeCell="F15" sqref="F15"/>
    </sheetView>
  </sheetViews>
  <sheetFormatPr defaultRowHeight="15" x14ac:dyDescent="0.25"/>
  <cols>
    <col min="1" max="1" width="16.42578125" bestFit="1" customWidth="1"/>
    <col min="2" max="2" width="12.140625" bestFit="1" customWidth="1"/>
    <col min="3" max="3" width="14" bestFit="1" customWidth="1"/>
    <col min="4" max="4" width="25.7109375" customWidth="1"/>
    <col min="5" max="5" width="18.7109375" bestFit="1" customWidth="1"/>
    <col min="6" max="6" width="32.5703125" bestFit="1" customWidth="1"/>
    <col min="7" max="7" width="17.7109375" bestFit="1" customWidth="1"/>
    <col min="8" max="8" width="17.140625" bestFit="1" customWidth="1"/>
    <col min="9" max="9" width="31.28515625" customWidth="1"/>
    <col min="10" max="10" width="4.140625" customWidth="1"/>
    <col min="11" max="12" width="12.85546875" bestFit="1" customWidth="1"/>
  </cols>
  <sheetData>
    <row r="1" spans="1:12" x14ac:dyDescent="0.25">
      <c r="A1" s="23">
        <v>45750</v>
      </c>
      <c r="K1" s="21">
        <v>45750</v>
      </c>
      <c r="L1" s="22"/>
    </row>
    <row r="2" spans="1:12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ht="33" customHeight="1" x14ac:dyDescent="0.25">
      <c r="A4" t="s">
        <v>106</v>
      </c>
      <c r="B4" t="s">
        <v>14</v>
      </c>
      <c r="C4" t="s">
        <v>15</v>
      </c>
      <c r="D4" t="s">
        <v>16</v>
      </c>
      <c r="F4" t="s">
        <v>17</v>
      </c>
      <c r="G4" t="s">
        <v>18</v>
      </c>
      <c r="H4" s="2">
        <v>36487.61</v>
      </c>
      <c r="I4" t="s">
        <v>19</v>
      </c>
      <c r="K4" t="s">
        <v>20</v>
      </c>
    </row>
    <row r="5" spans="1:12" ht="33" customHeight="1" x14ac:dyDescent="0.25">
      <c r="A5" t="s">
        <v>107</v>
      </c>
      <c r="B5" t="s">
        <v>14</v>
      </c>
      <c r="C5" t="s">
        <v>15</v>
      </c>
      <c r="D5" t="s">
        <v>21</v>
      </c>
      <c r="F5" t="s">
        <v>22</v>
      </c>
      <c r="G5" t="s">
        <v>18</v>
      </c>
      <c r="H5" s="2">
        <v>8540.5</v>
      </c>
      <c r="I5" t="s">
        <v>23</v>
      </c>
      <c r="K5" t="s">
        <v>24</v>
      </c>
    </row>
    <row r="6" spans="1:12" ht="33" customHeight="1" x14ac:dyDescent="0.25">
      <c r="A6" t="s">
        <v>108</v>
      </c>
      <c r="B6" t="s">
        <v>14</v>
      </c>
      <c r="C6" t="s">
        <v>15</v>
      </c>
      <c r="D6" t="s">
        <v>25</v>
      </c>
      <c r="F6" t="s">
        <v>26</v>
      </c>
      <c r="G6" t="s">
        <v>18</v>
      </c>
      <c r="H6" s="2">
        <v>38669.19</v>
      </c>
      <c r="I6" t="s">
        <v>27</v>
      </c>
      <c r="K6" t="s">
        <v>28</v>
      </c>
    </row>
    <row r="7" spans="1:12" ht="33" customHeight="1" x14ac:dyDescent="0.25">
      <c r="A7" t="s">
        <v>109</v>
      </c>
      <c r="B7" t="s">
        <v>14</v>
      </c>
      <c r="C7" t="s">
        <v>15</v>
      </c>
      <c r="D7" t="s">
        <v>29</v>
      </c>
      <c r="F7" t="s">
        <v>30</v>
      </c>
      <c r="G7" t="s">
        <v>18</v>
      </c>
      <c r="H7" s="2">
        <v>59575.56</v>
      </c>
      <c r="K7" t="s">
        <v>31</v>
      </c>
    </row>
    <row r="8" spans="1:12" ht="33" customHeight="1" x14ac:dyDescent="0.25">
      <c r="A8" t="s">
        <v>110</v>
      </c>
      <c r="B8" t="s">
        <v>14</v>
      </c>
      <c r="C8" t="s">
        <v>15</v>
      </c>
      <c r="D8" t="s">
        <v>32</v>
      </c>
      <c r="F8" t="s">
        <v>33</v>
      </c>
      <c r="G8" t="s">
        <v>34</v>
      </c>
      <c r="H8" s="2">
        <v>70128</v>
      </c>
      <c r="I8" t="s">
        <v>35</v>
      </c>
      <c r="K8" t="s">
        <v>36</v>
      </c>
    </row>
    <row r="9" spans="1:12" ht="33" customHeight="1" x14ac:dyDescent="0.25">
      <c r="A9" t="s">
        <v>111</v>
      </c>
      <c r="B9" t="s">
        <v>37</v>
      </c>
      <c r="C9" t="s">
        <v>15</v>
      </c>
      <c r="D9" t="s">
        <v>38</v>
      </c>
      <c r="F9" t="s">
        <v>39</v>
      </c>
      <c r="G9" t="s">
        <v>34</v>
      </c>
      <c r="H9" s="2">
        <v>34901.94</v>
      </c>
      <c r="I9" t="s">
        <v>40</v>
      </c>
      <c r="K9" t="s">
        <v>41</v>
      </c>
    </row>
    <row r="10" spans="1:12" ht="33" customHeight="1" x14ac:dyDescent="0.25">
      <c r="A10" t="s">
        <v>112</v>
      </c>
      <c r="B10" t="s">
        <v>14</v>
      </c>
      <c r="C10" t="s">
        <v>15</v>
      </c>
      <c r="D10" t="s">
        <v>42</v>
      </c>
      <c r="F10" t="s">
        <v>43</v>
      </c>
      <c r="G10" t="s">
        <v>34</v>
      </c>
      <c r="H10" s="2">
        <v>38185.360000000001</v>
      </c>
      <c r="I10" t="s">
        <v>44</v>
      </c>
      <c r="K10" t="s">
        <v>45</v>
      </c>
    </row>
    <row r="11" spans="1:12" ht="33" customHeight="1" x14ac:dyDescent="0.25">
      <c r="A11" t="s">
        <v>105</v>
      </c>
      <c r="B11" t="s">
        <v>14</v>
      </c>
      <c r="C11" t="s">
        <v>15</v>
      </c>
      <c r="D11" t="s">
        <v>46</v>
      </c>
      <c r="F11" t="s">
        <v>30</v>
      </c>
      <c r="G11" t="s">
        <v>47</v>
      </c>
      <c r="H11" s="2">
        <v>40349.629999999997</v>
      </c>
      <c r="K11" t="s">
        <v>48</v>
      </c>
    </row>
    <row r="12" spans="1:12" ht="33" customHeight="1" x14ac:dyDescent="0.25">
      <c r="A12" t="s">
        <v>49</v>
      </c>
      <c r="B12" t="s">
        <v>14</v>
      </c>
      <c r="C12" t="s">
        <v>50</v>
      </c>
      <c r="D12" t="s">
        <v>51</v>
      </c>
      <c r="E12" t="s">
        <v>52</v>
      </c>
      <c r="F12" t="s">
        <v>53</v>
      </c>
      <c r="G12" t="s">
        <v>34</v>
      </c>
      <c r="H12" s="2">
        <v>28315.19</v>
      </c>
      <c r="I12" t="s">
        <v>54</v>
      </c>
      <c r="K12" t="s">
        <v>55</v>
      </c>
      <c r="L12" t="s">
        <v>56</v>
      </c>
    </row>
    <row r="13" spans="1:12" ht="33" customHeight="1" x14ac:dyDescent="0.25">
      <c r="A13" t="s">
        <v>113</v>
      </c>
      <c r="B13" t="s">
        <v>14</v>
      </c>
      <c r="C13" t="s">
        <v>15</v>
      </c>
      <c r="D13" t="s">
        <v>57</v>
      </c>
      <c r="F13" t="s">
        <v>33</v>
      </c>
      <c r="G13" t="s">
        <v>34</v>
      </c>
      <c r="H13" s="2">
        <v>78433.94</v>
      </c>
      <c r="I13" t="s">
        <v>58</v>
      </c>
      <c r="K13" t="s">
        <v>59</v>
      </c>
    </row>
    <row r="14" spans="1:12" ht="33" customHeight="1" x14ac:dyDescent="0.25">
      <c r="A14" t="s">
        <v>114</v>
      </c>
      <c r="B14" t="s">
        <v>14</v>
      </c>
      <c r="C14" t="s">
        <v>15</v>
      </c>
      <c r="D14" t="s">
        <v>60</v>
      </c>
      <c r="F14" t="s">
        <v>33</v>
      </c>
      <c r="G14" t="s">
        <v>47</v>
      </c>
      <c r="H14" s="2">
        <v>68923.37</v>
      </c>
      <c r="I14" t="s">
        <v>61</v>
      </c>
      <c r="K14" t="s">
        <v>62</v>
      </c>
    </row>
    <row r="15" spans="1:12" ht="33" customHeight="1" x14ac:dyDescent="0.25">
      <c r="A15" t="s">
        <v>115</v>
      </c>
      <c r="B15" t="s">
        <v>14</v>
      </c>
      <c r="C15" t="s">
        <v>15</v>
      </c>
      <c r="D15" t="s">
        <v>63</v>
      </c>
      <c r="F15" t="s">
        <v>43</v>
      </c>
      <c r="G15" t="s">
        <v>34</v>
      </c>
      <c r="H15" s="2">
        <v>28026.98</v>
      </c>
      <c r="I15" t="s">
        <v>64</v>
      </c>
      <c r="K15" t="s">
        <v>65</v>
      </c>
    </row>
    <row r="16" spans="1:12" ht="33" customHeight="1" x14ac:dyDescent="0.25">
      <c r="A16" t="s">
        <v>66</v>
      </c>
      <c r="B16" t="s">
        <v>37</v>
      </c>
      <c r="C16" t="s">
        <v>50</v>
      </c>
      <c r="D16" t="s">
        <v>67</v>
      </c>
      <c r="F16" t="s">
        <v>68</v>
      </c>
      <c r="G16" t="s">
        <v>18</v>
      </c>
      <c r="H16" s="2">
        <v>35075</v>
      </c>
      <c r="I16" t="s">
        <v>69</v>
      </c>
      <c r="K16" t="s">
        <v>70</v>
      </c>
    </row>
    <row r="17" spans="1:12" ht="33" customHeight="1" x14ac:dyDescent="0.25">
      <c r="A17" t="s">
        <v>116</v>
      </c>
      <c r="B17" t="s">
        <v>14</v>
      </c>
      <c r="C17" t="s">
        <v>15</v>
      </c>
      <c r="D17" t="s">
        <v>71</v>
      </c>
      <c r="F17" t="s">
        <v>33</v>
      </c>
      <c r="G17" t="s">
        <v>47</v>
      </c>
      <c r="H17" s="2">
        <v>51986.44</v>
      </c>
      <c r="I17" t="s">
        <v>72</v>
      </c>
      <c r="K17" t="s">
        <v>73</v>
      </c>
    </row>
    <row r="18" spans="1:12" ht="33" customHeight="1" x14ac:dyDescent="0.25">
      <c r="A18" t="s">
        <v>117</v>
      </c>
      <c r="B18" t="s">
        <v>14</v>
      </c>
      <c r="C18" t="s">
        <v>15</v>
      </c>
      <c r="D18" t="s">
        <v>74</v>
      </c>
      <c r="E18" t="s">
        <v>75</v>
      </c>
      <c r="F18" t="s">
        <v>53</v>
      </c>
      <c r="G18" t="s">
        <v>18</v>
      </c>
      <c r="H18" s="2">
        <v>35846.31</v>
      </c>
      <c r="I18" t="s">
        <v>76</v>
      </c>
      <c r="K18" t="s">
        <v>77</v>
      </c>
      <c r="L18" t="s">
        <v>78</v>
      </c>
    </row>
    <row r="19" spans="1:12" ht="33" customHeight="1" x14ac:dyDescent="0.25">
      <c r="A19" t="s">
        <v>118</v>
      </c>
      <c r="B19" t="s">
        <v>37</v>
      </c>
      <c r="C19" t="s">
        <v>15</v>
      </c>
      <c r="D19" t="s">
        <v>79</v>
      </c>
      <c r="F19" t="s">
        <v>80</v>
      </c>
      <c r="G19" t="s">
        <v>18</v>
      </c>
      <c r="H19" s="2">
        <v>31632.28</v>
      </c>
      <c r="I19" t="s">
        <v>81</v>
      </c>
      <c r="K19" t="s">
        <v>82</v>
      </c>
    </row>
    <row r="20" spans="1:12" ht="33" customHeight="1" x14ac:dyDescent="0.25">
      <c r="A20" t="s">
        <v>119</v>
      </c>
      <c r="B20" t="s">
        <v>37</v>
      </c>
      <c r="C20" t="s">
        <v>15</v>
      </c>
      <c r="D20" t="s">
        <v>83</v>
      </c>
      <c r="F20" t="s">
        <v>84</v>
      </c>
      <c r="G20" t="s">
        <v>18</v>
      </c>
      <c r="H20" s="2">
        <v>31390.09</v>
      </c>
      <c r="K20" t="s">
        <v>85</v>
      </c>
    </row>
    <row r="21" spans="1:12" ht="33" customHeight="1" x14ac:dyDescent="0.25">
      <c r="A21" t="s">
        <v>120</v>
      </c>
      <c r="B21" t="s">
        <v>37</v>
      </c>
      <c r="C21" t="s">
        <v>15</v>
      </c>
      <c r="D21" t="s">
        <v>86</v>
      </c>
      <c r="F21" t="s">
        <v>80</v>
      </c>
      <c r="G21" t="s">
        <v>18</v>
      </c>
      <c r="H21" s="2">
        <v>28803.23</v>
      </c>
      <c r="I21" t="s">
        <v>87</v>
      </c>
      <c r="K21" t="s">
        <v>88</v>
      </c>
    </row>
    <row r="22" spans="1:12" x14ac:dyDescent="0.25">
      <c r="A22" s="1"/>
      <c r="B22" s="1"/>
      <c r="C22" s="1"/>
      <c r="D22" s="1" t="s">
        <v>89</v>
      </c>
      <c r="E22" s="1"/>
      <c r="F22" s="1"/>
      <c r="G22" s="1"/>
      <c r="H22" s="3">
        <f>SUM(H4:H21)</f>
        <v>745270.62</v>
      </c>
      <c r="I22" s="1"/>
      <c r="J22" s="1"/>
      <c r="K22" s="1"/>
      <c r="L22" s="1"/>
    </row>
  </sheetData>
  <mergeCells count="3">
    <mergeCell ref="A2:F2"/>
    <mergeCell ref="G2:L2"/>
    <mergeCell ref="K1:L1"/>
  </mergeCells>
  <pageMargins left="0.7" right="0.7" top="0.75" bottom="0.75" header="0.3" footer="0.3"/>
  <pageSetup paperSize="5" scale="74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DF082-FE73-4E25-8281-D1657D16B597}">
  <sheetPr>
    <pageSetUpPr fitToPage="1"/>
  </sheetPr>
  <dimension ref="A1:H33"/>
  <sheetViews>
    <sheetView topLeftCell="A12" workbookViewId="0">
      <selection activeCell="C22" sqref="C22"/>
    </sheetView>
  </sheetViews>
  <sheetFormatPr defaultRowHeight="18.75" x14ac:dyDescent="0.3"/>
  <cols>
    <col min="1" max="1" width="25.7109375" style="11" customWidth="1"/>
    <col min="2" max="2" width="10" style="11" customWidth="1"/>
    <col min="3" max="3" width="23.42578125" style="11" customWidth="1"/>
    <col min="4" max="4" width="19.42578125" style="11" customWidth="1"/>
    <col min="5" max="5" width="21" style="11" customWidth="1"/>
    <col min="6" max="6" width="17.42578125" style="11" customWidth="1"/>
    <col min="7" max="7" width="21" style="11" customWidth="1"/>
    <col min="8" max="8" width="20.140625" style="11" customWidth="1"/>
    <col min="9" max="16384" width="9.140625" style="11"/>
  </cols>
  <sheetData>
    <row r="1" spans="1:8" x14ac:dyDescent="0.3">
      <c r="E1" s="12"/>
      <c r="H1" s="13">
        <v>45750.999988425923</v>
      </c>
    </row>
    <row r="2" spans="1:8" x14ac:dyDescent="0.3">
      <c r="A2" s="14" t="s">
        <v>0</v>
      </c>
      <c r="B2" s="14"/>
      <c r="C2" s="15"/>
      <c r="D2" s="15"/>
      <c r="E2" s="16" t="s">
        <v>90</v>
      </c>
      <c r="F2" s="15"/>
      <c r="G2" s="15"/>
      <c r="H2" s="15"/>
    </row>
    <row r="3" spans="1:8" x14ac:dyDescent="0.3">
      <c r="A3" s="11" t="s">
        <v>7</v>
      </c>
      <c r="B3" s="11" t="s">
        <v>96</v>
      </c>
      <c r="C3" s="11" t="s">
        <v>8</v>
      </c>
      <c r="D3" s="11" t="s">
        <v>91</v>
      </c>
      <c r="E3" s="11" t="s">
        <v>92</v>
      </c>
      <c r="F3" s="11" t="s">
        <v>93</v>
      </c>
      <c r="G3" s="11" t="s">
        <v>95</v>
      </c>
      <c r="H3" s="11" t="s">
        <v>94</v>
      </c>
    </row>
    <row r="4" spans="1:8" ht="21" customHeight="1" x14ac:dyDescent="0.3">
      <c r="A4" s="11" t="s">
        <v>39</v>
      </c>
      <c r="C4" s="11" t="s">
        <v>34</v>
      </c>
      <c r="D4" s="17">
        <v>850</v>
      </c>
      <c r="E4" s="17">
        <v>0</v>
      </c>
      <c r="F4" s="18">
        <v>34826.94</v>
      </c>
      <c r="G4" s="17"/>
      <c r="H4" s="17">
        <v>34901.94</v>
      </c>
    </row>
    <row r="5" spans="1:8" ht="21" customHeight="1" x14ac:dyDescent="0.3">
      <c r="D5" s="17"/>
      <c r="E5" s="17"/>
      <c r="F5" s="17"/>
      <c r="G5" s="17"/>
      <c r="H5" s="17"/>
    </row>
    <row r="6" spans="1:8" ht="21" customHeight="1" x14ac:dyDescent="0.3">
      <c r="A6" s="11" t="s">
        <v>80</v>
      </c>
      <c r="C6" s="11" t="s">
        <v>18</v>
      </c>
      <c r="D6" s="17">
        <v>850</v>
      </c>
      <c r="E6" s="17">
        <v>0</v>
      </c>
      <c r="F6" s="17">
        <v>31557.279999999999</v>
      </c>
      <c r="G6" s="17"/>
      <c r="H6" s="17">
        <v>31632.28</v>
      </c>
    </row>
    <row r="7" spans="1:8" ht="21" customHeight="1" x14ac:dyDescent="0.3">
      <c r="A7" s="11" t="s">
        <v>80</v>
      </c>
      <c r="C7" s="11" t="s">
        <v>18</v>
      </c>
      <c r="D7" s="17">
        <v>750</v>
      </c>
      <c r="E7" s="17">
        <v>0</v>
      </c>
      <c r="F7" s="17">
        <v>28728.23</v>
      </c>
      <c r="G7" s="18">
        <f>SUM(F6:F7)</f>
        <v>60285.509999999995</v>
      </c>
      <c r="H7" s="17">
        <v>28803.23</v>
      </c>
    </row>
    <row r="8" spans="1:8" ht="21" customHeight="1" x14ac:dyDescent="0.3">
      <c r="D8" s="17"/>
      <c r="E8" s="17"/>
      <c r="F8" s="17"/>
      <c r="G8" s="18"/>
      <c r="H8" s="17"/>
    </row>
    <row r="9" spans="1:8" ht="21" customHeight="1" x14ac:dyDescent="0.3">
      <c r="A9" s="11" t="s">
        <v>30</v>
      </c>
      <c r="C9" s="11" t="s">
        <v>18</v>
      </c>
      <c r="D9" s="17">
        <v>1350</v>
      </c>
      <c r="E9" s="17">
        <v>0</v>
      </c>
      <c r="F9" s="17">
        <v>59500.56</v>
      </c>
      <c r="G9" s="18"/>
      <c r="H9" s="17">
        <v>59575.56</v>
      </c>
    </row>
    <row r="10" spans="1:8" ht="21" customHeight="1" x14ac:dyDescent="0.3">
      <c r="A10" s="11" t="s">
        <v>30</v>
      </c>
      <c r="C10" s="11" t="s">
        <v>47</v>
      </c>
      <c r="D10" s="17">
        <v>1050</v>
      </c>
      <c r="E10" s="17">
        <v>0</v>
      </c>
      <c r="F10" s="17">
        <v>40274.629999999997</v>
      </c>
      <c r="G10" s="18">
        <f>SUM(F9:F10)</f>
        <v>99775.19</v>
      </c>
      <c r="H10" s="17">
        <v>40349.629999999997</v>
      </c>
    </row>
    <row r="11" spans="1:8" ht="21" customHeight="1" x14ac:dyDescent="0.3">
      <c r="D11" s="17"/>
      <c r="E11" s="17"/>
      <c r="F11" s="17"/>
      <c r="G11" s="18"/>
      <c r="H11" s="17"/>
    </row>
    <row r="12" spans="1:8" ht="21" customHeight="1" x14ac:dyDescent="0.3">
      <c r="A12" s="11" t="s">
        <v>33</v>
      </c>
      <c r="C12" s="11" t="s">
        <v>47</v>
      </c>
      <c r="D12" s="17">
        <v>1350</v>
      </c>
      <c r="E12" s="17">
        <v>0</v>
      </c>
      <c r="F12" s="17">
        <v>68848.37</v>
      </c>
      <c r="G12" s="18"/>
      <c r="H12" s="17">
        <v>68923.37</v>
      </c>
    </row>
    <row r="13" spans="1:8" ht="21" customHeight="1" x14ac:dyDescent="0.3">
      <c r="A13" s="11" t="s">
        <v>33</v>
      </c>
      <c r="C13" s="11" t="s">
        <v>47</v>
      </c>
      <c r="D13" s="17">
        <v>1350</v>
      </c>
      <c r="E13" s="17">
        <v>0</v>
      </c>
      <c r="F13" s="17">
        <v>51911.44</v>
      </c>
      <c r="G13" s="18"/>
      <c r="H13" s="17">
        <v>51986.44</v>
      </c>
    </row>
    <row r="14" spans="1:8" ht="21" customHeight="1" x14ac:dyDescent="0.3">
      <c r="A14" s="11" t="s">
        <v>33</v>
      </c>
      <c r="C14" s="11" t="s">
        <v>34</v>
      </c>
      <c r="D14" s="17">
        <v>1500</v>
      </c>
      <c r="E14" s="17">
        <v>0</v>
      </c>
      <c r="F14" s="17">
        <v>70053</v>
      </c>
      <c r="G14" s="18"/>
      <c r="H14" s="17">
        <v>70128</v>
      </c>
    </row>
    <row r="15" spans="1:8" ht="21" customHeight="1" x14ac:dyDescent="0.3">
      <c r="A15" s="11" t="s">
        <v>33</v>
      </c>
      <c r="C15" s="11" t="s">
        <v>34</v>
      </c>
      <c r="D15" s="17">
        <v>1500</v>
      </c>
      <c r="E15" s="17">
        <v>0</v>
      </c>
      <c r="F15" s="17">
        <v>78358.94</v>
      </c>
      <c r="G15" s="18">
        <f>SUM(F12:F15)</f>
        <v>269171.75</v>
      </c>
      <c r="H15" s="17">
        <v>78433.94</v>
      </c>
    </row>
    <row r="16" spans="1:8" ht="21" customHeight="1" x14ac:dyDescent="0.3">
      <c r="D16" s="17"/>
      <c r="E16" s="17"/>
      <c r="F16" s="17"/>
      <c r="G16" s="18"/>
      <c r="H16" s="17"/>
    </row>
    <row r="17" spans="1:8" ht="21" customHeight="1" x14ac:dyDescent="0.3">
      <c r="A17" s="11" t="s">
        <v>103</v>
      </c>
      <c r="C17" s="11" t="s">
        <v>18</v>
      </c>
      <c r="D17" s="17">
        <v>850</v>
      </c>
      <c r="E17" s="17">
        <v>0</v>
      </c>
      <c r="F17" s="18">
        <v>31315.09</v>
      </c>
      <c r="G17" s="18"/>
      <c r="H17" s="17">
        <v>31390.09</v>
      </c>
    </row>
    <row r="18" spans="1:8" ht="21" customHeight="1" x14ac:dyDescent="0.3">
      <c r="D18" s="17"/>
      <c r="E18" s="17"/>
      <c r="F18" s="18"/>
      <c r="G18" s="18"/>
      <c r="H18" s="17"/>
    </row>
    <row r="19" spans="1:8" ht="21" customHeight="1" x14ac:dyDescent="0.3">
      <c r="A19" s="11" t="s">
        <v>26</v>
      </c>
      <c r="C19" s="11" t="s">
        <v>18</v>
      </c>
      <c r="D19" s="17">
        <v>950</v>
      </c>
      <c r="E19" s="17">
        <v>0</v>
      </c>
      <c r="F19" s="18">
        <v>38594.19</v>
      </c>
      <c r="G19" s="18"/>
      <c r="H19" s="17">
        <v>38669.19</v>
      </c>
    </row>
    <row r="20" spans="1:8" ht="21" customHeight="1" x14ac:dyDescent="0.3">
      <c r="D20" s="17"/>
      <c r="E20" s="17"/>
      <c r="F20" s="17"/>
      <c r="G20" s="18"/>
      <c r="H20" s="17"/>
    </row>
    <row r="21" spans="1:8" ht="21" customHeight="1" x14ac:dyDescent="0.3">
      <c r="A21" s="11" t="s">
        <v>43</v>
      </c>
      <c r="B21" s="10" t="s">
        <v>104</v>
      </c>
      <c r="C21" s="11" t="s">
        <v>34</v>
      </c>
      <c r="D21" s="17">
        <v>750</v>
      </c>
      <c r="E21" s="17">
        <v>0</v>
      </c>
      <c r="F21" s="17">
        <v>27951.98</v>
      </c>
      <c r="G21" s="18"/>
      <c r="H21" s="17">
        <v>28026.98</v>
      </c>
    </row>
    <row r="22" spans="1:8" ht="21" customHeight="1" x14ac:dyDescent="0.3">
      <c r="A22" s="11" t="s">
        <v>43</v>
      </c>
      <c r="B22" s="10">
        <v>6390</v>
      </c>
      <c r="C22" s="11" t="s">
        <v>34</v>
      </c>
      <c r="D22" s="17">
        <v>950</v>
      </c>
      <c r="E22" s="17">
        <v>0</v>
      </c>
      <c r="F22" s="17">
        <v>38110.36</v>
      </c>
      <c r="G22" s="18">
        <f>SUM(F21:F22)</f>
        <v>66062.34</v>
      </c>
      <c r="H22" s="17">
        <v>38185.360000000001</v>
      </c>
    </row>
    <row r="23" spans="1:8" ht="21" customHeight="1" x14ac:dyDescent="0.3">
      <c r="D23" s="17"/>
      <c r="E23" s="17"/>
      <c r="F23" s="17"/>
      <c r="G23" s="18"/>
      <c r="H23" s="17"/>
    </row>
    <row r="24" spans="1:8" ht="21" customHeight="1" x14ac:dyDescent="0.3">
      <c r="A24" s="11" t="s">
        <v>53</v>
      </c>
      <c r="C24" s="11" t="s">
        <v>18</v>
      </c>
      <c r="D24" s="17">
        <v>950</v>
      </c>
      <c r="E24" s="17">
        <v>0</v>
      </c>
      <c r="F24" s="17">
        <v>35771.31</v>
      </c>
      <c r="G24" s="18"/>
      <c r="H24" s="17">
        <v>35846.31</v>
      </c>
    </row>
    <row r="25" spans="1:8" ht="21" customHeight="1" x14ac:dyDescent="0.3">
      <c r="A25" s="11" t="s">
        <v>53</v>
      </c>
      <c r="C25" s="11" t="s">
        <v>34</v>
      </c>
      <c r="D25" s="17">
        <v>750</v>
      </c>
      <c r="E25" s="17">
        <v>0</v>
      </c>
      <c r="F25" s="17">
        <v>28240.19</v>
      </c>
      <c r="G25" s="18">
        <f>SUM(F24:F25)</f>
        <v>64011.5</v>
      </c>
      <c r="H25" s="17">
        <v>28315.19</v>
      </c>
    </row>
    <row r="26" spans="1:8" ht="21" customHeight="1" x14ac:dyDescent="0.3">
      <c r="D26" s="17"/>
      <c r="E26" s="17"/>
      <c r="F26" s="17"/>
      <c r="G26" s="17"/>
      <c r="H26" s="17"/>
    </row>
    <row r="27" spans="1:8" ht="21" customHeight="1" x14ac:dyDescent="0.3">
      <c r="A27" s="11" t="s">
        <v>17</v>
      </c>
      <c r="B27" s="10" t="s">
        <v>121</v>
      </c>
      <c r="C27" s="11" t="s">
        <v>18</v>
      </c>
      <c r="D27" s="17">
        <v>950</v>
      </c>
      <c r="E27" s="17">
        <v>0</v>
      </c>
      <c r="F27" s="18">
        <v>36412.61</v>
      </c>
      <c r="G27" s="17"/>
      <c r="H27" s="17">
        <v>36487.61</v>
      </c>
    </row>
    <row r="28" spans="1:8" ht="21" customHeight="1" x14ac:dyDescent="0.3">
      <c r="D28" s="17"/>
      <c r="E28" s="17"/>
      <c r="F28" s="18"/>
      <c r="G28" s="17"/>
      <c r="H28" s="17"/>
    </row>
    <row r="29" spans="1:8" ht="21" customHeight="1" x14ac:dyDescent="0.3">
      <c r="A29" s="11" t="s">
        <v>68</v>
      </c>
      <c r="C29" s="11" t="s">
        <v>18</v>
      </c>
      <c r="D29" s="17">
        <v>950</v>
      </c>
      <c r="E29" s="17">
        <v>0</v>
      </c>
      <c r="F29" s="18">
        <v>35000</v>
      </c>
      <c r="G29" s="17"/>
      <c r="H29" s="17">
        <v>35075</v>
      </c>
    </row>
    <row r="30" spans="1:8" ht="21" customHeight="1" x14ac:dyDescent="0.3">
      <c r="D30" s="17"/>
      <c r="E30" s="17"/>
      <c r="F30" s="18"/>
      <c r="G30" s="17"/>
      <c r="H30" s="17"/>
    </row>
    <row r="31" spans="1:8" ht="21" customHeight="1" x14ac:dyDescent="0.3">
      <c r="A31" s="11" t="s">
        <v>22</v>
      </c>
      <c r="C31" s="11" t="s">
        <v>18</v>
      </c>
      <c r="D31" s="17">
        <v>150</v>
      </c>
      <c r="E31" s="17">
        <v>0</v>
      </c>
      <c r="F31" s="18">
        <v>8465.5</v>
      </c>
      <c r="G31" s="17"/>
      <c r="H31" s="17">
        <v>8540.5</v>
      </c>
    </row>
    <row r="32" spans="1:8" x14ac:dyDescent="0.3">
      <c r="D32" s="17"/>
      <c r="E32" s="17"/>
      <c r="F32" s="17"/>
      <c r="G32" s="17"/>
      <c r="H32" s="17"/>
    </row>
    <row r="33" spans="1:8" x14ac:dyDescent="0.3">
      <c r="A33" s="19"/>
      <c r="B33" s="19"/>
      <c r="C33" s="19"/>
      <c r="D33" s="20">
        <f>SUM(D4:D31)</f>
        <v>17800</v>
      </c>
      <c r="E33" s="20">
        <f>SUM(E4:E31)</f>
        <v>0</v>
      </c>
      <c r="F33" s="20">
        <f>SUM(F4:F31)</f>
        <v>743920.62</v>
      </c>
      <c r="G33" s="20"/>
      <c r="H33" s="20">
        <f>SUM(H4:H31)</f>
        <v>745270.62</v>
      </c>
    </row>
  </sheetData>
  <mergeCells count="2">
    <mergeCell ref="A2:D2"/>
    <mergeCell ref="E2:H2"/>
  </mergeCells>
  <pageMargins left="0.7" right="0.2" top="0.75" bottom="0.75" header="0.3" footer="0.3"/>
  <pageSetup scale="72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EDC4-2AD6-4A16-9384-90001846F144}">
  <sheetPr>
    <pageSetUpPr fitToPage="1"/>
  </sheetPr>
  <dimension ref="A1:E21"/>
  <sheetViews>
    <sheetView workbookViewId="0">
      <selection activeCell="D21" sqref="D21"/>
    </sheetView>
  </sheetViews>
  <sheetFormatPr defaultRowHeight="15" x14ac:dyDescent="0.25"/>
  <cols>
    <col min="1" max="1" width="13.28515625" customWidth="1"/>
    <col min="3" max="3" width="21" customWidth="1"/>
    <col min="4" max="4" width="19.7109375" customWidth="1"/>
    <col min="5" max="5" width="30.28515625" customWidth="1"/>
  </cols>
  <sheetData>
    <row r="1" spans="1:5" ht="24.95" customHeight="1" x14ac:dyDescent="0.25">
      <c r="A1" s="10" t="s">
        <v>99</v>
      </c>
      <c r="D1" s="4"/>
      <c r="E1" s="8">
        <v>45750</v>
      </c>
    </row>
    <row r="2" spans="1:5" ht="24.95" customHeight="1" x14ac:dyDescent="0.25">
      <c r="A2" s="5" t="s">
        <v>0</v>
      </c>
      <c r="B2" s="6"/>
      <c r="C2" s="6"/>
      <c r="D2" s="7" t="s">
        <v>97</v>
      </c>
      <c r="E2" s="6"/>
    </row>
    <row r="3" spans="1:5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49</v>
      </c>
      <c r="B4" t="s">
        <v>50</v>
      </c>
      <c r="C4" t="s">
        <v>51</v>
      </c>
      <c r="D4" t="s">
        <v>52</v>
      </c>
      <c r="E4" t="s">
        <v>53</v>
      </c>
    </row>
    <row r="5" spans="1:5" ht="24.95" customHeight="1" x14ac:dyDescent="0.25">
      <c r="A5" t="s">
        <v>66</v>
      </c>
      <c r="B5" t="s">
        <v>50</v>
      </c>
      <c r="C5" t="s">
        <v>67</v>
      </c>
      <c r="E5" t="s">
        <v>68</v>
      </c>
    </row>
    <row r="6" spans="1:5" ht="24.95" customHeight="1" x14ac:dyDescent="0.25">
      <c r="A6" s="1"/>
      <c r="B6" s="1"/>
      <c r="C6" s="1" t="s">
        <v>98</v>
      </c>
      <c r="D6" s="1"/>
      <c r="E6" s="1"/>
    </row>
    <row r="12" spans="1:5" x14ac:dyDescent="0.25">
      <c r="A12" t="s">
        <v>100</v>
      </c>
      <c r="B12" s="9"/>
      <c r="C12" s="9"/>
      <c r="D12" s="9"/>
    </row>
    <row r="17" spans="1:4" x14ac:dyDescent="0.25">
      <c r="A17" t="s">
        <v>101</v>
      </c>
      <c r="B17" s="9"/>
      <c r="C17" s="9"/>
      <c r="D17" s="9"/>
    </row>
    <row r="21" spans="1:4" x14ac:dyDescent="0.25">
      <c r="A21" t="s">
        <v>102</v>
      </c>
      <c r="B21" s="9"/>
      <c r="C21" s="9"/>
    </row>
  </sheetData>
  <mergeCells count="2">
    <mergeCell ref="A2:C2"/>
    <mergeCell ref="D2:E2"/>
  </mergeCells>
  <pageMargins left="0.7" right="0.7" top="0.75" bottom="0.75" header="0.3" footer="0.3"/>
  <pageSetup scale="96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2025-04-03T18:43:50Z</cp:lastPrinted>
  <dcterms:created xsi:type="dcterms:W3CDTF">2025-04-03T18:23:52Z</dcterms:created>
  <dcterms:modified xsi:type="dcterms:W3CDTF">2025-04-03T19:01:48Z</dcterms:modified>
</cp:coreProperties>
</file>