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00-da1\Home\Share\Line of Business_Shared Services\Indirect Lending\E Contract Summary Report\Production\Input\"/>
    </mc:Choice>
  </mc:AlternateContent>
  <xr:revisionPtr revIDLastSave="0" documentId="8_{E8E81E92-240C-4FD9-A2EE-45E051F01F27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Funding Worksheet - Folder Vers" sheetId="1" r:id="rId1"/>
    <sheet name="Funding Worksheet - ACH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1" i="2" l="1"/>
  <c r="E21" i="2"/>
  <c r="D21" i="2"/>
  <c r="C21" i="2"/>
  <c r="H21" i="1"/>
</calcChain>
</file>

<file path=xl/sharedStrings.xml><?xml version="1.0" encoding="utf-8"?>
<sst xmlns="http://schemas.openxmlformats.org/spreadsheetml/2006/main" count="203" uniqueCount="118">
  <si>
    <t>Bristol County Savings Bank</t>
  </si>
  <si>
    <t>Funding Worksheet - Folder Version</t>
  </si>
  <si>
    <t>Account Number</t>
  </si>
  <si>
    <t>Portal</t>
  </si>
  <si>
    <t>Contract Type</t>
  </si>
  <si>
    <t>Applicant Name</t>
  </si>
  <si>
    <t>Co-Applicant Name</t>
  </si>
  <si>
    <t>Dealer Name</t>
  </si>
  <si>
    <t>Funded by</t>
  </si>
  <si>
    <t>Amount Financed</t>
  </si>
  <si>
    <t>Applicant Email</t>
  </si>
  <si>
    <t>Co-Applicant Email</t>
  </si>
  <si>
    <t>App MMN</t>
  </si>
  <si>
    <t>Co-App MMN</t>
  </si>
  <si>
    <t>Route One</t>
  </si>
  <si>
    <t>E Contract</t>
  </si>
  <si>
    <t>TOOLAN, BETH</t>
  </si>
  <si>
    <t>Grieco Toyota</t>
  </si>
  <si>
    <t>Neli Oliveira</t>
  </si>
  <si>
    <t>BETHANNTOOLAN@GMAIL.COM</t>
  </si>
  <si>
    <t>ARNONE</t>
  </si>
  <si>
    <t>LAPATI, OLIVIA</t>
  </si>
  <si>
    <t>Lapati, Jesslyn</t>
  </si>
  <si>
    <t>Mathieu Ford Sales, Inc</t>
  </si>
  <si>
    <t>20OLAPATI@GMAIL.COM</t>
  </si>
  <si>
    <t>lapatijb@gmail.com</t>
  </si>
  <si>
    <t>BETHEL</t>
  </si>
  <si>
    <t>SULLIVAN</t>
  </si>
  <si>
    <t>DealerTrack</t>
  </si>
  <si>
    <t>BECK, JULIANNE</t>
  </si>
  <si>
    <t>AutoMax Preowned(Framingham)</t>
  </si>
  <si>
    <t>Marlene Braganca</t>
  </si>
  <si>
    <t>Grace</t>
  </si>
  <si>
    <t>RAY, TERRI</t>
  </si>
  <si>
    <t>Lucchettis Service Center Inc</t>
  </si>
  <si>
    <t>Rachel Gorham</t>
  </si>
  <si>
    <t>TERRIRAY@DONRAYINSURANCE.COM</t>
  </si>
  <si>
    <t>KIEFER</t>
  </si>
  <si>
    <t>ELLIS, BRADFORD</t>
  </si>
  <si>
    <t>Battles Nissan, LLC</t>
  </si>
  <si>
    <t>BEEMPWE@YAHOO.COM</t>
  </si>
  <si>
    <t>WILCOX</t>
  </si>
  <si>
    <t>VOLPE, RENEE</t>
  </si>
  <si>
    <t>Priority Automotive LLC</t>
  </si>
  <si>
    <t>RHALLE2010@HOTMAIL.COM</t>
  </si>
  <si>
    <t>RENNICK</t>
  </si>
  <si>
    <t>BECKETT, MELISSA</t>
  </si>
  <si>
    <t>Salvadore Chevrolet</t>
  </si>
  <si>
    <t>mbeckett273@gmail.com</t>
  </si>
  <si>
    <t>Klugh</t>
  </si>
  <si>
    <t>151202266</t>
  </si>
  <si>
    <t>Paper</t>
  </si>
  <si>
    <t>DIEM, MAX</t>
  </si>
  <si>
    <t>Volvo of Tiverton</t>
  </si>
  <si>
    <t>MAXDIEM@GMAIL.COM</t>
  </si>
  <si>
    <t>BUGGISCH</t>
  </si>
  <si>
    <t>KING, RENEE</t>
  </si>
  <si>
    <t>RENEEALINE14@GMAIL.COM</t>
  </si>
  <si>
    <t>DIRUSSO</t>
  </si>
  <si>
    <t>SULLIVAN, LISA</t>
  </si>
  <si>
    <t>Mastria Mazda</t>
  </si>
  <si>
    <t>lmh3623@gmail.com</t>
  </si>
  <si>
    <t>ARCARI</t>
  </si>
  <si>
    <t>Cusack, Denise</t>
  </si>
  <si>
    <t>ddcusack@comcast.net</t>
  </si>
  <si>
    <t>GOULD</t>
  </si>
  <si>
    <t>MONIZ, JACOB</t>
  </si>
  <si>
    <t>MONIZ, LYNN</t>
  </si>
  <si>
    <t>jmoniz02@aol.com</t>
  </si>
  <si>
    <t>ROY</t>
  </si>
  <si>
    <t>AZAR</t>
  </si>
  <si>
    <t>Eastman, Shane</t>
  </si>
  <si>
    <t>Salvadore Chrysler</t>
  </si>
  <si>
    <t>shane_eastman@yahoo.com</t>
  </si>
  <si>
    <t>Sawyer</t>
  </si>
  <si>
    <t>BRINKMANN, WILLIAM</t>
  </si>
  <si>
    <t>BRINKMANN, TOBEY</t>
  </si>
  <si>
    <t>BID Cars Boston</t>
  </si>
  <si>
    <t>GAFFNEY</t>
  </si>
  <si>
    <t>BOMBARD</t>
  </si>
  <si>
    <t>WOOLNOUGH, ATHELNEY</t>
  </si>
  <si>
    <t>WOOLNOUGH, MADELEINE</t>
  </si>
  <si>
    <t>Coastal Volkswagon</t>
  </si>
  <si>
    <t>MADDYCW@ICLOUD.COM</t>
  </si>
  <si>
    <t>JOHN</t>
  </si>
  <si>
    <t>WOOLNOUGH</t>
  </si>
  <si>
    <t>ALLEN, CYNTHIA</t>
  </si>
  <si>
    <t>ALLEN, CHARLES</t>
  </si>
  <si>
    <t>T F Murphy Enterprises Inc</t>
  </si>
  <si>
    <t>allencindy10@gmail.com</t>
  </si>
  <si>
    <t>STUKEY</t>
  </si>
  <si>
    <t>PROULX</t>
  </si>
  <si>
    <t>DEMKO, JOHN</t>
  </si>
  <si>
    <t>Patriot Auto Group Inc d/b/a</t>
  </si>
  <si>
    <t>demkoj@yahoo.com</t>
  </si>
  <si>
    <t>DAVIDSON</t>
  </si>
  <si>
    <t># 17</t>
  </si>
  <si>
    <t>151202084 E</t>
  </si>
  <si>
    <t>151202109 E</t>
  </si>
  <si>
    <t>151202125 E</t>
  </si>
  <si>
    <t>151202159 E</t>
  </si>
  <si>
    <t>151202175 E</t>
  </si>
  <si>
    <t>151202240 E</t>
  </si>
  <si>
    <t>151202258 E</t>
  </si>
  <si>
    <t>151202274 E</t>
  </si>
  <si>
    <t>151202307 E</t>
  </si>
  <si>
    <t>151202323 E</t>
  </si>
  <si>
    <t>151202349 E</t>
  </si>
  <si>
    <t>151202365 E</t>
  </si>
  <si>
    <t>151202399 E</t>
  </si>
  <si>
    <t>151202406 E</t>
  </si>
  <si>
    <t>151202422 E</t>
  </si>
  <si>
    <t>151202290 E</t>
  </si>
  <si>
    <t>Funding Worksheet - ACH Version</t>
  </si>
  <si>
    <t>Dealer Flat</t>
  </si>
  <si>
    <t>Dealer Split</t>
  </si>
  <si>
    <t>Net to Dealer</t>
  </si>
  <si>
    <t>Contracted Amount Financed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</si>
</sst>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164" formatCode="[$-409]mmmm\ d\,\ yyyy;@"/>
  </numFmts>
  <fonts count="4" x14ac:knownFonts="1">
    <font>
      <sz val="11"/>
      <color indexed="8"/>
      <name val="Aptos Narrow"/>
      <family val="2"/>
      <scheme val="minor"/>
    </font>
    <font>
      <sz val="12"/>
      <color indexed="8"/>
      <name val="Aptos Narrow"/>
      <family val="2"/>
      <scheme val="minor"/>
    </font>
    <font>
      <b/>
      <sz val="12"/>
      <name val="Calibri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7" fontId="0" fillId="0" borderId="0" xfId="0" applyNumberFormat="1"/>
    <xf numFmtId="164" fontId="0" fillId="0" borderId="0" xfId="0" applyNumberFormat="1" applyAlignment="1">
      <alignment horizontal="right"/>
    </xf>
    <xf numFmtId="0" fontId="1" fillId="0" borderId="0" xfId="0" applyFont="1"/>
    <xf numFmtId="164" fontId="1" fillId="0" borderId="0" xfId="0" applyNumberFormat="1" applyFont="1" applyAlignment="1">
      <alignment horizontal="right"/>
    </xf>
    <xf numFmtId="7" fontId="1" fillId="0" borderId="0" xfId="0" applyNumberFormat="1" applyFont="1"/>
    <xf numFmtId="0" fontId="1" fillId="0" borderId="0" xfId="0" applyFont="1" applyAlignment="1">
      <alignment horizontal="left"/>
    </xf>
    <xf numFmtId="0" fontId="2" fillId="0" borderId="0" xfId="0" applyFont="1"/>
    <xf numFmtId="7" fontId="2" fillId="0" borderId="0" xfId="0" applyNumberFormat="1" applyFont="1"/>
    <xf numFmtId="0" fontId="1" fillId="0" borderId="0" xfId="0" applyFont="1" applyAlignment="1">
      <alignment wrapText="1"/>
    </xf>
    <xf numFmtId="0" fontId="3" fillId="0" borderId="0" xfId="0" applyFont="1"/>
    <xf numFmtId="7" fontId="3" fillId="0" borderId="0" xfId="0" applyNumberFormat="1" applyFont="1"/>
    <xf numFmtId="0" fontId="2" fillId="0" borderId="0" xfId="0" applyFont="1" applyAlignment="1">
      <alignment horizontal="left"/>
    </xf>
    <xf numFmtId="0" fontId="1" fillId="0" borderId="0" xfId="0" applyFont="1"/>
    <xf numFmtId="0" fontId="2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0" fillId="0" borderId="0" xfId="0"/>
    <xf numFmtId="0" fontId="3" fillId="0" borderId="0" xfId="0" applyFont="1" applyAlignment="1">
      <alignment horizontal="right"/>
    </xf>
  </cellXfs>
  <cellStyles count="1">
    <cellStyle name="Normal" xfId="0" builtinId="0"/>
  </cellStyles>
  <dxfs count="15"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_1" ref="A3:L21" headerRowDxfId="14" dataDxfId="13" totalsRowDxfId="12">
  <tableColumns count="12">
    <tableColumn id="1" xr3:uid="{00000000-0010-0000-0000-000001000000}" name="Account Number" dataDxfId="11"/>
    <tableColumn id="2" xr3:uid="{00000000-0010-0000-0000-000002000000}" name="Portal" dataDxfId="10"/>
    <tableColumn id="3" xr3:uid="{00000000-0010-0000-0000-000003000000}" name="Contract Type" dataDxfId="9"/>
    <tableColumn id="4" xr3:uid="{00000000-0010-0000-0000-000004000000}" name="Applicant Name" dataDxfId="8"/>
    <tableColumn id="5" xr3:uid="{00000000-0010-0000-0000-000005000000}" name="Co-Applicant Name" dataDxfId="7"/>
    <tableColumn id="6" xr3:uid="{00000000-0010-0000-0000-000006000000}" name="Dealer Name" dataDxfId="6"/>
    <tableColumn id="7" xr3:uid="{00000000-0010-0000-0000-000007000000}" name="Funded by" dataDxfId="5"/>
    <tableColumn id="8" xr3:uid="{00000000-0010-0000-0000-000008000000}" name="Amount Financed" dataDxfId="4"/>
    <tableColumn id="9" xr3:uid="{00000000-0010-0000-0000-000009000000}" name="Applicant Email" dataDxfId="3"/>
    <tableColumn id="10" xr3:uid="{00000000-0010-0000-0000-00000A000000}" name="Co-Applicant Email" dataDxfId="2"/>
    <tableColumn id="11" xr3:uid="{00000000-0010-0000-0000-00000B000000}" name="App MMN" dataDxfId="1"/>
    <tableColumn id="12" xr3:uid="{00000000-0010-0000-0000-00000C000000}" name="Co-App MMN" dataDxfId="0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05ED878-C16D-4965-A1AA-2F7AAB5F16D1}" name="Table_14" displayName="Table_14" ref="A3:F21">
  <tableColumns count="6">
    <tableColumn id="1" xr3:uid="{8F32DDCC-9ED2-4B01-99EB-EC6351CCB199}" name="Dealer Name"/>
    <tableColumn id="2" xr3:uid="{92F79C24-98F8-4E8C-B58B-6EAA3C1AC94C}" name="Funded by"/>
    <tableColumn id="3" xr3:uid="{E44C1B00-CBCE-4DC9-8DAB-AC83B840B62B}" name="Dealer Flat"/>
    <tableColumn id="4" xr3:uid="{8FA46253-F69E-4121-B1F7-14C012A4440C}" name="Dealer Split"/>
    <tableColumn id="5" xr3:uid="{1B51C6A6-1D02-4868-AD8A-86193CE333E4}" name="Net to Dealer"/>
    <tableColumn id="6" xr3:uid="{C16F0AD9-AAF6-4C8D-A765-F6B078DFF433}" name="Contracted Amount Finance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21"/>
  <sheetViews>
    <sheetView tabSelected="1" workbookViewId="0">
      <pane ySplit="3" topLeftCell="A8" activePane="bottomLeft" state="frozen"/>
      <selection pane="bottomLeft" activeCell="F17" sqref="F17"/>
    </sheetView>
  </sheetViews>
  <sheetFormatPr defaultRowHeight="15.75" x14ac:dyDescent="0.25"/>
  <cols>
    <col min="1" max="1" width="16.42578125" style="3" bestFit="1" customWidth="1"/>
    <col min="2" max="2" width="12.140625" style="3" bestFit="1" customWidth="1"/>
    <col min="3" max="3" width="14" style="3" bestFit="1" customWidth="1"/>
    <col min="4" max="4" width="24.42578125" style="3" bestFit="1" customWidth="1"/>
    <col min="5" max="5" width="21.5703125" style="3" customWidth="1"/>
    <col min="6" max="6" width="31.85546875" style="3" bestFit="1" customWidth="1"/>
    <col min="7" max="7" width="17.7109375" style="3" bestFit="1" customWidth="1"/>
    <col min="8" max="8" width="17.140625" style="3" bestFit="1" customWidth="1"/>
    <col min="9" max="9" width="35.42578125" style="3" bestFit="1" customWidth="1"/>
    <col min="10" max="10" width="22.140625" style="3" customWidth="1"/>
    <col min="11" max="11" width="13.140625" style="3" bestFit="1" customWidth="1"/>
    <col min="12" max="12" width="13.7109375" style="3" bestFit="1" customWidth="1"/>
    <col min="13" max="16384" width="9.140625" style="3"/>
  </cols>
  <sheetData>
    <row r="1" spans="1:12" x14ac:dyDescent="0.25">
      <c r="L1" s="4">
        <v>45852</v>
      </c>
    </row>
    <row r="2" spans="1:12" x14ac:dyDescent="0.25">
      <c r="A2" s="12" t="s">
        <v>0</v>
      </c>
      <c r="B2" s="13"/>
      <c r="C2" s="13"/>
      <c r="D2" s="13"/>
      <c r="E2" s="13"/>
      <c r="F2" s="13"/>
      <c r="G2" s="14" t="s">
        <v>1</v>
      </c>
      <c r="H2" s="13"/>
      <c r="I2" s="13"/>
      <c r="J2" s="13"/>
      <c r="K2" s="13"/>
      <c r="L2" s="13"/>
    </row>
    <row r="3" spans="1:12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</row>
    <row r="4" spans="1:12" ht="33" customHeight="1" x14ac:dyDescent="0.25">
      <c r="A4" s="3" t="s">
        <v>97</v>
      </c>
      <c r="B4" s="3" t="s">
        <v>14</v>
      </c>
      <c r="C4" s="3" t="s">
        <v>15</v>
      </c>
      <c r="D4" s="3" t="s">
        <v>16</v>
      </c>
      <c r="F4" s="3" t="s">
        <v>17</v>
      </c>
      <c r="G4" s="3" t="s">
        <v>18</v>
      </c>
      <c r="H4" s="5">
        <v>34699.86</v>
      </c>
      <c r="I4" s="3" t="s">
        <v>19</v>
      </c>
      <c r="K4" s="3" t="s">
        <v>20</v>
      </c>
    </row>
    <row r="5" spans="1:12" ht="33" customHeight="1" x14ac:dyDescent="0.25">
      <c r="A5" s="3" t="s">
        <v>98</v>
      </c>
      <c r="B5" s="3" t="s">
        <v>14</v>
      </c>
      <c r="C5" s="3" t="s">
        <v>15</v>
      </c>
      <c r="D5" s="3" t="s">
        <v>21</v>
      </c>
      <c r="E5" s="3" t="s">
        <v>22</v>
      </c>
      <c r="F5" s="3" t="s">
        <v>23</v>
      </c>
      <c r="G5" s="3" t="s">
        <v>18</v>
      </c>
      <c r="H5" s="5">
        <v>25002.79</v>
      </c>
      <c r="I5" s="3" t="s">
        <v>24</v>
      </c>
      <c r="J5" s="3" t="s">
        <v>25</v>
      </c>
      <c r="K5" s="3" t="s">
        <v>26</v>
      </c>
      <c r="L5" s="3" t="s">
        <v>27</v>
      </c>
    </row>
    <row r="6" spans="1:12" ht="33" customHeight="1" x14ac:dyDescent="0.25">
      <c r="A6" s="3" t="s">
        <v>99</v>
      </c>
      <c r="B6" s="3" t="s">
        <v>28</v>
      </c>
      <c r="C6" s="3" t="s">
        <v>15</v>
      </c>
      <c r="D6" s="3" t="s">
        <v>29</v>
      </c>
      <c r="F6" s="3" t="s">
        <v>30</v>
      </c>
      <c r="G6" s="3" t="s">
        <v>31</v>
      </c>
      <c r="H6" s="5">
        <v>28534.31</v>
      </c>
      <c r="K6" s="3" t="s">
        <v>32</v>
      </c>
    </row>
    <row r="7" spans="1:12" ht="33" customHeight="1" x14ac:dyDescent="0.25">
      <c r="A7" s="3" t="s">
        <v>100</v>
      </c>
      <c r="B7" s="3" t="s">
        <v>14</v>
      </c>
      <c r="C7" s="3" t="s">
        <v>15</v>
      </c>
      <c r="D7" s="3" t="s">
        <v>33</v>
      </c>
      <c r="F7" s="3" t="s">
        <v>34</v>
      </c>
      <c r="G7" s="3" t="s">
        <v>35</v>
      </c>
      <c r="H7" s="5">
        <v>53224.23</v>
      </c>
      <c r="I7" s="3" t="s">
        <v>36</v>
      </c>
      <c r="K7" s="3" t="s">
        <v>37</v>
      </c>
    </row>
    <row r="8" spans="1:12" ht="33" customHeight="1" x14ac:dyDescent="0.25">
      <c r="A8" s="3" t="s">
        <v>101</v>
      </c>
      <c r="B8" s="3" t="s">
        <v>28</v>
      </c>
      <c r="C8" s="3" t="s">
        <v>15</v>
      </c>
      <c r="D8" s="3" t="s">
        <v>38</v>
      </c>
      <c r="F8" s="3" t="s">
        <v>39</v>
      </c>
      <c r="G8" s="3" t="s">
        <v>35</v>
      </c>
      <c r="H8" s="5">
        <v>27580.19</v>
      </c>
      <c r="I8" s="3" t="s">
        <v>40</v>
      </c>
      <c r="K8" s="3" t="s">
        <v>41</v>
      </c>
    </row>
    <row r="9" spans="1:12" ht="33" customHeight="1" x14ac:dyDescent="0.25">
      <c r="A9" s="3" t="s">
        <v>102</v>
      </c>
      <c r="B9" s="3" t="s">
        <v>28</v>
      </c>
      <c r="C9" s="3" t="s">
        <v>15</v>
      </c>
      <c r="D9" s="3" t="s">
        <v>42</v>
      </c>
      <c r="F9" s="3" t="s">
        <v>43</v>
      </c>
      <c r="G9" s="3" t="s">
        <v>35</v>
      </c>
      <c r="H9" s="5">
        <v>41859.32</v>
      </c>
      <c r="I9" s="3" t="s">
        <v>44</v>
      </c>
      <c r="K9" s="3" t="s">
        <v>45</v>
      </c>
    </row>
    <row r="10" spans="1:12" ht="33" customHeight="1" x14ac:dyDescent="0.25">
      <c r="A10" s="3" t="s">
        <v>103</v>
      </c>
      <c r="B10" s="3" t="s">
        <v>14</v>
      </c>
      <c r="C10" s="3" t="s">
        <v>15</v>
      </c>
      <c r="D10" s="3" t="s">
        <v>46</v>
      </c>
      <c r="F10" s="3" t="s">
        <v>47</v>
      </c>
      <c r="G10" s="3" t="s">
        <v>31</v>
      </c>
      <c r="H10" s="5">
        <v>26872.06</v>
      </c>
      <c r="I10" s="3" t="s">
        <v>48</v>
      </c>
      <c r="K10" s="3" t="s">
        <v>49</v>
      </c>
    </row>
    <row r="11" spans="1:12" ht="33" customHeight="1" x14ac:dyDescent="0.25">
      <c r="A11" s="3" t="s">
        <v>50</v>
      </c>
      <c r="B11" s="3" t="s">
        <v>28</v>
      </c>
      <c r="C11" s="3" t="s">
        <v>51</v>
      </c>
      <c r="D11" s="3" t="s">
        <v>52</v>
      </c>
      <c r="F11" s="3" t="s">
        <v>53</v>
      </c>
      <c r="G11" s="3" t="s">
        <v>35</v>
      </c>
      <c r="H11" s="5">
        <v>33022</v>
      </c>
      <c r="I11" s="3" t="s">
        <v>54</v>
      </c>
      <c r="K11" s="3" t="s">
        <v>55</v>
      </c>
    </row>
    <row r="12" spans="1:12" ht="33" customHeight="1" x14ac:dyDescent="0.25">
      <c r="A12" s="3" t="s">
        <v>104</v>
      </c>
      <c r="B12" s="3" t="s">
        <v>14</v>
      </c>
      <c r="C12" s="3" t="s">
        <v>15</v>
      </c>
      <c r="D12" s="3" t="s">
        <v>56</v>
      </c>
      <c r="F12" s="3" t="s">
        <v>34</v>
      </c>
      <c r="G12" s="3" t="s">
        <v>35</v>
      </c>
      <c r="H12" s="5">
        <v>31532.36</v>
      </c>
      <c r="I12" s="3" t="s">
        <v>57</v>
      </c>
      <c r="K12" s="3" t="s">
        <v>58</v>
      </c>
    </row>
    <row r="13" spans="1:12" ht="33" customHeight="1" x14ac:dyDescent="0.25">
      <c r="A13" s="3" t="s">
        <v>112</v>
      </c>
      <c r="B13" s="3" t="s">
        <v>14</v>
      </c>
      <c r="C13" s="3" t="s">
        <v>15</v>
      </c>
      <c r="D13" s="3" t="s">
        <v>59</v>
      </c>
      <c r="F13" s="3" t="s">
        <v>60</v>
      </c>
      <c r="G13" s="3" t="s">
        <v>18</v>
      </c>
      <c r="H13" s="5">
        <v>23047.67</v>
      </c>
      <c r="I13" s="3" t="s">
        <v>61</v>
      </c>
      <c r="K13" s="3" t="s">
        <v>62</v>
      </c>
    </row>
    <row r="14" spans="1:12" ht="33" customHeight="1" x14ac:dyDescent="0.25">
      <c r="A14" s="3" t="s">
        <v>105</v>
      </c>
      <c r="B14" s="3" t="s">
        <v>14</v>
      </c>
      <c r="C14" s="3" t="s">
        <v>15</v>
      </c>
      <c r="D14" s="3" t="s">
        <v>63</v>
      </c>
      <c r="F14" s="3" t="s">
        <v>34</v>
      </c>
      <c r="G14" s="3" t="s">
        <v>18</v>
      </c>
      <c r="H14" s="5">
        <v>46089.75</v>
      </c>
      <c r="I14" s="3" t="s">
        <v>64</v>
      </c>
      <c r="K14" s="3" t="s">
        <v>65</v>
      </c>
    </row>
    <row r="15" spans="1:12" ht="33" customHeight="1" x14ac:dyDescent="0.25">
      <c r="A15" s="3" t="s">
        <v>106</v>
      </c>
      <c r="B15" s="3" t="s">
        <v>14</v>
      </c>
      <c r="C15" s="3" t="s">
        <v>15</v>
      </c>
      <c r="D15" s="3" t="s">
        <v>66</v>
      </c>
      <c r="E15" s="3" t="s">
        <v>67</v>
      </c>
      <c r="F15" s="3" t="s">
        <v>60</v>
      </c>
      <c r="G15" s="3" t="s">
        <v>18</v>
      </c>
      <c r="H15" s="5">
        <v>37407.86</v>
      </c>
      <c r="I15" s="3" t="s">
        <v>68</v>
      </c>
      <c r="K15" s="3" t="s">
        <v>69</v>
      </c>
      <c r="L15" s="3" t="s">
        <v>70</v>
      </c>
    </row>
    <row r="16" spans="1:12" ht="33" customHeight="1" x14ac:dyDescent="0.25">
      <c r="A16" s="3" t="s">
        <v>107</v>
      </c>
      <c r="B16" s="3" t="s">
        <v>14</v>
      </c>
      <c r="C16" s="3" t="s">
        <v>15</v>
      </c>
      <c r="D16" s="3" t="s">
        <v>71</v>
      </c>
      <c r="F16" s="3" t="s">
        <v>72</v>
      </c>
      <c r="G16" s="3" t="s">
        <v>18</v>
      </c>
      <c r="H16" s="5">
        <v>42596.19</v>
      </c>
      <c r="I16" s="3" t="s">
        <v>73</v>
      </c>
      <c r="K16" s="3" t="s">
        <v>74</v>
      </c>
    </row>
    <row r="17" spans="1:12" ht="33" customHeight="1" x14ac:dyDescent="0.25">
      <c r="A17" s="6" t="s">
        <v>108</v>
      </c>
      <c r="B17" s="3" t="s">
        <v>28</v>
      </c>
      <c r="C17" s="3" t="s">
        <v>15</v>
      </c>
      <c r="D17" s="3" t="s">
        <v>75</v>
      </c>
      <c r="E17" s="3" t="s">
        <v>76</v>
      </c>
      <c r="F17" s="3" t="s">
        <v>77</v>
      </c>
      <c r="G17" s="3" t="s">
        <v>18</v>
      </c>
      <c r="H17" s="5">
        <v>34217.94</v>
      </c>
      <c r="K17" s="3" t="s">
        <v>78</v>
      </c>
      <c r="L17" s="3" t="s">
        <v>79</v>
      </c>
    </row>
    <row r="18" spans="1:12" ht="33" customHeight="1" x14ac:dyDescent="0.25">
      <c r="A18" s="3" t="s">
        <v>109</v>
      </c>
      <c r="B18" s="3" t="s">
        <v>28</v>
      </c>
      <c r="C18" s="3" t="s">
        <v>15</v>
      </c>
      <c r="D18" s="3" t="s">
        <v>80</v>
      </c>
      <c r="E18" s="9" t="s">
        <v>81</v>
      </c>
      <c r="F18" s="3" t="s">
        <v>82</v>
      </c>
      <c r="G18" s="3" t="s">
        <v>35</v>
      </c>
      <c r="H18" s="5">
        <v>12636.5</v>
      </c>
      <c r="I18" s="3" t="s">
        <v>83</v>
      </c>
      <c r="J18" s="3" t="s">
        <v>83</v>
      </c>
      <c r="K18" s="3" t="s">
        <v>84</v>
      </c>
      <c r="L18" s="3" t="s">
        <v>85</v>
      </c>
    </row>
    <row r="19" spans="1:12" ht="33" customHeight="1" x14ac:dyDescent="0.25">
      <c r="A19" s="3" t="s">
        <v>110</v>
      </c>
      <c r="B19" s="3" t="s">
        <v>14</v>
      </c>
      <c r="C19" s="3" t="s">
        <v>15</v>
      </c>
      <c r="D19" s="3" t="s">
        <v>86</v>
      </c>
      <c r="E19" s="3" t="s">
        <v>87</v>
      </c>
      <c r="F19" s="3" t="s">
        <v>88</v>
      </c>
      <c r="G19" s="3" t="s">
        <v>18</v>
      </c>
      <c r="H19" s="5">
        <v>12599.38</v>
      </c>
      <c r="I19" s="3" t="s">
        <v>89</v>
      </c>
      <c r="K19" s="3" t="s">
        <v>90</v>
      </c>
      <c r="L19" s="3" t="s">
        <v>91</v>
      </c>
    </row>
    <row r="20" spans="1:12" ht="33" customHeight="1" x14ac:dyDescent="0.25">
      <c r="A20" s="3" t="s">
        <v>111</v>
      </c>
      <c r="B20" s="3" t="s">
        <v>14</v>
      </c>
      <c r="C20" s="3" t="s">
        <v>15</v>
      </c>
      <c r="D20" s="3" t="s">
        <v>92</v>
      </c>
      <c r="F20" s="3" t="s">
        <v>93</v>
      </c>
      <c r="G20" s="3" t="s">
        <v>35</v>
      </c>
      <c r="H20" s="5">
        <v>17190.75</v>
      </c>
      <c r="I20" s="3" t="s">
        <v>94</v>
      </c>
      <c r="K20" s="3" t="s">
        <v>95</v>
      </c>
    </row>
    <row r="21" spans="1:12" x14ac:dyDescent="0.25">
      <c r="A21" s="7"/>
      <c r="B21" s="7"/>
      <c r="C21" s="7"/>
      <c r="D21" s="7" t="s">
        <v>96</v>
      </c>
      <c r="E21" s="7"/>
      <c r="F21" s="7"/>
      <c r="G21" s="7"/>
      <c r="H21" s="8">
        <f>SUM(H4:H20)</f>
        <v>528113.15999999992</v>
      </c>
      <c r="I21" s="7"/>
      <c r="J21" s="7"/>
      <c r="K21" s="7"/>
      <c r="L21" s="7"/>
    </row>
  </sheetData>
  <mergeCells count="2">
    <mergeCell ref="A2:F2"/>
    <mergeCell ref="G2:L2"/>
  </mergeCells>
  <pageMargins left="0.7" right="0.7" top="0.75" bottom="0.75" header="0.3" footer="0.3"/>
  <pageSetup paperSize="5" scale="67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74711-807A-423E-9838-6DE3AD04339A}">
  <dimension ref="A1:F21"/>
  <sheetViews>
    <sheetView workbookViewId="0">
      <selection activeCell="L8" sqref="L8"/>
    </sheetView>
  </sheetViews>
  <sheetFormatPr defaultRowHeight="15" x14ac:dyDescent="0.25"/>
  <cols>
    <col min="1" max="1" width="24.7109375" customWidth="1"/>
    <col min="2" max="2" width="21.85546875" customWidth="1"/>
    <col min="3" max="3" width="19.5703125" customWidth="1"/>
    <col min="4" max="4" width="18.7109375" customWidth="1"/>
    <col min="5" max="5" width="17.28515625" customWidth="1"/>
    <col min="6" max="6" width="19.28515625" customWidth="1"/>
  </cols>
  <sheetData>
    <row r="1" spans="1:6" x14ac:dyDescent="0.25">
      <c r="D1" s="2"/>
      <c r="F1" s="2">
        <v>45852.999988425923</v>
      </c>
    </row>
    <row r="2" spans="1:6" x14ac:dyDescent="0.25">
      <c r="A2" s="15" t="s">
        <v>0</v>
      </c>
      <c r="B2" s="16"/>
      <c r="C2" s="16"/>
      <c r="D2" s="17" t="s">
        <v>113</v>
      </c>
      <c r="E2" s="16"/>
      <c r="F2" s="16"/>
    </row>
    <row r="3" spans="1:6" x14ac:dyDescent="0.25">
      <c r="A3" t="s">
        <v>7</v>
      </c>
      <c r="B3" t="s">
        <v>8</v>
      </c>
      <c r="C3" t="s">
        <v>114</v>
      </c>
      <c r="D3" t="s">
        <v>115</v>
      </c>
      <c r="E3" t="s">
        <v>116</v>
      </c>
      <c r="F3" t="s">
        <v>117</v>
      </c>
    </row>
    <row r="4" spans="1:6" x14ac:dyDescent="0.25">
      <c r="A4" t="s">
        <v>30</v>
      </c>
      <c r="B4" t="s">
        <v>31</v>
      </c>
      <c r="C4" s="1">
        <v>750</v>
      </c>
      <c r="D4" s="1">
        <v>0</v>
      </c>
      <c r="E4" s="1">
        <v>28459.31</v>
      </c>
      <c r="F4" s="1">
        <v>28534.31</v>
      </c>
    </row>
    <row r="5" spans="1:6" x14ac:dyDescent="0.25">
      <c r="A5" t="s">
        <v>39</v>
      </c>
      <c r="B5" t="s">
        <v>35</v>
      </c>
      <c r="C5" s="1">
        <v>750</v>
      </c>
      <c r="D5" s="1">
        <v>0</v>
      </c>
      <c r="E5" s="1">
        <v>27505.19</v>
      </c>
      <c r="F5" s="1">
        <v>27580.19</v>
      </c>
    </row>
    <row r="6" spans="1:6" x14ac:dyDescent="0.25">
      <c r="A6" t="s">
        <v>77</v>
      </c>
      <c r="B6" t="s">
        <v>18</v>
      </c>
      <c r="C6" s="1">
        <v>850</v>
      </c>
      <c r="D6" s="1">
        <v>0</v>
      </c>
      <c r="E6" s="1">
        <v>34142.94</v>
      </c>
      <c r="F6" s="1">
        <v>34217.94</v>
      </c>
    </row>
    <row r="7" spans="1:6" x14ac:dyDescent="0.25">
      <c r="A7" t="s">
        <v>82</v>
      </c>
      <c r="B7" t="s">
        <v>35</v>
      </c>
      <c r="C7" s="1">
        <v>300</v>
      </c>
      <c r="D7" s="1">
        <v>0</v>
      </c>
      <c r="E7" s="1">
        <v>12561.5</v>
      </c>
      <c r="F7" s="1">
        <v>12636.5</v>
      </c>
    </row>
    <row r="8" spans="1:6" x14ac:dyDescent="0.25">
      <c r="A8" t="s">
        <v>17</v>
      </c>
      <c r="B8" t="s">
        <v>18</v>
      </c>
      <c r="C8" s="1">
        <v>850</v>
      </c>
      <c r="D8" s="1">
        <v>0</v>
      </c>
      <c r="E8" s="1">
        <v>34624.86</v>
      </c>
      <c r="F8" s="1">
        <v>34699.86</v>
      </c>
    </row>
    <row r="9" spans="1:6" x14ac:dyDescent="0.25">
      <c r="A9" t="s">
        <v>34</v>
      </c>
      <c r="B9" t="s">
        <v>35</v>
      </c>
      <c r="C9" s="1">
        <v>1350</v>
      </c>
      <c r="D9" s="1">
        <v>0</v>
      </c>
      <c r="E9" s="1">
        <v>53149.23</v>
      </c>
      <c r="F9" s="1">
        <v>53224.23</v>
      </c>
    </row>
    <row r="10" spans="1:6" x14ac:dyDescent="0.25">
      <c r="A10" t="s">
        <v>34</v>
      </c>
      <c r="B10" t="s">
        <v>35</v>
      </c>
      <c r="C10" s="1">
        <v>850</v>
      </c>
      <c r="D10" s="1">
        <v>0</v>
      </c>
      <c r="E10" s="1">
        <v>31457.360000000001</v>
      </c>
      <c r="F10" s="1">
        <v>31532.36</v>
      </c>
    </row>
    <row r="11" spans="1:6" x14ac:dyDescent="0.25">
      <c r="A11" t="s">
        <v>34</v>
      </c>
      <c r="B11" t="s">
        <v>18</v>
      </c>
      <c r="C11" s="1">
        <v>1150</v>
      </c>
      <c r="D11" s="1">
        <v>0</v>
      </c>
      <c r="E11" s="1">
        <v>46014.75</v>
      </c>
      <c r="F11" s="1">
        <v>46089.75</v>
      </c>
    </row>
    <row r="12" spans="1:6" x14ac:dyDescent="0.25">
      <c r="A12" t="s">
        <v>60</v>
      </c>
      <c r="B12" t="s">
        <v>18</v>
      </c>
      <c r="C12" s="1">
        <v>650</v>
      </c>
      <c r="D12" s="1">
        <v>0</v>
      </c>
      <c r="E12" s="1">
        <v>22972.67</v>
      </c>
      <c r="F12" s="1">
        <v>23047.67</v>
      </c>
    </row>
    <row r="13" spans="1:6" x14ac:dyDescent="0.25">
      <c r="A13" t="s">
        <v>60</v>
      </c>
      <c r="B13" t="s">
        <v>18</v>
      </c>
      <c r="C13" s="1">
        <v>950</v>
      </c>
      <c r="D13" s="1">
        <v>0</v>
      </c>
      <c r="E13" s="1">
        <v>37332.86</v>
      </c>
      <c r="F13" s="1">
        <v>37407.86</v>
      </c>
    </row>
    <row r="14" spans="1:6" x14ac:dyDescent="0.25">
      <c r="A14" t="s">
        <v>23</v>
      </c>
      <c r="B14" t="s">
        <v>18</v>
      </c>
      <c r="C14" s="1">
        <v>750</v>
      </c>
      <c r="D14" s="1">
        <v>0</v>
      </c>
      <c r="E14" s="1">
        <v>24927.79</v>
      </c>
      <c r="F14" s="1">
        <v>25002.79</v>
      </c>
    </row>
    <row r="15" spans="1:6" x14ac:dyDescent="0.25">
      <c r="A15" t="s">
        <v>93</v>
      </c>
      <c r="B15" t="s">
        <v>35</v>
      </c>
      <c r="C15" s="1">
        <v>500</v>
      </c>
      <c r="D15" s="1">
        <v>0</v>
      </c>
      <c r="E15" s="1">
        <v>17115.75</v>
      </c>
      <c r="F15" s="1">
        <v>17190.75</v>
      </c>
    </row>
    <row r="16" spans="1:6" x14ac:dyDescent="0.25">
      <c r="A16" t="s">
        <v>43</v>
      </c>
      <c r="B16" t="s">
        <v>35</v>
      </c>
      <c r="C16" s="1">
        <v>1050</v>
      </c>
      <c r="D16" s="1">
        <v>0</v>
      </c>
      <c r="E16" s="1">
        <v>41784.32</v>
      </c>
      <c r="F16" s="1">
        <v>41859.32</v>
      </c>
    </row>
    <row r="17" spans="1:6" x14ac:dyDescent="0.25">
      <c r="A17" t="s">
        <v>47</v>
      </c>
      <c r="B17" t="s">
        <v>31</v>
      </c>
      <c r="C17" s="1">
        <v>750</v>
      </c>
      <c r="D17" s="1">
        <v>0</v>
      </c>
      <c r="E17" s="1">
        <v>26797.06</v>
      </c>
      <c r="F17" s="1">
        <v>26872.06</v>
      </c>
    </row>
    <row r="18" spans="1:6" x14ac:dyDescent="0.25">
      <c r="A18" t="s">
        <v>72</v>
      </c>
      <c r="B18" t="s">
        <v>18</v>
      </c>
      <c r="C18" s="1">
        <v>1050</v>
      </c>
      <c r="D18" s="1">
        <v>0</v>
      </c>
      <c r="E18" s="1">
        <v>42521.19</v>
      </c>
      <c r="F18" s="1">
        <v>42596.19</v>
      </c>
    </row>
    <row r="19" spans="1:6" x14ac:dyDescent="0.25">
      <c r="A19" t="s">
        <v>88</v>
      </c>
      <c r="B19" t="s">
        <v>18</v>
      </c>
      <c r="C19" s="1">
        <v>300</v>
      </c>
      <c r="D19" s="1">
        <v>0</v>
      </c>
      <c r="E19" s="1">
        <v>12524.38</v>
      </c>
      <c r="F19" s="1">
        <v>12599.38</v>
      </c>
    </row>
    <row r="20" spans="1:6" x14ac:dyDescent="0.25">
      <c r="A20" t="s">
        <v>53</v>
      </c>
      <c r="B20" t="s">
        <v>35</v>
      </c>
      <c r="C20" s="1">
        <v>850</v>
      </c>
      <c r="D20" s="1">
        <v>0</v>
      </c>
      <c r="E20" s="1">
        <v>32947</v>
      </c>
      <c r="F20" s="1">
        <v>33022</v>
      </c>
    </row>
    <row r="21" spans="1:6" x14ac:dyDescent="0.25">
      <c r="A21" s="10"/>
      <c r="B21" s="10"/>
      <c r="C21" s="11">
        <f>SUM(C4:C20)</f>
        <v>13700</v>
      </c>
      <c r="D21" s="11">
        <f>SUM(D4:D20)</f>
        <v>0</v>
      </c>
      <c r="E21" s="11">
        <f>SUM(E4:E20)</f>
        <v>526838.15999999992</v>
      </c>
      <c r="F21" s="11">
        <f>SUM(F4:F20)</f>
        <v>528113.15999999992</v>
      </c>
    </row>
  </sheetData>
  <mergeCells count="2">
    <mergeCell ref="A2:C2"/>
    <mergeCell ref="D2:F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Funding Worksheet - Folder Vers</vt:lpstr>
      <vt:lpstr>Funding Worksheet - ACH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Marlene Braganca</cp:lastModifiedBy>
  <cp:lastPrinted>2025-07-14T18:42:32Z</cp:lastPrinted>
  <dcterms:created xsi:type="dcterms:W3CDTF">2025-07-14T18:35:57Z</dcterms:created>
  <dcterms:modified xsi:type="dcterms:W3CDTF">2025-07-14T19:11:15Z</dcterms:modified>
</cp:coreProperties>
</file>