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5B4CC8E8-04B6-40DB-BEA5-2D4602A55159}" xr6:coauthVersionLast="47" xr6:coauthVersionMax="47" xr10:uidLastSave="{00000000-0000-0000-0000-000000000000}"/>
  <bookViews>
    <workbookView xWindow="30390" yWindow="465" windowWidth="22785" windowHeight="1369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H22" i="2"/>
  <c r="F22" i="2"/>
  <c r="E22" i="2"/>
  <c r="D22" i="2"/>
  <c r="H14" i="1"/>
</calcChain>
</file>

<file path=xl/sharedStrings.xml><?xml version="1.0" encoding="utf-8"?>
<sst xmlns="http://schemas.openxmlformats.org/spreadsheetml/2006/main" count="160" uniqueCount="86">
  <si>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</si>
  <si>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</si>
  <si>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</si>
  <si>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</si>
  <si>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</si>
  <si>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</si>
  <si>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</si>
  <si>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</si>
  <si>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</si>
  <si>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</si>
  <si>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</si>
  <si>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</si>
  <si>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</si>
  <si>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</si>
  <si>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</si>
  <si>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</si>
  <si>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</si>
  <si>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DIAZ ROSA, EMILIO</t>
  </si>
  <si>
    <t>Priority Automotive LLC</t>
  </si>
  <si>
    <t>Marlene Braganca</t>
  </si>
  <si>
    <t>DIAZCDL@GMAIL.COM</t>
  </si>
  <si>
    <t>ROSA</t>
  </si>
  <si>
    <t>151243252</t>
  </si>
  <si>
    <t>Route One</t>
  </si>
  <si>
    <t>Paper</t>
  </si>
  <si>
    <t>GELINAS, CHARLENE</t>
  </si>
  <si>
    <t>Flood Mazda</t>
  </si>
  <si>
    <t>Rachel Gorham</t>
  </si>
  <si>
    <t>LEDUC</t>
  </si>
  <si>
    <t>151243260</t>
  </si>
  <si>
    <t>ROBINSON, SCOTT</t>
  </si>
  <si>
    <t>Saccucci Honda</t>
  </si>
  <si>
    <t>SCOTT.R7241@GMAIL.COM</t>
  </si>
  <si>
    <t>PULLI</t>
  </si>
  <si>
    <t>151243286</t>
  </si>
  <si>
    <t>SHAW, PATRICIA</t>
  </si>
  <si>
    <t>CAPRISHA39@GMAIL.COM</t>
  </si>
  <si>
    <t>MAYHEW</t>
  </si>
  <si>
    <t>SLATE, STEPHANIE</t>
  </si>
  <si>
    <t>Planet Subaru</t>
  </si>
  <si>
    <t>Neli Oliveira</t>
  </si>
  <si>
    <t>STEPHANIE.STMARTIN@GMAIL.COM</t>
  </si>
  <si>
    <t>CARDILE</t>
  </si>
  <si>
    <t>Jasper, Daryl</t>
  </si>
  <si>
    <t>Jasper, Jennifer</t>
  </si>
  <si>
    <t>Bald Hill Dodge Chrysler</t>
  </si>
  <si>
    <t>djasper@learfield.com</t>
  </si>
  <si>
    <t>thecrossfit401@gmail.com</t>
  </si>
  <si>
    <t>Laurence</t>
  </si>
  <si>
    <t>Cronin</t>
  </si>
  <si>
    <t>PETERSON, THOMAS</t>
  </si>
  <si>
    <t>Battles Nissan, LLC</t>
  </si>
  <si>
    <t>TOM@PETERSONREALTY.COM</t>
  </si>
  <si>
    <t>ATHY</t>
  </si>
  <si>
    <t>151243327</t>
  </si>
  <si>
    <t>COWELL, BELLA</t>
  </si>
  <si>
    <t>BELLACOWELL13@GMAIL.COM</t>
  </si>
  <si>
    <t>MOORE</t>
  </si>
  <si>
    <t>151243343</t>
  </si>
  <si>
    <t>HOLDEN, KATHLEEN</t>
  </si>
  <si>
    <t>Planet Automotive Sales LLC</t>
  </si>
  <si>
    <t>KA07SOWY@GMAIL.COM</t>
  </si>
  <si>
    <t>MURPHY</t>
  </si>
  <si>
    <t>PAWSEY, KEVIN</t>
  </si>
  <si>
    <t>Bourne Enterprises Inc</t>
  </si>
  <si>
    <t>KJPAWSEY@ME.COM</t>
  </si>
  <si>
    <t>LYNCH</t>
  </si>
  <si>
    <t># 10</t>
  </si>
  <si>
    <t>Funding Worksheet - Signoff Version</t>
  </si>
  <si>
    <t>Funding Worksheet - ACH Version</t>
  </si>
  <si>
    <t>Dealer Flat</t>
  </si>
  <si>
    <t>Dealer Split</t>
  </si>
  <si>
    <t>Net to Dealer</t>
  </si>
  <si>
    <t>Contracted Amount Financed</t>
  </si>
  <si>
    <t>#5</t>
  </si>
  <si>
    <t>Original Notes Delivered</t>
  </si>
  <si>
    <t>Delivered by:</t>
  </si>
  <si>
    <t>Received by:</t>
  </si>
  <si>
    <t>Date Signed:</t>
  </si>
  <si>
    <t>151243228 E</t>
  </si>
  <si>
    <t>151243294 E</t>
  </si>
  <si>
    <t>151243301 E</t>
  </si>
  <si>
    <t>151243319 E</t>
  </si>
  <si>
    <t>151243377 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</si>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</sst>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4" headerRowDxfId="13" dataDxfId="11" totalsRowDxfId="12">
  <tableColumns count="13">
    <tableColumn id="1" xr3:uid="{00000000-0010-0000-0000-000001000000}" name="Account Number" dataDxfId="26"/>
    <tableColumn id="2" xr3:uid="{00000000-0010-0000-0000-000002000000}" name="Portal" dataDxfId="25"/>
    <tableColumn id="3" xr3:uid="{00000000-0010-0000-0000-000003000000}" name="Contract Type" dataDxfId="24"/>
    <tableColumn id="4" xr3:uid="{00000000-0010-0000-0000-000004000000}" name="Applicant Name" dataDxfId="23"/>
    <tableColumn id="5" xr3:uid="{00000000-0010-0000-0000-000005000000}" name="Co-Applicant Name" dataDxfId="22"/>
    <tableColumn id="6" xr3:uid="{00000000-0010-0000-0000-000006000000}" name="Dealer Name" dataDxfId="21"/>
    <tableColumn id="7" xr3:uid="{00000000-0010-0000-0000-000007000000}" name="Funded by" dataDxfId="20"/>
    <tableColumn id="8" xr3:uid="{00000000-0010-0000-0000-000008000000}" name="Amount Financed" dataDxfId="19"/>
    <tableColumn id="9" xr3:uid="{00000000-0010-0000-0000-000009000000}" name="Applicant Email" dataDxfId="18"/>
    <tableColumn id="10" xr3:uid="{00000000-0010-0000-0000-00000A000000}" name="Co-Applicant Email" dataDxfId="17"/>
    <tableColumn id="11" xr3:uid="{00000000-0010-0000-0000-00000B000000}" name="App MMN" dataDxfId="16"/>
    <tableColumn id="12" xr3:uid="{00000000-0010-0000-0000-00000C000000}" name="Co-App MMN" dataDxfId="15"/>
    <tableColumn id="13" xr3:uid="{00000000-0010-0000-0000-00000D000000}" name="Business Name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7D8785-CBA5-40C2-90A9-7C74F38CED03}" name="Table_14" displayName="Table_14" ref="A3:H22" headerRowDxfId="2" dataDxfId="0" totalsRowDxfId="1">
  <sortState xmlns:xlrd2="http://schemas.microsoft.com/office/spreadsheetml/2017/richdata2" ref="A4:H22">
    <sortCondition ref="A4:A22"/>
  </sortState>
  <tableColumns count="8">
    <tableColumn id="1" xr3:uid="{429352A3-A4A4-45E0-94C3-2B2ED25D7DAF}" name="Dealer Name" dataDxfId="10"/>
    <tableColumn id="8" xr3:uid="{2B9CB221-2B76-4656-AC3F-125F587FDE36}" name="Column2" dataDxfId="9"/>
    <tableColumn id="2" xr3:uid="{62EABDCA-CEAD-47B5-AD01-F7C27DF7E92B}" name="Funded by" dataDxfId="8"/>
    <tableColumn id="3" xr3:uid="{8C0D1E00-3B9A-4DC9-988C-8C6D8B55C872}" name="Dealer Flat" dataDxfId="7"/>
    <tableColumn id="4" xr3:uid="{6FCB5962-E74D-4103-B18E-5AD4B4FE630E}" name="Dealer Split" dataDxfId="6"/>
    <tableColumn id="5" xr3:uid="{4C483F92-13CE-4312-86AB-8C8C43B20C88}" name="Net to Dealer" dataDxfId="5"/>
    <tableColumn id="7" xr3:uid="{11B59ED0-DE1C-407F-9621-758E3873EB92}" name="Column1" dataDxfId="4"/>
    <tableColumn id="6" xr3:uid="{F690B755-1253-4587-984E-FBD9238F9567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71DCC7-50A8-43A4-916C-2514FEC752B5}" name="Table_13" displayName="Table_13" ref="A3:E9">
  <tableColumns count="5">
    <tableColumn id="1" xr3:uid="{0B813BDF-E0C7-4610-8101-17082D9B4044}" name="Account Number"/>
    <tableColumn id="2" xr3:uid="{8CD61E58-B1E4-4444-814B-8F76556FE41A}" name="Contract Type"/>
    <tableColumn id="3" xr3:uid="{CE4B6C84-F708-496E-A5C3-5540006BF446}" name="Applicant Name"/>
    <tableColumn id="4" xr3:uid="{2B0E48F4-E503-4E6B-8650-3A0F80CFE934}" name="Co-Applicant Name"/>
    <tableColumn id="5" xr3:uid="{36534816-6474-4609-81A5-0E74984B0F7D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"/>
  <sheetViews>
    <sheetView tabSelected="1" workbookViewId="0">
      <pane ySplit="3" topLeftCell="A4" activePane="bottomLeft" state="frozen"/>
      <selection pane="bottomLeft" activeCell="D8" sqref="D8"/>
    </sheetView>
  </sheetViews>
  <sheetFormatPr defaultRowHeight="15.75" x14ac:dyDescent="0.25"/>
  <cols>
    <col min="1" max="1" width="13.28515625" style="7" customWidth="1"/>
    <col min="2" max="2" width="12.140625" style="7" bestFit="1" customWidth="1"/>
    <col min="3" max="3" width="14" style="7" bestFit="1" customWidth="1"/>
    <col min="4" max="4" width="20" style="7" bestFit="1" customWidth="1"/>
    <col min="5" max="5" width="14.5703125" style="7" customWidth="1"/>
    <col min="6" max="6" width="27.28515625" style="7" bestFit="1" customWidth="1"/>
    <col min="7" max="7" width="17.7109375" style="7" bestFit="1" customWidth="1"/>
    <col min="8" max="8" width="17.140625" style="7" bestFit="1" customWidth="1"/>
    <col min="9" max="9" width="33.85546875" style="7" bestFit="1" customWidth="1"/>
    <col min="10" max="10" width="23.7109375" style="7" customWidth="1"/>
    <col min="11" max="11" width="18.140625" style="7" bestFit="1" customWidth="1"/>
    <col min="12" max="12" width="6.42578125" style="7" customWidth="1"/>
    <col min="13" max="13" width="18.140625" style="7" hidden="1" customWidth="1"/>
    <col min="14" max="16384" width="9.140625" style="7"/>
  </cols>
  <sheetData>
    <row r="1" spans="1:13" x14ac:dyDescent="0.25">
      <c r="K1" s="8">
        <v>45965</v>
      </c>
      <c r="M1" s="8">
        <v>45965.999988425923</v>
      </c>
    </row>
    <row r="2" spans="1:13" x14ac:dyDescent="0.25">
      <c r="A2" s="9" t="s">
        <v>0</v>
      </c>
      <c r="B2" s="10"/>
      <c r="C2" s="10"/>
      <c r="D2" s="10"/>
      <c r="E2" s="10"/>
      <c r="F2" s="10"/>
      <c r="G2" s="11" t="s">
        <v>1</v>
      </c>
      <c r="H2" s="10"/>
      <c r="I2" s="10"/>
      <c r="J2" s="10"/>
      <c r="K2" s="10"/>
      <c r="L2" s="10"/>
      <c r="M2" s="10"/>
    </row>
    <row r="3" spans="1:13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 ht="33" customHeight="1" x14ac:dyDescent="0.25">
      <c r="A4" s="7" t="s">
        <v>79</v>
      </c>
      <c r="B4" s="7" t="s">
        <v>15</v>
      </c>
      <c r="C4" s="7" t="s">
        <v>16</v>
      </c>
      <c r="D4" s="7" t="s">
        <v>17</v>
      </c>
      <c r="F4" s="7" t="s">
        <v>18</v>
      </c>
      <c r="G4" s="7" t="s">
        <v>19</v>
      </c>
      <c r="H4" s="12">
        <v>36730.83</v>
      </c>
      <c r="I4" s="7" t="s">
        <v>20</v>
      </c>
      <c r="K4" s="7" t="s">
        <v>21</v>
      </c>
    </row>
    <row r="5" spans="1:13" ht="33" customHeight="1" x14ac:dyDescent="0.25">
      <c r="A5" s="7" t="s">
        <v>22</v>
      </c>
      <c r="B5" s="7" t="s">
        <v>23</v>
      </c>
      <c r="C5" s="7" t="s">
        <v>24</v>
      </c>
      <c r="D5" s="7" t="s">
        <v>25</v>
      </c>
      <c r="F5" s="7" t="s">
        <v>26</v>
      </c>
      <c r="G5" s="7" t="s">
        <v>27</v>
      </c>
      <c r="H5" s="12">
        <v>26826.83</v>
      </c>
      <c r="K5" s="7" t="s">
        <v>28</v>
      </c>
    </row>
    <row r="6" spans="1:13" ht="33" customHeight="1" x14ac:dyDescent="0.25">
      <c r="A6" s="7" t="s">
        <v>29</v>
      </c>
      <c r="B6" s="7" t="s">
        <v>15</v>
      </c>
      <c r="C6" s="7" t="s">
        <v>24</v>
      </c>
      <c r="D6" s="7" t="s">
        <v>30</v>
      </c>
      <c r="F6" s="7" t="s">
        <v>31</v>
      </c>
      <c r="G6" s="7" t="s">
        <v>27</v>
      </c>
      <c r="H6" s="12">
        <v>33292.25</v>
      </c>
      <c r="I6" s="7" t="s">
        <v>32</v>
      </c>
      <c r="K6" s="7" t="s">
        <v>33</v>
      </c>
    </row>
    <row r="7" spans="1:13" ht="33" customHeight="1" x14ac:dyDescent="0.25">
      <c r="A7" s="7" t="s">
        <v>34</v>
      </c>
      <c r="B7" s="7" t="s">
        <v>15</v>
      </c>
      <c r="C7" s="7" t="s">
        <v>24</v>
      </c>
      <c r="D7" s="7" t="s">
        <v>35</v>
      </c>
      <c r="F7" s="7" t="s">
        <v>31</v>
      </c>
      <c r="G7" s="7" t="s">
        <v>19</v>
      </c>
      <c r="H7" s="12">
        <v>17901.75</v>
      </c>
      <c r="I7" s="7" t="s">
        <v>36</v>
      </c>
      <c r="K7" s="7" t="s">
        <v>37</v>
      </c>
    </row>
    <row r="8" spans="1:13" ht="33" customHeight="1" x14ac:dyDescent="0.25">
      <c r="A8" s="7" t="s">
        <v>80</v>
      </c>
      <c r="B8" s="7" t="s">
        <v>15</v>
      </c>
      <c r="C8" s="7" t="s">
        <v>16</v>
      </c>
      <c r="D8" s="7" t="s">
        <v>38</v>
      </c>
      <c r="F8" s="7" t="s">
        <v>39</v>
      </c>
      <c r="G8" s="7" t="s">
        <v>40</v>
      </c>
      <c r="H8" s="12">
        <v>20079.5</v>
      </c>
      <c r="I8" s="7" t="s">
        <v>41</v>
      </c>
      <c r="K8" s="7" t="s">
        <v>42</v>
      </c>
    </row>
    <row r="9" spans="1:13" ht="33" customHeight="1" x14ac:dyDescent="0.25">
      <c r="A9" s="7" t="s">
        <v>81</v>
      </c>
      <c r="B9" s="7" t="s">
        <v>23</v>
      </c>
      <c r="C9" s="7" t="s">
        <v>16</v>
      </c>
      <c r="D9" s="7" t="s">
        <v>43</v>
      </c>
      <c r="E9" s="7" t="s">
        <v>44</v>
      </c>
      <c r="F9" s="7" t="s">
        <v>45</v>
      </c>
      <c r="G9" s="7" t="s">
        <v>40</v>
      </c>
      <c r="H9" s="12">
        <v>38393.550000000003</v>
      </c>
      <c r="I9" s="7" t="s">
        <v>46</v>
      </c>
      <c r="J9" s="7" t="s">
        <v>47</v>
      </c>
      <c r="K9" s="7" t="s">
        <v>48</v>
      </c>
      <c r="L9" s="7" t="s">
        <v>49</v>
      </c>
    </row>
    <row r="10" spans="1:13" ht="33" customHeight="1" x14ac:dyDescent="0.25">
      <c r="A10" s="7" t="s">
        <v>82</v>
      </c>
      <c r="B10" s="7" t="s">
        <v>15</v>
      </c>
      <c r="C10" s="7" t="s">
        <v>16</v>
      </c>
      <c r="D10" s="7" t="s">
        <v>50</v>
      </c>
      <c r="F10" s="7" t="s">
        <v>51</v>
      </c>
      <c r="G10" s="7" t="s">
        <v>40</v>
      </c>
      <c r="H10" s="12">
        <v>30526.71</v>
      </c>
      <c r="I10" s="7" t="s">
        <v>52</v>
      </c>
      <c r="K10" s="7" t="s">
        <v>53</v>
      </c>
    </row>
    <row r="11" spans="1:13" ht="33" customHeight="1" x14ac:dyDescent="0.25">
      <c r="A11" s="7" t="s">
        <v>54</v>
      </c>
      <c r="B11" s="7" t="s">
        <v>15</v>
      </c>
      <c r="C11" s="7" t="s">
        <v>24</v>
      </c>
      <c r="D11" s="7" t="s">
        <v>55</v>
      </c>
      <c r="F11" s="7" t="s">
        <v>31</v>
      </c>
      <c r="G11" s="7" t="s">
        <v>27</v>
      </c>
      <c r="H11" s="12">
        <v>29047.27</v>
      </c>
      <c r="I11" s="7" t="s">
        <v>56</v>
      </c>
      <c r="K11" s="7" t="s">
        <v>57</v>
      </c>
    </row>
    <row r="12" spans="1:13" ht="33" customHeight="1" x14ac:dyDescent="0.25">
      <c r="A12" s="7" t="s">
        <v>58</v>
      </c>
      <c r="B12" s="7" t="s">
        <v>15</v>
      </c>
      <c r="C12" s="7" t="s">
        <v>24</v>
      </c>
      <c r="D12" s="7" t="s">
        <v>59</v>
      </c>
      <c r="F12" s="7" t="s">
        <v>60</v>
      </c>
      <c r="G12" s="7" t="s">
        <v>27</v>
      </c>
      <c r="H12" s="12">
        <v>39788.69</v>
      </c>
      <c r="I12" s="7" t="s">
        <v>61</v>
      </c>
      <c r="K12" s="7" t="s">
        <v>62</v>
      </c>
    </row>
    <row r="13" spans="1:13" ht="33" customHeight="1" x14ac:dyDescent="0.25">
      <c r="A13" s="7" t="s">
        <v>83</v>
      </c>
      <c r="B13" s="7" t="s">
        <v>15</v>
      </c>
      <c r="C13" s="7" t="s">
        <v>16</v>
      </c>
      <c r="D13" s="7" t="s">
        <v>63</v>
      </c>
      <c r="F13" s="7" t="s">
        <v>64</v>
      </c>
      <c r="G13" s="7" t="s">
        <v>27</v>
      </c>
      <c r="H13" s="12">
        <v>29219.38</v>
      </c>
      <c r="I13" s="7" t="s">
        <v>65</v>
      </c>
      <c r="K13" s="7" t="s">
        <v>66</v>
      </c>
    </row>
    <row r="14" spans="1:13" x14ac:dyDescent="0.25">
      <c r="A14" s="13"/>
      <c r="B14" s="13"/>
      <c r="C14" s="13"/>
      <c r="D14" s="13" t="s">
        <v>67</v>
      </c>
      <c r="E14" s="13"/>
      <c r="F14" s="13"/>
      <c r="G14" s="13"/>
      <c r="H14" s="14">
        <f>SUM(H4:H13)</f>
        <v>301806.76</v>
      </c>
      <c r="I14" s="13"/>
      <c r="J14" s="13"/>
      <c r="K14" s="13"/>
      <c r="L14" s="13"/>
      <c r="M14" s="13"/>
    </row>
  </sheetData>
  <mergeCells count="2">
    <mergeCell ref="A2:F2"/>
    <mergeCell ref="G2:M2"/>
  </mergeCells>
  <pageMargins left="0.7" right="0" top="0.75" bottom="0.75" header="0.3" footer="0.3"/>
  <pageSetup paperSize="5" scale="7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BDD9-6107-43A1-A93E-FBB21AED3EFF}">
  <sheetPr>
    <pageSetUpPr fitToPage="1"/>
  </sheetPr>
  <dimension ref="A1:H22"/>
  <sheetViews>
    <sheetView topLeftCell="A5" workbookViewId="0">
      <selection activeCell="K11" sqref="K11"/>
    </sheetView>
  </sheetViews>
  <sheetFormatPr defaultRowHeight="15.75" x14ac:dyDescent="0.25"/>
  <cols>
    <col min="1" max="1" width="26.7109375" style="7" customWidth="1"/>
    <col min="2" max="2" width="13.7109375" style="7" customWidth="1"/>
    <col min="3" max="3" width="17.7109375" style="7" customWidth="1"/>
    <col min="4" max="4" width="20" style="7" customWidth="1"/>
    <col min="5" max="5" width="19.5703125" style="7" customWidth="1"/>
    <col min="6" max="6" width="18" style="7" customWidth="1"/>
    <col min="7" max="7" width="12.5703125" style="7" customWidth="1"/>
    <col min="8" max="8" width="18.28515625" style="7" customWidth="1"/>
    <col min="9" max="16384" width="9.140625" style="7"/>
  </cols>
  <sheetData>
    <row r="1" spans="1:8" x14ac:dyDescent="0.25">
      <c r="E1" s="8"/>
      <c r="H1" s="8">
        <v>45965.999988425923</v>
      </c>
    </row>
    <row r="2" spans="1:8" x14ac:dyDescent="0.25">
      <c r="A2" s="9" t="s">
        <v>0</v>
      </c>
      <c r="B2" s="9"/>
      <c r="C2" s="10"/>
      <c r="D2" s="10"/>
      <c r="E2" s="11" t="s">
        <v>69</v>
      </c>
      <c r="F2" s="10"/>
      <c r="G2" s="10"/>
      <c r="H2" s="10"/>
    </row>
    <row r="3" spans="1:8" x14ac:dyDescent="0.25">
      <c r="A3" s="7" t="s">
        <v>7</v>
      </c>
      <c r="B3" s="7" t="s">
        <v>85</v>
      </c>
      <c r="C3" s="7" t="s">
        <v>8</v>
      </c>
      <c r="D3" s="7" t="s">
        <v>70</v>
      </c>
      <c r="E3" s="7" t="s">
        <v>71</v>
      </c>
      <c r="F3" s="7" t="s">
        <v>72</v>
      </c>
      <c r="G3" s="7" t="s">
        <v>84</v>
      </c>
      <c r="H3" s="7" t="s">
        <v>73</v>
      </c>
    </row>
    <row r="4" spans="1:8" ht="24.95" customHeight="1" x14ac:dyDescent="0.25">
      <c r="A4" s="7" t="s">
        <v>45</v>
      </c>
      <c r="C4" s="7" t="s">
        <v>40</v>
      </c>
      <c r="D4" s="12">
        <v>950</v>
      </c>
      <c r="E4" s="12">
        <v>0</v>
      </c>
      <c r="F4" s="15">
        <v>38318.550000000003</v>
      </c>
      <c r="G4" s="12"/>
      <c r="H4" s="12">
        <v>38393.550000000003</v>
      </c>
    </row>
    <row r="5" spans="1:8" ht="24.95" customHeight="1" x14ac:dyDescent="0.25">
      <c r="D5" s="12"/>
      <c r="E5" s="12"/>
      <c r="F5" s="15"/>
      <c r="G5" s="12"/>
      <c r="H5" s="12"/>
    </row>
    <row r="6" spans="1:8" ht="24.95" customHeight="1" x14ac:dyDescent="0.25">
      <c r="A6" s="7" t="s">
        <v>51</v>
      </c>
      <c r="C6" s="7" t="s">
        <v>40</v>
      </c>
      <c r="D6" s="12">
        <v>850</v>
      </c>
      <c r="E6" s="12">
        <v>0</v>
      </c>
      <c r="F6" s="15">
        <v>30451.71</v>
      </c>
      <c r="G6" s="12"/>
      <c r="H6" s="12">
        <v>30526.71</v>
      </c>
    </row>
    <row r="7" spans="1:8" ht="24.95" customHeight="1" x14ac:dyDescent="0.25">
      <c r="D7" s="12"/>
      <c r="E7" s="12"/>
      <c r="F7" s="15"/>
      <c r="G7" s="12"/>
      <c r="H7" s="12"/>
    </row>
    <row r="8" spans="1:8" ht="24.95" customHeight="1" x14ac:dyDescent="0.25">
      <c r="A8" s="7" t="s">
        <v>64</v>
      </c>
      <c r="C8" s="7" t="s">
        <v>27</v>
      </c>
      <c r="D8" s="12">
        <v>750</v>
      </c>
      <c r="E8" s="12">
        <v>0</v>
      </c>
      <c r="F8" s="15">
        <v>29144.38</v>
      </c>
      <c r="G8" s="12"/>
      <c r="H8" s="12">
        <v>29219.38</v>
      </c>
    </row>
    <row r="9" spans="1:8" ht="24.95" customHeight="1" x14ac:dyDescent="0.25">
      <c r="D9" s="12"/>
      <c r="E9" s="12"/>
      <c r="F9" s="15"/>
      <c r="G9" s="12"/>
      <c r="H9" s="12"/>
    </row>
    <row r="10" spans="1:8" ht="24.95" customHeight="1" x14ac:dyDescent="0.25">
      <c r="A10" s="7" t="s">
        <v>26</v>
      </c>
      <c r="C10" s="7" t="s">
        <v>27</v>
      </c>
      <c r="D10" s="12">
        <v>750</v>
      </c>
      <c r="E10" s="12">
        <v>0</v>
      </c>
      <c r="F10" s="15">
        <v>26751.83</v>
      </c>
      <c r="G10" s="12"/>
      <c r="H10" s="12">
        <v>26826.83</v>
      </c>
    </row>
    <row r="11" spans="1:8" ht="24.95" customHeight="1" x14ac:dyDescent="0.25">
      <c r="D11" s="12"/>
      <c r="E11" s="12"/>
      <c r="F11" s="15"/>
      <c r="G11" s="12"/>
      <c r="H11" s="12"/>
    </row>
    <row r="12" spans="1:8" ht="24.95" customHeight="1" x14ac:dyDescent="0.25">
      <c r="A12" s="7" t="s">
        <v>60</v>
      </c>
      <c r="C12" s="7" t="s">
        <v>27</v>
      </c>
      <c r="D12" s="12">
        <v>950</v>
      </c>
      <c r="E12" s="12">
        <v>0</v>
      </c>
      <c r="F12" s="15">
        <v>39713.69</v>
      </c>
      <c r="G12" s="12"/>
      <c r="H12" s="12">
        <v>39788.69</v>
      </c>
    </row>
    <row r="13" spans="1:8" ht="24.95" customHeight="1" x14ac:dyDescent="0.25">
      <c r="D13" s="12"/>
      <c r="E13" s="12"/>
      <c r="F13" s="15"/>
      <c r="G13" s="12"/>
      <c r="H13" s="12"/>
    </row>
    <row r="14" spans="1:8" ht="24.95" customHeight="1" x14ac:dyDescent="0.25">
      <c r="A14" s="7" t="s">
        <v>39</v>
      </c>
      <c r="C14" s="7" t="s">
        <v>40</v>
      </c>
      <c r="D14" s="12">
        <v>650</v>
      </c>
      <c r="E14" s="12">
        <v>0</v>
      </c>
      <c r="F14" s="15">
        <v>20004.5</v>
      </c>
      <c r="G14" s="12"/>
      <c r="H14" s="12">
        <v>20079.5</v>
      </c>
    </row>
    <row r="15" spans="1:8" ht="24.95" customHeight="1" x14ac:dyDescent="0.25">
      <c r="D15" s="12"/>
      <c r="E15" s="12"/>
      <c r="F15" s="12"/>
      <c r="G15" s="12"/>
      <c r="H15" s="12"/>
    </row>
    <row r="16" spans="1:8" ht="24.95" customHeight="1" x14ac:dyDescent="0.25">
      <c r="A16" s="7" t="s">
        <v>18</v>
      </c>
      <c r="C16" s="7" t="s">
        <v>19</v>
      </c>
      <c r="D16" s="12">
        <v>950</v>
      </c>
      <c r="E16" s="12">
        <v>0</v>
      </c>
      <c r="F16" s="15">
        <v>36655.83</v>
      </c>
      <c r="G16" s="12"/>
      <c r="H16" s="12">
        <v>36730.83</v>
      </c>
    </row>
    <row r="17" spans="1:8" ht="24.95" customHeight="1" x14ac:dyDescent="0.25">
      <c r="D17" s="12"/>
      <c r="E17" s="12"/>
      <c r="F17" s="15"/>
      <c r="G17" s="12"/>
      <c r="H17" s="12"/>
    </row>
    <row r="18" spans="1:8" ht="24.95" customHeight="1" x14ac:dyDescent="0.25">
      <c r="A18" s="7" t="s">
        <v>31</v>
      </c>
      <c r="C18" s="7" t="s">
        <v>19</v>
      </c>
      <c r="D18" s="12">
        <v>500</v>
      </c>
      <c r="E18" s="12">
        <v>0</v>
      </c>
      <c r="F18" s="12">
        <v>17826.75</v>
      </c>
      <c r="G18" s="12"/>
      <c r="H18" s="12">
        <v>17901.75</v>
      </c>
    </row>
    <row r="19" spans="1:8" ht="24.95" customHeight="1" x14ac:dyDescent="0.25">
      <c r="A19" s="7" t="s">
        <v>31</v>
      </c>
      <c r="C19" s="7" t="s">
        <v>27</v>
      </c>
      <c r="D19" s="12">
        <v>850</v>
      </c>
      <c r="E19" s="12">
        <v>0</v>
      </c>
      <c r="F19" s="12">
        <v>33217.25</v>
      </c>
      <c r="G19" s="12"/>
      <c r="H19" s="12">
        <v>33292.25</v>
      </c>
    </row>
    <row r="20" spans="1:8" ht="24.95" customHeight="1" x14ac:dyDescent="0.25">
      <c r="A20" s="7" t="s">
        <v>31</v>
      </c>
      <c r="C20" s="7" t="s">
        <v>27</v>
      </c>
      <c r="D20" s="12">
        <v>750</v>
      </c>
      <c r="E20" s="12">
        <v>0</v>
      </c>
      <c r="F20" s="12">
        <v>28972.27</v>
      </c>
      <c r="G20" s="15">
        <f>SUM(F18:F20)</f>
        <v>80016.27</v>
      </c>
      <c r="H20" s="12">
        <v>29047.27</v>
      </c>
    </row>
    <row r="21" spans="1:8" x14ac:dyDescent="0.25">
      <c r="D21" s="12"/>
      <c r="E21" s="12"/>
      <c r="F21" s="12"/>
      <c r="G21" s="12"/>
      <c r="H21" s="12"/>
    </row>
    <row r="22" spans="1:8" x14ac:dyDescent="0.25">
      <c r="A22" s="13"/>
      <c r="B22" s="13"/>
      <c r="C22" s="13"/>
      <c r="D22" s="14">
        <f>SUM(D4:D20)</f>
        <v>7950</v>
      </c>
      <c r="E22" s="14">
        <f>SUM(E4:E20)</f>
        <v>0</v>
      </c>
      <c r="F22" s="14">
        <f>SUM(F4:F20)</f>
        <v>301056.76000000007</v>
      </c>
      <c r="G22" s="14"/>
      <c r="H22" s="14">
        <f>SUM(H4:H20)</f>
        <v>301806.76000000007</v>
      </c>
    </row>
  </sheetData>
  <mergeCells count="2">
    <mergeCell ref="A2:D2"/>
    <mergeCell ref="E2:H2"/>
  </mergeCells>
  <pageMargins left="0.7" right="0" top="0.75" bottom="0.75" header="0.3" footer="0.3"/>
  <pageSetup scale="8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9757-C645-4B6C-91D4-8CA4AA9B6210}">
  <sheetPr>
    <pageSetUpPr fitToPage="1"/>
  </sheetPr>
  <dimension ref="A1:E23"/>
  <sheetViews>
    <sheetView topLeftCell="A2" workbookViewId="0">
      <selection activeCell="H19" sqref="H19"/>
    </sheetView>
  </sheetViews>
  <sheetFormatPr defaultRowHeight="15" x14ac:dyDescent="0.25"/>
  <cols>
    <col min="1" max="1" width="12.42578125" customWidth="1"/>
    <col min="3" max="3" width="15.7109375" customWidth="1"/>
    <col min="4" max="4" width="14.5703125" customWidth="1"/>
    <col min="5" max="5" width="26.28515625" customWidth="1"/>
  </cols>
  <sheetData>
    <row r="1" spans="1:5" ht="24.95" customHeight="1" x14ac:dyDescent="0.25">
      <c r="A1" t="s">
        <v>75</v>
      </c>
      <c r="D1" s="2"/>
      <c r="E1" s="2">
        <v>45965.999988425923</v>
      </c>
    </row>
    <row r="2" spans="1:5" ht="24.95" customHeight="1" x14ac:dyDescent="0.25">
      <c r="A2" s="3" t="s">
        <v>0</v>
      </c>
      <c r="B2" s="4"/>
      <c r="C2" s="4"/>
      <c r="D2" s="5" t="s">
        <v>68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22</v>
      </c>
      <c r="B4" t="s">
        <v>24</v>
      </c>
      <c r="C4" t="s">
        <v>25</v>
      </c>
      <c r="E4" t="s">
        <v>26</v>
      </c>
    </row>
    <row r="5" spans="1:5" ht="24.95" customHeight="1" x14ac:dyDescent="0.25">
      <c r="A5" t="s">
        <v>29</v>
      </c>
      <c r="B5" t="s">
        <v>24</v>
      </c>
      <c r="C5" t="s">
        <v>30</v>
      </c>
      <c r="E5" t="s">
        <v>31</v>
      </c>
    </row>
    <row r="6" spans="1:5" ht="24.95" customHeight="1" x14ac:dyDescent="0.25">
      <c r="A6" t="s">
        <v>34</v>
      </c>
      <c r="B6" t="s">
        <v>24</v>
      </c>
      <c r="C6" t="s">
        <v>35</v>
      </c>
      <c r="E6" t="s">
        <v>31</v>
      </c>
    </row>
    <row r="7" spans="1:5" ht="24.95" customHeight="1" x14ac:dyDescent="0.25">
      <c r="A7" t="s">
        <v>54</v>
      </c>
      <c r="B7" t="s">
        <v>24</v>
      </c>
      <c r="C7" t="s">
        <v>55</v>
      </c>
      <c r="E7" t="s">
        <v>31</v>
      </c>
    </row>
    <row r="8" spans="1:5" ht="24.95" customHeight="1" x14ac:dyDescent="0.25">
      <c r="A8" t="s">
        <v>58</v>
      </c>
      <c r="B8" t="s">
        <v>24</v>
      </c>
      <c r="C8" t="s">
        <v>59</v>
      </c>
      <c r="E8" t="s">
        <v>60</v>
      </c>
    </row>
    <row r="9" spans="1:5" x14ac:dyDescent="0.25">
      <c r="A9" s="1"/>
      <c r="B9" s="1"/>
      <c r="C9" s="1" t="s">
        <v>74</v>
      </c>
      <c r="D9" s="1"/>
      <c r="E9" s="1"/>
    </row>
    <row r="14" spans="1:5" x14ac:dyDescent="0.25">
      <c r="A14" t="s">
        <v>76</v>
      </c>
      <c r="B14" s="6"/>
      <c r="C14" s="6"/>
      <c r="D14" s="6"/>
    </row>
    <row r="19" spans="1:4" x14ac:dyDescent="0.25">
      <c r="A19" t="s">
        <v>77</v>
      </c>
      <c r="B19" s="6"/>
      <c r="C19" s="6"/>
      <c r="D19" s="6"/>
    </row>
    <row r="23" spans="1:4" x14ac:dyDescent="0.25">
      <c r="A23" t="s">
        <v>78</v>
      </c>
      <c r="B23" s="6"/>
      <c r="C23" s="6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2025-11-04T19:30:11Z</cp:lastPrinted>
  <dcterms:created xsi:type="dcterms:W3CDTF">2025-11-04T19:05:24Z</dcterms:created>
  <dcterms:modified xsi:type="dcterms:W3CDTF">2025-11-04T19:35:50Z</dcterms:modified>
</cp:coreProperties>
</file>