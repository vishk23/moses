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AF9A2A33-5D71-40B3-B75F-B194AA2C0A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F9" i="1"/>
  <c r="F17" i="1"/>
  <c r="H18" i="1"/>
  <c r="E18" i="1"/>
  <c r="D18" i="1"/>
  <c r="C18" i="1"/>
</calcChain>
</file>

<file path=xl/sharedStrings.xml><?xml version="1.0" encoding="utf-8"?>
<sst xmlns="http://schemas.openxmlformats.org/spreadsheetml/2006/main" count="149" uniqueCount="76">
  <si>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</si>
  <si>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</si>
  <si>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</si>
  <si>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</si>
  <si>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</si>
  <si>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</si>
  <si>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</si>
  <si>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</si>
  <si>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</si>
  <si>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</si>
  <si>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Grieco Toyota</t>
  </si>
  <si>
    <t>Marlene Braganca</t>
  </si>
  <si>
    <t>Mastria Nissan</t>
  </si>
  <si>
    <t>Neli Oliveira</t>
  </si>
  <si>
    <t>Mathieu Ford Sales, Inc</t>
  </si>
  <si>
    <t>Planet Automotive Sales LLC</t>
  </si>
  <si>
    <t>RAH FALL RIVER VW, LLC</t>
  </si>
  <si>
    <t>Viti Mercedes</t>
  </si>
  <si>
    <t>Column1</t>
  </si>
  <si>
    <t>Column2</t>
  </si>
  <si>
    <t># 9</t>
  </si>
  <si>
    <t>Almond</t>
  </si>
  <si>
    <t>Watson, Michael</t>
  </si>
  <si>
    <t>E Contract</t>
  </si>
  <si>
    <t>Route One</t>
  </si>
  <si>
    <t>Miller</t>
  </si>
  <si>
    <t>HEATHERCARDOZA@AOL.COM</t>
  </si>
  <si>
    <t>CARDOZA, HEATHER</t>
  </si>
  <si>
    <t>DealerTrack</t>
  </si>
  <si>
    <t>151153477e</t>
  </si>
  <si>
    <t>LADSTAETTER</t>
  </si>
  <si>
    <t>ANNETTEHERBST@PROTONMAIL.COM</t>
  </si>
  <si>
    <t>HERBST, ANNETTE</t>
  </si>
  <si>
    <t>ALL PETS MEDICAL CENTER LLC</t>
  </si>
  <si>
    <t>Paper</t>
  </si>
  <si>
    <t>151153469</t>
  </si>
  <si>
    <t>ROBERGE</t>
  </si>
  <si>
    <t>WAYNE@ATANDT.COM</t>
  </si>
  <si>
    <t>LUPIEN, WAYNE</t>
  </si>
  <si>
    <t>A&amp;T VENTILATION LLC</t>
  </si>
  <si>
    <t>151153378</t>
  </si>
  <si>
    <t>GOYETTE</t>
  </si>
  <si>
    <t>JHUTCHENS@RAWSEAFOODS.COM</t>
  </si>
  <si>
    <t>HUTCHENS, JASON</t>
  </si>
  <si>
    <t>151153344</t>
  </si>
  <si>
    <t>PENA</t>
  </si>
  <si>
    <t>ACHASE8178@GMAIL.COM</t>
  </si>
  <si>
    <t>CHASE, ANITA</t>
  </si>
  <si>
    <t>151153287e</t>
  </si>
  <si>
    <t>Howden</t>
  </si>
  <si>
    <t>anthonypkelly89@gmail.com</t>
  </si>
  <si>
    <t>kelly, Anthony</t>
  </si>
  <si>
    <t>151153261e</t>
  </si>
  <si>
    <t>Zerbarini</t>
  </si>
  <si>
    <t>STRATOUDAKIS, DOUGLAS</t>
  </si>
  <si>
    <t>151153188</t>
  </si>
  <si>
    <t>Wilcox</t>
  </si>
  <si>
    <t>west, holly</t>
  </si>
  <si>
    <t>151153170e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</si>
  <si>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</si>
  <si>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</si>
  <si>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</si>
  <si>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</si>
  <si>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</si>
  <si>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</si>
  <si>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</si>
  <si>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</si>
  <si>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</si>
  <si>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</si>
  <si>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</si>
  <si>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</t>
  </si>
  <si>
    <t>Received By____________________________________________________________________</t>
  </si>
  <si>
    <t>Delivered BY____________________________________________________________________</t>
  </si>
  <si>
    <t># 4</t>
  </si>
  <si>
    <t>Funding Worksheet - Signoff Version</t>
  </si>
  <si>
    <t>0257   7891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</si>
</sst>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58B0E876-97FD-492C-8E13-C087E4E0F337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8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94BAA5EF-03AF-4992-B20C-01312E5C0E33}" name="Column1" dataDxfId="23"/>
    <tableColumn id="8" xr3:uid="{8B087544-5667-4513-A11C-F9DA197C3E00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6F4A6E-6B28-490E-ACBE-AAAD6E17E475}" name="Table_13" displayName="Table_13" ref="A3:L13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4F99D3-8559-47C1-9036-8194D1A58A54}" name="Table_14" displayName="Table_14" ref="A3:E8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tabSelected="1" workbookViewId="0">
      <pane ySplit="3" topLeftCell="A4" activePane="bottomLeft" state="frozen"/>
      <selection pane="bottomLeft" activeCell="F31" sqref="F31"/>
    </sheetView>
  </sheetViews>
  <sheetFormatPr defaultRowHeight="15" x14ac:dyDescent="0.25"/>
  <cols>
    <col min="1" max="1" width="27.28515625" bestFit="1" customWidth="1"/>
    <col min="2" max="2" width="17.7109375" bestFit="1" customWidth="1"/>
    <col min="3" max="3" width="11.140625" bestFit="1" customWidth="1"/>
    <col min="4" max="4" width="14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45720</v>
      </c>
      <c r="E1" t="s">
        <v>2</v>
      </c>
      <c r="H1" s="4">
        <v>45720.999988425923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18</v>
      </c>
      <c r="G3" t="s">
        <v>19</v>
      </c>
      <c r="H3" t="s">
        <v>9</v>
      </c>
    </row>
    <row r="4" spans="1:8" x14ac:dyDescent="0.25">
      <c r="A4" t="s">
        <v>10</v>
      </c>
      <c r="B4" t="s">
        <v>11</v>
      </c>
      <c r="C4" s="2">
        <v>825</v>
      </c>
      <c r="D4" s="2">
        <v>0</v>
      </c>
      <c r="E4" s="2">
        <v>36604.559999999998</v>
      </c>
      <c r="F4" s="2"/>
      <c r="G4" s="2"/>
      <c r="H4" s="2">
        <v>36679.56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625</v>
      </c>
      <c r="D6" s="2">
        <v>0</v>
      </c>
      <c r="E6" s="2">
        <v>29919.15</v>
      </c>
      <c r="F6" s="2"/>
      <c r="G6" s="2" t="s">
        <v>75</v>
      </c>
      <c r="H6" s="2">
        <v>29994.15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750</v>
      </c>
      <c r="D8" s="2">
        <v>0</v>
      </c>
      <c r="E8" s="2">
        <v>29933.87</v>
      </c>
      <c r="F8" s="2"/>
      <c r="G8" s="2"/>
      <c r="H8" s="2">
        <v>30008.87</v>
      </c>
    </row>
    <row r="9" spans="1:8" x14ac:dyDescent="0.25">
      <c r="A9" t="s">
        <v>14</v>
      </c>
      <c r="B9" t="s">
        <v>11</v>
      </c>
      <c r="C9" s="2">
        <v>1250</v>
      </c>
      <c r="D9" s="2">
        <v>0</v>
      </c>
      <c r="E9" s="2">
        <v>54101.2</v>
      </c>
      <c r="F9" s="2">
        <f>SUM(E8:E9)</f>
        <v>84035.069999999992</v>
      </c>
      <c r="G9" s="2"/>
      <c r="H9" s="2">
        <v>54176.2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825</v>
      </c>
      <c r="D11" s="2">
        <v>0</v>
      </c>
      <c r="E11" s="2">
        <v>38680.03</v>
      </c>
      <c r="F11" s="2"/>
      <c r="G11" s="2"/>
      <c r="H11" s="2">
        <v>38755.03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13</v>
      </c>
      <c r="C13" s="2">
        <v>1250</v>
      </c>
      <c r="D13" s="2">
        <v>0</v>
      </c>
      <c r="E13" s="2">
        <v>68817.48</v>
      </c>
      <c r="F13" s="2"/>
      <c r="G13" s="2"/>
      <c r="H13" s="2">
        <v>68892.479999999996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11</v>
      </c>
      <c r="C15" s="2">
        <v>625</v>
      </c>
      <c r="D15" s="2">
        <v>0</v>
      </c>
      <c r="E15" s="2">
        <v>29001.14</v>
      </c>
      <c r="F15" s="2"/>
      <c r="G15" s="2"/>
      <c r="H15" s="2">
        <v>29076.14</v>
      </c>
    </row>
    <row r="16" spans="1:8" x14ac:dyDescent="0.25">
      <c r="A16" t="s">
        <v>17</v>
      </c>
      <c r="B16" t="s">
        <v>13</v>
      </c>
      <c r="C16" s="2">
        <v>1500</v>
      </c>
      <c r="D16" s="2">
        <v>0</v>
      </c>
      <c r="E16" s="2">
        <v>99580.21</v>
      </c>
      <c r="F16" s="2"/>
      <c r="G16" s="2"/>
      <c r="H16" s="2">
        <v>99655.21</v>
      </c>
    </row>
    <row r="17" spans="1:8" x14ac:dyDescent="0.25">
      <c r="A17" t="s">
        <v>17</v>
      </c>
      <c r="B17" t="s">
        <v>13</v>
      </c>
      <c r="C17" s="2">
        <v>875</v>
      </c>
      <c r="D17" s="2">
        <v>0</v>
      </c>
      <c r="E17" s="2">
        <v>40779.379999999997</v>
      </c>
      <c r="F17" s="2">
        <f>SUM(E15:E17)</f>
        <v>169360.73</v>
      </c>
      <c r="G17" s="2"/>
      <c r="H17" s="2">
        <v>40854.379999999997</v>
      </c>
    </row>
    <row r="18" spans="1:8" x14ac:dyDescent="0.25">
      <c r="A18" s="1"/>
      <c r="B18" s="1"/>
      <c r="C18" s="3">
        <f>SUM(C4:C17)</f>
        <v>8525</v>
      </c>
      <c r="D18" s="3">
        <f>SUM(D4:D17)</f>
        <v>0</v>
      </c>
      <c r="E18" s="3">
        <f>SUM(E4:E17)</f>
        <v>427417.02</v>
      </c>
      <c r="F18" s="3"/>
      <c r="G18" s="3"/>
      <c r="H18" s="3">
        <f>SUM(H4:H17)</f>
        <v>428092.02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6271-9E36-4A35-AC32-B2BB0349F295}">
  <sheetPr>
    <pageSetUpPr fitToPage="1"/>
  </sheetPr>
  <dimension ref="A1:L15"/>
  <sheetViews>
    <sheetView workbookViewId="0">
      <pane ySplit="3" topLeftCell="A4" activePane="bottomLeft" state="frozen"/>
      <selection pane="bottomLeft" activeCell="E15" sqref="E15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5.5703125" style="8" bestFit="1" customWidth="1"/>
    <col min="5" max="5" width="18.7109375" style="8" bestFit="1" customWidth="1"/>
    <col min="6" max="6" width="27.28515625" style="8" bestFit="1" customWidth="1"/>
    <col min="7" max="7" width="17.7109375" style="8" bestFit="1" customWidth="1"/>
    <col min="8" max="8" width="17.140625" style="8" bestFit="1" customWidth="1"/>
    <col min="9" max="9" width="35.85546875" style="8" bestFit="1" customWidth="1"/>
    <col min="10" max="10" width="18.42578125" style="8" bestFit="1" customWidth="1"/>
    <col min="11" max="11" width="14.28515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45720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69</v>
      </c>
      <c r="H2" s="12"/>
      <c r="I2" s="12"/>
      <c r="J2" s="12"/>
      <c r="K2" s="12"/>
      <c r="L2" s="12"/>
    </row>
    <row r="3" spans="1:12" ht="35.1" customHeight="1" x14ac:dyDescent="0.25">
      <c r="A3" s="9" t="s">
        <v>68</v>
      </c>
      <c r="B3" s="9" t="s">
        <v>67</v>
      </c>
      <c r="C3" s="9" t="s">
        <v>66</v>
      </c>
      <c r="D3" s="9" t="s">
        <v>65</v>
      </c>
      <c r="E3" s="9" t="s">
        <v>64</v>
      </c>
      <c r="F3" s="9" t="s">
        <v>4</v>
      </c>
      <c r="G3" s="9" t="s">
        <v>5</v>
      </c>
      <c r="H3" s="9" t="s">
        <v>63</v>
      </c>
      <c r="I3" s="9" t="s">
        <v>62</v>
      </c>
      <c r="J3" s="9" t="s">
        <v>61</v>
      </c>
      <c r="K3" s="9" t="s">
        <v>60</v>
      </c>
      <c r="L3" s="9" t="s">
        <v>59</v>
      </c>
    </row>
    <row r="4" spans="1:12" ht="35.1" customHeight="1" x14ac:dyDescent="0.25">
      <c r="A4" s="9" t="s">
        <v>58</v>
      </c>
      <c r="B4" s="9" t="s">
        <v>24</v>
      </c>
      <c r="C4" s="9" t="s">
        <v>23</v>
      </c>
      <c r="D4" s="9" t="s">
        <v>57</v>
      </c>
      <c r="E4" s="9"/>
      <c r="F4" s="9" t="s">
        <v>10</v>
      </c>
      <c r="G4" s="9" t="s">
        <v>11</v>
      </c>
      <c r="H4" s="14">
        <v>36679.56</v>
      </c>
      <c r="I4" s="9"/>
      <c r="J4" s="9"/>
      <c r="K4" s="9" t="s">
        <v>56</v>
      </c>
      <c r="L4" s="9"/>
    </row>
    <row r="5" spans="1:12" ht="35.1" customHeight="1" x14ac:dyDescent="0.25">
      <c r="A5" s="9" t="s">
        <v>55</v>
      </c>
      <c r="B5" s="9" t="s">
        <v>28</v>
      </c>
      <c r="C5" s="9" t="s">
        <v>34</v>
      </c>
      <c r="D5" s="9" t="s">
        <v>54</v>
      </c>
      <c r="E5" s="9"/>
      <c r="F5" s="9" t="s">
        <v>15</v>
      </c>
      <c r="G5" s="9" t="s">
        <v>11</v>
      </c>
      <c r="H5" s="14">
        <v>38755.03</v>
      </c>
      <c r="I5" s="9"/>
      <c r="J5" s="9"/>
      <c r="K5" s="9" t="s">
        <v>53</v>
      </c>
      <c r="L5" s="9"/>
    </row>
    <row r="6" spans="1:12" ht="35.1" customHeight="1" x14ac:dyDescent="0.25">
      <c r="A6" s="9" t="s">
        <v>52</v>
      </c>
      <c r="B6" s="9" t="s">
        <v>24</v>
      </c>
      <c r="C6" s="9" t="s">
        <v>23</v>
      </c>
      <c r="D6" s="9" t="s">
        <v>51</v>
      </c>
      <c r="E6" s="9"/>
      <c r="F6" s="9" t="s">
        <v>14</v>
      </c>
      <c r="G6" s="9" t="s">
        <v>11</v>
      </c>
      <c r="H6" s="14">
        <v>30008.87</v>
      </c>
      <c r="I6" s="9" t="s">
        <v>50</v>
      </c>
      <c r="J6" s="9"/>
      <c r="K6" s="9" t="s">
        <v>49</v>
      </c>
      <c r="L6" s="9"/>
    </row>
    <row r="7" spans="1:12" ht="35.1" customHeight="1" x14ac:dyDescent="0.25">
      <c r="A7" s="9" t="s">
        <v>48</v>
      </c>
      <c r="B7" s="9" t="s">
        <v>28</v>
      </c>
      <c r="C7" s="9" t="s">
        <v>23</v>
      </c>
      <c r="D7" s="9" t="s">
        <v>47</v>
      </c>
      <c r="E7" s="9"/>
      <c r="F7" s="9" t="s">
        <v>12</v>
      </c>
      <c r="G7" s="9" t="s">
        <v>13</v>
      </c>
      <c r="H7" s="14">
        <v>29994.15</v>
      </c>
      <c r="I7" s="9" t="s">
        <v>46</v>
      </c>
      <c r="J7" s="9"/>
      <c r="K7" s="9" t="s">
        <v>45</v>
      </c>
      <c r="L7" s="9"/>
    </row>
    <row r="8" spans="1:12" ht="35.1" customHeight="1" x14ac:dyDescent="0.25">
      <c r="A8" s="9" t="s">
        <v>44</v>
      </c>
      <c r="B8" s="9" t="s">
        <v>28</v>
      </c>
      <c r="C8" s="9" t="s">
        <v>34</v>
      </c>
      <c r="D8" s="9" t="s">
        <v>43</v>
      </c>
      <c r="E8" s="9"/>
      <c r="F8" s="9" t="s">
        <v>17</v>
      </c>
      <c r="G8" s="9" t="s">
        <v>13</v>
      </c>
      <c r="H8" s="14">
        <v>99655.21</v>
      </c>
      <c r="I8" s="9" t="s">
        <v>42</v>
      </c>
      <c r="J8" s="9"/>
      <c r="K8" s="9" t="s">
        <v>41</v>
      </c>
      <c r="L8" s="9"/>
    </row>
    <row r="9" spans="1:12" ht="35.1" customHeight="1" x14ac:dyDescent="0.25">
      <c r="A9" s="9" t="s">
        <v>40</v>
      </c>
      <c r="B9" s="9" t="s">
        <v>28</v>
      </c>
      <c r="C9" s="9" t="s">
        <v>34</v>
      </c>
      <c r="D9" s="9" t="s">
        <v>39</v>
      </c>
      <c r="E9" s="9" t="s">
        <v>38</v>
      </c>
      <c r="F9" s="9" t="s">
        <v>17</v>
      </c>
      <c r="G9" s="9" t="s">
        <v>13</v>
      </c>
      <c r="H9" s="14">
        <v>40854.379999999997</v>
      </c>
      <c r="I9" s="9" t="s">
        <v>37</v>
      </c>
      <c r="J9" s="9"/>
      <c r="K9" s="9" t="s">
        <v>36</v>
      </c>
      <c r="L9" s="9"/>
    </row>
    <row r="10" spans="1:12" ht="35.1" customHeight="1" x14ac:dyDescent="0.25">
      <c r="A10" s="9" t="s">
        <v>35</v>
      </c>
      <c r="B10" s="9" t="s">
        <v>28</v>
      </c>
      <c r="C10" s="9" t="s">
        <v>34</v>
      </c>
      <c r="D10" s="9" t="s">
        <v>33</v>
      </c>
      <c r="E10" s="9" t="s">
        <v>32</v>
      </c>
      <c r="F10" s="9" t="s">
        <v>16</v>
      </c>
      <c r="G10" s="9" t="s">
        <v>13</v>
      </c>
      <c r="H10" s="14">
        <v>68892.479999999996</v>
      </c>
      <c r="I10" s="9" t="s">
        <v>31</v>
      </c>
      <c r="J10" s="9"/>
      <c r="K10" s="9" t="s">
        <v>30</v>
      </c>
      <c r="L10" s="9"/>
    </row>
    <row r="11" spans="1:12" ht="35.1" customHeight="1" x14ac:dyDescent="0.25">
      <c r="A11" s="9" t="s">
        <v>29</v>
      </c>
      <c r="B11" s="9" t="s">
        <v>28</v>
      </c>
      <c r="C11" s="9" t="s">
        <v>23</v>
      </c>
      <c r="D11" s="9" t="s">
        <v>27</v>
      </c>
      <c r="E11" s="9"/>
      <c r="F11" s="9" t="s">
        <v>17</v>
      </c>
      <c r="G11" s="9" t="s">
        <v>11</v>
      </c>
      <c r="H11" s="14">
        <v>29076.14</v>
      </c>
      <c r="I11" s="9" t="s">
        <v>26</v>
      </c>
      <c r="J11" s="9"/>
      <c r="K11" s="9" t="s">
        <v>25</v>
      </c>
      <c r="L11" s="9"/>
    </row>
    <row r="12" spans="1:12" ht="35.1" customHeight="1" x14ac:dyDescent="0.25">
      <c r="A12" s="9">
        <v>151153485</v>
      </c>
      <c r="B12" s="9" t="s">
        <v>24</v>
      </c>
      <c r="C12" s="9" t="s">
        <v>23</v>
      </c>
      <c r="D12" s="9" t="s">
        <v>22</v>
      </c>
      <c r="E12" s="9"/>
      <c r="F12" s="9" t="s">
        <v>14</v>
      </c>
      <c r="G12" s="9" t="s">
        <v>11</v>
      </c>
      <c r="H12" s="14">
        <v>54176.2</v>
      </c>
      <c r="I12" s="9"/>
      <c r="J12" s="9"/>
      <c r="K12" s="9" t="s">
        <v>21</v>
      </c>
      <c r="L12" s="9"/>
    </row>
    <row r="13" spans="1:12" ht="35.1" customHeight="1" x14ac:dyDescent="0.25">
      <c r="A13" s="15"/>
      <c r="B13" s="15"/>
      <c r="C13" s="15"/>
      <c r="D13" s="15" t="s">
        <v>20</v>
      </c>
      <c r="E13" s="15"/>
      <c r="F13" s="15"/>
      <c r="G13" s="15"/>
      <c r="H13" s="16">
        <f>SUM(H4:H12)</f>
        <v>428092.02</v>
      </c>
      <c r="I13" s="15"/>
      <c r="J13" s="15"/>
      <c r="K13" s="15"/>
      <c r="L13" s="15"/>
    </row>
    <row r="14" spans="1:12" ht="35.1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2">
    <mergeCell ref="A2:F2"/>
    <mergeCell ref="G2:L2"/>
  </mergeCells>
  <pageMargins left="0.7" right="0.7" top="0.75" bottom="0.75" header="0.3" footer="0.3"/>
  <pageSetup paperSize="5" scale="6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FFD6-271E-4B02-A414-DB71F25A0216}">
  <sheetPr>
    <pageSetUpPr fitToPage="1"/>
  </sheetPr>
  <dimension ref="A1:F28"/>
  <sheetViews>
    <sheetView workbookViewId="0">
      <pane ySplit="3" topLeftCell="A4" activePane="bottomLeft" state="frozen"/>
      <selection pane="bottomLeft" activeCell="N18" sqref="N17:O18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5.5703125" style="8" bestFit="1" customWidth="1"/>
    <col min="4" max="4" width="18.7109375" style="8" bestFit="1" customWidth="1"/>
    <col min="5" max="5" width="27.28515625" style="8" bestFit="1" customWidth="1"/>
    <col min="6" max="16384" width="9.140625" style="8"/>
  </cols>
  <sheetData>
    <row r="1" spans="1:6" x14ac:dyDescent="0.25">
      <c r="A1" s="9"/>
      <c r="B1" s="9"/>
      <c r="C1" s="9" t="s">
        <v>3</v>
      </c>
      <c r="D1" s="10">
        <v>45720</v>
      </c>
      <c r="E1" s="9" t="s">
        <v>2</v>
      </c>
      <c r="F1" s="9"/>
    </row>
    <row r="2" spans="1:6" x14ac:dyDescent="0.25">
      <c r="A2" s="11" t="s">
        <v>0</v>
      </c>
      <c r="B2" s="12"/>
      <c r="C2" s="12"/>
      <c r="D2" s="13" t="s">
        <v>74</v>
      </c>
      <c r="E2" s="12"/>
      <c r="F2" s="9"/>
    </row>
    <row r="3" spans="1:6" x14ac:dyDescent="0.25">
      <c r="A3" s="9" t="s">
        <v>68</v>
      </c>
      <c r="B3" s="9" t="s">
        <v>66</v>
      </c>
      <c r="C3" s="9" t="s">
        <v>65</v>
      </c>
      <c r="D3" s="9" t="s">
        <v>64</v>
      </c>
      <c r="E3" s="9" t="s">
        <v>4</v>
      </c>
      <c r="F3" s="9"/>
    </row>
    <row r="4" spans="1:6" x14ac:dyDescent="0.25">
      <c r="A4" s="9" t="s">
        <v>55</v>
      </c>
      <c r="B4" s="9" t="s">
        <v>34</v>
      </c>
      <c r="C4" s="9" t="s">
        <v>54</v>
      </c>
      <c r="D4" s="9"/>
      <c r="E4" s="9" t="s">
        <v>15</v>
      </c>
      <c r="F4" s="9"/>
    </row>
    <row r="5" spans="1:6" x14ac:dyDescent="0.25">
      <c r="A5" s="9" t="s">
        <v>44</v>
      </c>
      <c r="B5" s="9" t="s">
        <v>34</v>
      </c>
      <c r="C5" s="9" t="s">
        <v>43</v>
      </c>
      <c r="D5" s="9"/>
      <c r="E5" s="9" t="s">
        <v>17</v>
      </c>
      <c r="F5" s="9"/>
    </row>
    <row r="6" spans="1:6" x14ac:dyDescent="0.25">
      <c r="A6" s="9" t="s">
        <v>40</v>
      </c>
      <c r="B6" s="9" t="s">
        <v>34</v>
      </c>
      <c r="C6" s="9" t="s">
        <v>39</v>
      </c>
      <c r="D6" s="9" t="s">
        <v>38</v>
      </c>
      <c r="E6" s="9" t="s">
        <v>17</v>
      </c>
      <c r="F6" s="9"/>
    </row>
    <row r="7" spans="1:6" x14ac:dyDescent="0.25">
      <c r="A7" s="9" t="s">
        <v>35</v>
      </c>
      <c r="B7" s="9" t="s">
        <v>34</v>
      </c>
      <c r="C7" s="9" t="s">
        <v>33</v>
      </c>
      <c r="D7" s="9" t="s">
        <v>32</v>
      </c>
      <c r="E7" s="9" t="s">
        <v>16</v>
      </c>
      <c r="F7" s="9"/>
    </row>
    <row r="8" spans="1:6" x14ac:dyDescent="0.25">
      <c r="A8" s="15"/>
      <c r="B8" s="15"/>
      <c r="C8" s="15" t="s">
        <v>73</v>
      </c>
      <c r="D8" s="15"/>
      <c r="E8" s="15"/>
      <c r="F8" s="9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9" t="s">
        <v>72</v>
      </c>
      <c r="B11" s="9"/>
      <c r="C11" s="9"/>
      <c r="D11" s="9"/>
      <c r="E11" s="9"/>
      <c r="F11" s="9"/>
    </row>
    <row r="12" spans="1:6" x14ac:dyDescent="0.25">
      <c r="A12" s="9"/>
      <c r="B12" s="9"/>
      <c r="C12" s="9"/>
      <c r="D12" s="9"/>
      <c r="E12" s="9"/>
      <c r="F12" s="9"/>
    </row>
    <row r="13" spans="1:6" x14ac:dyDescent="0.25">
      <c r="A13" s="9"/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 t="s">
        <v>71</v>
      </c>
      <c r="B15" s="9"/>
      <c r="C15" s="9"/>
      <c r="D15" s="9"/>
      <c r="E15" s="9"/>
      <c r="F15" s="9"/>
    </row>
    <row r="16" spans="1:6" x14ac:dyDescent="0.25">
      <c r="A16" s="9"/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 t="s">
        <v>70</v>
      </c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</sheetData>
  <mergeCells count="2">
    <mergeCell ref="A2:C2"/>
    <mergeCell ref="D2:E2"/>
  </mergeCells>
  <pageMargins left="0.7" right="0.7" top="0.75" bottom="0.75" header="0.3" footer="0.3"/>
  <pageSetup scale="8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2025-03-04T19:23:13Z</cp:lastPrinted>
  <dcterms:created xsi:type="dcterms:W3CDTF">2025-03-04T19:06:28Z</dcterms:created>
  <dcterms:modified xsi:type="dcterms:W3CDTF">2025-03-04T19:30:03Z</dcterms:modified>
</cp:coreProperties>
</file>