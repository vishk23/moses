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7E758E81-6C50-4F1D-AFFA-2190B75595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F7" i="1"/>
  <c r="F14" i="1"/>
  <c r="F17" i="1"/>
  <c r="H20" i="1"/>
  <c r="E20" i="1"/>
  <c r="D20" i="1"/>
  <c r="C20" i="1"/>
</calcChain>
</file>

<file path=xl/sharedStrings.xml><?xml version="1.0" encoding="utf-8"?>
<sst xmlns="http://schemas.openxmlformats.org/spreadsheetml/2006/main" count="148" uniqueCount="85">
  <si>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</si>
  <si>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</si>
  <si>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</si>
  <si>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</si>
  <si>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</si>
  <si>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</si>
  <si>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</si>
  <si>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</si>
  <si>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</si>
  <si>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</si>
  <si>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</si>
  <si>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Neli Oliveira</t>
  </si>
  <si>
    <t>Herb Chambers Cadillac Inc</t>
  </si>
  <si>
    <t>Rachel Gorham</t>
  </si>
  <si>
    <t>Lucchettis Service Center Inc</t>
  </si>
  <si>
    <t>Mastria Kia</t>
  </si>
  <si>
    <t>RAH FALL RIVER VW, LLC</t>
  </si>
  <si>
    <t>T F Murphy Enterprises Inc</t>
  </si>
  <si>
    <t>Marlene Braganca</t>
  </si>
  <si>
    <t>Tasca Ford</t>
  </si>
  <si>
    <t>Column1</t>
  </si>
  <si>
    <t>Column2</t>
  </si>
  <si>
    <t>5099     5689</t>
  </si>
  <si>
    <t># 10</t>
  </si>
  <si>
    <t>SYLVIA</t>
  </si>
  <si>
    <t>STEPHENRNANI@GMAIL.COM</t>
  </si>
  <si>
    <t>NANI, STEPHEN</t>
  </si>
  <si>
    <t>E Contract</t>
  </si>
  <si>
    <t>Route One</t>
  </si>
  <si>
    <t>151143527e</t>
  </si>
  <si>
    <t>FOGARTY</t>
  </si>
  <si>
    <t>KATYABARR@GMAIL.COM</t>
  </si>
  <si>
    <t>ABARR, KATHLEEN</t>
  </si>
  <si>
    <t>151143519e</t>
  </si>
  <si>
    <t>VANDERLINDEN</t>
  </si>
  <si>
    <t>HSULLIV14@GMAIL.COM</t>
  </si>
  <si>
    <t>SULLIVAN, HANNAH</t>
  </si>
  <si>
    <t>DealerTrack</t>
  </si>
  <si>
    <t>151143501e</t>
  </si>
  <si>
    <t>TANGREDI</t>
  </si>
  <si>
    <t>DMDUERR@YAHOO.COM</t>
  </si>
  <si>
    <t>BARBER, DANIELLE</t>
  </si>
  <si>
    <t>Paper</t>
  </si>
  <si>
    <t>151143478</t>
  </si>
  <si>
    <t>SPENA</t>
  </si>
  <si>
    <t>I.PEASLEY@COX.NET</t>
  </si>
  <si>
    <t>MCNULTY, LORI</t>
  </si>
  <si>
    <t>151143452e</t>
  </si>
  <si>
    <t>CORDEIRO</t>
  </si>
  <si>
    <t>JONATHAN_CABRAL@ROCKETMAIL.COM</t>
  </si>
  <si>
    <t>CABRAL, JONATHAN</t>
  </si>
  <si>
    <t>151143428e</t>
  </si>
  <si>
    <t>MAYER</t>
  </si>
  <si>
    <t>JAYPERKOSKI1@GMAIL.COM</t>
  </si>
  <si>
    <t>PERKOSKI, JAY</t>
  </si>
  <si>
    <t>151143410e</t>
  </si>
  <si>
    <t>O'Donnell</t>
  </si>
  <si>
    <t>mclose4@comcast.net</t>
  </si>
  <si>
    <t>CLOSE, MARCIA</t>
  </si>
  <si>
    <t>151143402e</t>
  </si>
  <si>
    <t>DICKERMAN</t>
  </si>
  <si>
    <t>FMOC24@GMAIL.COM</t>
  </si>
  <si>
    <t>OCONNOR, FRANCIS</t>
  </si>
  <si>
    <t>151143395e</t>
  </si>
  <si>
    <t>NORTON</t>
  </si>
  <si>
    <t>SCORPNTJR@GMAIL.COM</t>
  </si>
  <si>
    <t>MACOMBER-RYAN, KIM</t>
  </si>
  <si>
    <t>151143361e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</si>
  <si>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</si>
  <si>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</si>
  <si>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</si>
  <si>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</si>
  <si>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</si>
  <si>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</si>
  <si>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</si>
  <si>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</si>
  <si>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</si>
  <si>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</si>
  <si>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</si>
  <si>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</si>
  <si>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</t>
  </si>
  <si>
    <t>Received By________________________________________________________________________</t>
  </si>
  <si>
    <t>Delivered By_______________________________________________________________________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</si>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</sst>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2" fillId="0" borderId="0" xfId="1" applyFill="1" applyAlignment="1">
      <alignment horizontal="left"/>
    </xf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A635A61A-0C0D-4A38-8C81-2E3178DBE7B9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0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8" xr3:uid="{F0779A2C-39DE-472C-BC8F-FFDFE2EFC392}" name="Column2" dataDxfId="24"/>
    <tableColumn id="7" xr3:uid="{A11A7ADE-D5E8-476B-AA9B-7710BA053432}" name="Column1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46419E-7E5B-42FE-B202-8DFD8B016539}" name="Table_13" displayName="Table_13" ref="A3:M14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672EC9-C11D-482E-B2CA-B381BCCAE952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abSelected="1" workbookViewId="0">
      <pane ySplit="3" topLeftCell="A4" activePane="bottomLeft" state="frozen"/>
      <selection pane="bottomLeft" activeCell="P21" sqref="P21"/>
    </sheetView>
  </sheetViews>
  <sheetFormatPr defaultRowHeight="15" x14ac:dyDescent="0.25"/>
  <cols>
    <col min="1" max="1" width="27.85546875" bestFit="1" customWidth="1"/>
    <col min="2" max="2" width="17.7109375" bestFit="1" customWidth="1"/>
    <col min="3" max="3" width="11.140625" bestFit="1" customWidth="1"/>
    <col min="4" max="4" width="16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45686</v>
      </c>
      <c r="E1" t="s">
        <v>2</v>
      </c>
      <c r="H1" s="4">
        <v>45686.999988425923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21</v>
      </c>
      <c r="G3" t="s">
        <v>20</v>
      </c>
      <c r="H3" t="s">
        <v>9</v>
      </c>
    </row>
    <row r="4" spans="1:8" x14ac:dyDescent="0.25">
      <c r="A4" t="s">
        <v>10</v>
      </c>
      <c r="B4" t="s">
        <v>11</v>
      </c>
      <c r="C4" s="2">
        <v>350</v>
      </c>
      <c r="D4" s="2">
        <v>0</v>
      </c>
      <c r="E4" s="2">
        <v>17402.689999999999</v>
      </c>
      <c r="F4" s="2"/>
      <c r="G4" s="2"/>
      <c r="H4" s="2">
        <v>17477.689999999999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450</v>
      </c>
      <c r="D6" s="2">
        <v>0</v>
      </c>
      <c r="E6" s="2">
        <v>23167.26</v>
      </c>
      <c r="F6" s="2"/>
      <c r="G6" s="2"/>
      <c r="H6" s="2">
        <v>23242.26</v>
      </c>
    </row>
    <row r="7" spans="1:8" x14ac:dyDescent="0.25">
      <c r="A7" t="s">
        <v>12</v>
      </c>
      <c r="B7" t="s">
        <v>11</v>
      </c>
      <c r="C7" s="2">
        <v>650</v>
      </c>
      <c r="D7" s="2">
        <v>0</v>
      </c>
      <c r="E7" s="2">
        <v>39051</v>
      </c>
      <c r="F7" s="2">
        <f>SUM(E6:E7)</f>
        <v>62218.259999999995</v>
      </c>
      <c r="G7" s="2"/>
      <c r="H7" s="2">
        <v>39126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13</v>
      </c>
      <c r="C9" s="2">
        <v>650</v>
      </c>
      <c r="D9" s="2">
        <v>0</v>
      </c>
      <c r="E9" s="2">
        <v>35714.94</v>
      </c>
      <c r="F9" s="2"/>
      <c r="G9" s="2"/>
      <c r="H9" s="2">
        <v>35789.94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11</v>
      </c>
      <c r="C11" s="2">
        <v>700</v>
      </c>
      <c r="D11" s="2">
        <v>0</v>
      </c>
      <c r="E11" s="2">
        <v>44109.86</v>
      </c>
      <c r="F11" s="2"/>
      <c r="G11" s="2" t="s">
        <v>22</v>
      </c>
      <c r="H11" s="2">
        <v>44184.86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13</v>
      </c>
      <c r="C13" s="2">
        <v>600</v>
      </c>
      <c r="D13" s="2">
        <v>0</v>
      </c>
      <c r="E13" s="2">
        <v>33857.69</v>
      </c>
      <c r="F13" s="2"/>
      <c r="G13" s="2"/>
      <c r="H13" s="2">
        <v>33932.69</v>
      </c>
    </row>
    <row r="14" spans="1:8" x14ac:dyDescent="0.25">
      <c r="A14" t="s">
        <v>16</v>
      </c>
      <c r="B14" t="s">
        <v>11</v>
      </c>
      <c r="C14" s="2">
        <v>600</v>
      </c>
      <c r="D14" s="2">
        <v>0</v>
      </c>
      <c r="E14" s="2">
        <v>31611.439999999999</v>
      </c>
      <c r="F14" s="2">
        <f>SUM(E13:E14)</f>
        <v>65469.130000000005</v>
      </c>
      <c r="G14" s="2"/>
      <c r="H14" s="2">
        <v>31686.44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18</v>
      </c>
      <c r="C16" s="2">
        <v>500</v>
      </c>
      <c r="D16" s="2">
        <v>0</v>
      </c>
      <c r="E16" s="2">
        <v>25941.13</v>
      </c>
      <c r="F16" s="2"/>
      <c r="G16" s="2"/>
      <c r="H16" s="2">
        <v>26016.13</v>
      </c>
    </row>
    <row r="17" spans="1:8" x14ac:dyDescent="0.25">
      <c r="A17" t="s">
        <v>17</v>
      </c>
      <c r="B17" t="s">
        <v>11</v>
      </c>
      <c r="C17" s="2">
        <v>1000</v>
      </c>
      <c r="D17" s="2">
        <v>0</v>
      </c>
      <c r="E17" s="2">
        <v>55071.56</v>
      </c>
      <c r="F17" s="2">
        <f>SUM(E16:E17)</f>
        <v>81012.69</v>
      </c>
      <c r="G17" s="2"/>
      <c r="H17" s="2">
        <v>55146.559999999998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13</v>
      </c>
      <c r="C19" s="2">
        <v>1000</v>
      </c>
      <c r="D19" s="2">
        <v>0</v>
      </c>
      <c r="E19" s="2">
        <v>53797.18</v>
      </c>
      <c r="F19" s="2"/>
      <c r="G19" s="2"/>
      <c r="H19" s="2">
        <v>53872.18</v>
      </c>
    </row>
    <row r="20" spans="1:8" x14ac:dyDescent="0.25">
      <c r="A20" s="1"/>
      <c r="B20" s="1"/>
      <c r="C20" s="3">
        <f>SUM(C4:C19)</f>
        <v>6500</v>
      </c>
      <c r="D20" s="3">
        <f>SUM(D4:D19)</f>
        <v>0</v>
      </c>
      <c r="E20" s="3">
        <f>SUM(E4:E19)</f>
        <v>359724.75</v>
      </c>
      <c r="F20" s="3"/>
      <c r="G20" s="3"/>
      <c r="H20" s="3">
        <f>SUM(H4:H19)</f>
        <v>360474.75</v>
      </c>
    </row>
  </sheetData>
  <mergeCells count="2">
    <mergeCell ref="A2:C2"/>
    <mergeCell ref="D2:H2"/>
  </mergeCells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F593-4258-4EA7-BCDA-8FA19CC169A1}">
  <sheetPr>
    <pageSetUpPr fitToPage="1"/>
  </sheetPr>
  <dimension ref="A1:O17"/>
  <sheetViews>
    <sheetView workbookViewId="0">
      <pane ySplit="3" topLeftCell="A6" activePane="bottomLeft" state="frozen"/>
      <selection pane="bottomLeft" activeCell="A4" sqref="A4:A13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2" style="8" bestFit="1" customWidth="1"/>
    <col min="5" max="5" width="18.7109375" style="8" bestFit="1" customWidth="1"/>
    <col min="6" max="6" width="27.85546875" style="8" bestFit="1" customWidth="1"/>
    <col min="7" max="7" width="17.7109375" style="8" bestFit="1" customWidth="1"/>
    <col min="8" max="8" width="17.140625" style="8" bestFit="1" customWidth="1"/>
    <col min="9" max="9" width="37.5703125" style="8" bestFit="1" customWidth="1"/>
    <col min="10" max="10" width="18.42578125" style="8" bestFit="1" customWidth="1"/>
    <col min="11" max="11" width="16.7109375" style="8" bestFit="1" customWidth="1"/>
    <col min="12" max="12" width="12.85546875" style="8" bestFit="1" customWidth="1"/>
    <col min="13" max="13" width="16.7109375" style="8" bestFit="1" customWidth="1"/>
    <col min="14" max="16384" width="9.140625" style="8"/>
  </cols>
  <sheetData>
    <row r="1" spans="1:15" ht="39.950000000000003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45686</v>
      </c>
      <c r="L1" s="9" t="s">
        <v>2</v>
      </c>
      <c r="M1" s="10">
        <v>45686.999988425923</v>
      </c>
      <c r="N1" s="9"/>
      <c r="O1" s="9"/>
    </row>
    <row r="2" spans="1:15" ht="39.950000000000003" customHeight="1" x14ac:dyDescent="0.25">
      <c r="A2" s="11" t="s">
        <v>0</v>
      </c>
      <c r="B2" s="12"/>
      <c r="C2" s="12"/>
      <c r="D2" s="12"/>
      <c r="E2" s="12"/>
      <c r="F2" s="12"/>
      <c r="G2" s="13" t="s">
        <v>79</v>
      </c>
      <c r="H2" s="12"/>
      <c r="I2" s="12"/>
      <c r="J2" s="12"/>
      <c r="K2" s="12"/>
      <c r="L2" s="12"/>
      <c r="M2" s="12"/>
      <c r="N2" s="9"/>
      <c r="O2" s="9"/>
    </row>
    <row r="3" spans="1:15" ht="39.950000000000003" customHeight="1" x14ac:dyDescent="0.25">
      <c r="A3" s="9" t="s">
        <v>78</v>
      </c>
      <c r="B3" s="9" t="s">
        <v>77</v>
      </c>
      <c r="C3" s="9" t="s">
        <v>76</v>
      </c>
      <c r="D3" s="9" t="s">
        <v>75</v>
      </c>
      <c r="E3" s="9" t="s">
        <v>74</v>
      </c>
      <c r="F3" s="9" t="s">
        <v>4</v>
      </c>
      <c r="G3" s="9" t="s">
        <v>5</v>
      </c>
      <c r="H3" s="9" t="s">
        <v>73</v>
      </c>
      <c r="I3" s="9" t="s">
        <v>72</v>
      </c>
      <c r="J3" s="9" t="s">
        <v>71</v>
      </c>
      <c r="K3" s="9" t="s">
        <v>70</v>
      </c>
      <c r="L3" s="9" t="s">
        <v>69</v>
      </c>
      <c r="M3" s="9" t="s">
        <v>68</v>
      </c>
      <c r="N3" s="9"/>
      <c r="O3" s="9"/>
    </row>
    <row r="4" spans="1:15" ht="39.950000000000003" customHeight="1" x14ac:dyDescent="0.25">
      <c r="A4" s="9" t="s">
        <v>67</v>
      </c>
      <c r="B4" s="9" t="s">
        <v>28</v>
      </c>
      <c r="C4" s="9" t="s">
        <v>27</v>
      </c>
      <c r="D4" s="9" t="s">
        <v>66</v>
      </c>
      <c r="E4" s="9"/>
      <c r="F4" s="9" t="s">
        <v>10</v>
      </c>
      <c r="G4" s="9" t="s">
        <v>11</v>
      </c>
      <c r="H4" s="14">
        <v>17477.689999999999</v>
      </c>
      <c r="I4" s="9" t="s">
        <v>65</v>
      </c>
      <c r="J4" s="9"/>
      <c r="K4" s="9" t="s">
        <v>64</v>
      </c>
      <c r="L4" s="9"/>
      <c r="M4" s="9"/>
      <c r="N4" s="9"/>
      <c r="O4" s="9"/>
    </row>
    <row r="5" spans="1:15" ht="39.950000000000003" customHeight="1" x14ac:dyDescent="0.25">
      <c r="A5" s="9" t="s">
        <v>63</v>
      </c>
      <c r="B5" s="9" t="s">
        <v>28</v>
      </c>
      <c r="C5" s="9" t="s">
        <v>27</v>
      </c>
      <c r="D5" s="9" t="s">
        <v>62</v>
      </c>
      <c r="E5" s="9"/>
      <c r="F5" s="9" t="s">
        <v>17</v>
      </c>
      <c r="G5" s="9" t="s">
        <v>11</v>
      </c>
      <c r="H5" s="14">
        <v>55146.559999999998</v>
      </c>
      <c r="I5" s="9" t="s">
        <v>61</v>
      </c>
      <c r="J5" s="9"/>
      <c r="K5" s="9" t="s">
        <v>60</v>
      </c>
      <c r="L5" s="9"/>
      <c r="M5" s="9"/>
      <c r="N5" s="9"/>
      <c r="O5" s="9"/>
    </row>
    <row r="6" spans="1:15" ht="39.950000000000003" customHeight="1" x14ac:dyDescent="0.25">
      <c r="A6" s="15" t="s">
        <v>59</v>
      </c>
      <c r="B6" s="9" t="s">
        <v>28</v>
      </c>
      <c r="C6" s="9" t="s">
        <v>27</v>
      </c>
      <c r="D6" s="9" t="s">
        <v>58</v>
      </c>
      <c r="E6" s="9"/>
      <c r="F6" s="9" t="s">
        <v>17</v>
      </c>
      <c r="G6" s="9" t="s">
        <v>18</v>
      </c>
      <c r="H6" s="14">
        <v>26016.13</v>
      </c>
      <c r="I6" s="9" t="s">
        <v>57</v>
      </c>
      <c r="J6" s="9"/>
      <c r="K6" s="9" t="s">
        <v>56</v>
      </c>
      <c r="L6" s="9"/>
      <c r="M6" s="9"/>
      <c r="N6" s="9"/>
      <c r="O6" s="9"/>
    </row>
    <row r="7" spans="1:15" ht="39.950000000000003" customHeight="1" x14ac:dyDescent="0.25">
      <c r="A7" s="9" t="s">
        <v>55</v>
      </c>
      <c r="B7" s="9" t="s">
        <v>37</v>
      </c>
      <c r="C7" s="9" t="s">
        <v>27</v>
      </c>
      <c r="D7" s="9" t="s">
        <v>54</v>
      </c>
      <c r="E7" s="9"/>
      <c r="F7" s="9" t="s">
        <v>16</v>
      </c>
      <c r="G7" s="9" t="s">
        <v>13</v>
      </c>
      <c r="H7" s="14">
        <v>33932.69</v>
      </c>
      <c r="I7" s="9" t="s">
        <v>53</v>
      </c>
      <c r="J7" s="9"/>
      <c r="K7" s="9" t="s">
        <v>52</v>
      </c>
      <c r="L7" s="9"/>
      <c r="M7" s="9"/>
      <c r="N7" s="9"/>
      <c r="O7" s="9"/>
    </row>
    <row r="8" spans="1:15" ht="39.950000000000003" customHeight="1" x14ac:dyDescent="0.25">
      <c r="A8" s="9" t="s">
        <v>51</v>
      </c>
      <c r="B8" s="9" t="s">
        <v>37</v>
      </c>
      <c r="C8" s="9" t="s">
        <v>27</v>
      </c>
      <c r="D8" s="9" t="s">
        <v>50</v>
      </c>
      <c r="E8" s="9"/>
      <c r="F8" s="9" t="s">
        <v>15</v>
      </c>
      <c r="G8" s="9" t="s">
        <v>11</v>
      </c>
      <c r="H8" s="14">
        <v>44184.86</v>
      </c>
      <c r="I8" s="9" t="s">
        <v>49</v>
      </c>
      <c r="J8" s="9"/>
      <c r="K8" s="9" t="s">
        <v>48</v>
      </c>
      <c r="L8" s="9"/>
      <c r="M8" s="9"/>
      <c r="N8" s="9"/>
      <c r="O8" s="9"/>
    </row>
    <row r="9" spans="1:15" ht="39.950000000000003" customHeight="1" x14ac:dyDescent="0.25">
      <c r="A9" s="9" t="s">
        <v>47</v>
      </c>
      <c r="B9" s="9" t="s">
        <v>28</v>
      </c>
      <c r="C9" s="9" t="s">
        <v>27</v>
      </c>
      <c r="D9" s="9" t="s">
        <v>46</v>
      </c>
      <c r="E9" s="9"/>
      <c r="F9" s="9" t="s">
        <v>19</v>
      </c>
      <c r="G9" s="9" t="s">
        <v>13</v>
      </c>
      <c r="H9" s="14">
        <v>53872.18</v>
      </c>
      <c r="I9" s="9" t="s">
        <v>45</v>
      </c>
      <c r="J9" s="9"/>
      <c r="K9" s="9" t="s">
        <v>44</v>
      </c>
      <c r="L9" s="9"/>
      <c r="M9" s="9"/>
      <c r="N9" s="9"/>
      <c r="O9" s="9"/>
    </row>
    <row r="10" spans="1:15" ht="39.950000000000003" customHeight="1" x14ac:dyDescent="0.25">
      <c r="A10" s="9" t="s">
        <v>43</v>
      </c>
      <c r="B10" s="9" t="s">
        <v>28</v>
      </c>
      <c r="C10" s="9" t="s">
        <v>42</v>
      </c>
      <c r="D10" s="9" t="s">
        <v>41</v>
      </c>
      <c r="E10" s="9"/>
      <c r="F10" s="9" t="s">
        <v>14</v>
      </c>
      <c r="G10" s="9" t="s">
        <v>13</v>
      </c>
      <c r="H10" s="14">
        <v>35789.94</v>
      </c>
      <c r="I10" s="9" t="s">
        <v>40</v>
      </c>
      <c r="J10" s="9"/>
      <c r="K10" s="9" t="s">
        <v>39</v>
      </c>
      <c r="L10" s="9"/>
      <c r="M10" s="9"/>
      <c r="N10" s="9"/>
      <c r="O10" s="9"/>
    </row>
    <row r="11" spans="1:15" ht="39.950000000000003" customHeight="1" x14ac:dyDescent="0.25">
      <c r="A11" s="9" t="s">
        <v>38</v>
      </c>
      <c r="B11" s="9" t="s">
        <v>37</v>
      </c>
      <c r="C11" s="9" t="s">
        <v>27</v>
      </c>
      <c r="D11" s="9" t="s">
        <v>36</v>
      </c>
      <c r="E11" s="9"/>
      <c r="F11" s="9" t="s">
        <v>16</v>
      </c>
      <c r="G11" s="9" t="s">
        <v>11</v>
      </c>
      <c r="H11" s="14">
        <v>31686.44</v>
      </c>
      <c r="I11" s="9" t="s">
        <v>35</v>
      </c>
      <c r="J11" s="9"/>
      <c r="K11" s="9" t="s">
        <v>34</v>
      </c>
      <c r="L11" s="9"/>
      <c r="M11" s="9"/>
      <c r="N11" s="9"/>
      <c r="O11" s="9"/>
    </row>
    <row r="12" spans="1:15" ht="39.950000000000003" customHeight="1" x14ac:dyDescent="0.25">
      <c r="A12" s="9" t="s">
        <v>33</v>
      </c>
      <c r="B12" s="9" t="s">
        <v>28</v>
      </c>
      <c r="C12" s="9" t="s">
        <v>27</v>
      </c>
      <c r="D12" s="9" t="s">
        <v>32</v>
      </c>
      <c r="E12" s="9"/>
      <c r="F12" s="9" t="s">
        <v>12</v>
      </c>
      <c r="G12" s="9" t="s">
        <v>11</v>
      </c>
      <c r="H12" s="14">
        <v>39126</v>
      </c>
      <c r="I12" s="9" t="s">
        <v>31</v>
      </c>
      <c r="J12" s="9"/>
      <c r="K12" s="9" t="s">
        <v>30</v>
      </c>
      <c r="L12" s="9"/>
      <c r="M12" s="9"/>
      <c r="N12" s="9"/>
      <c r="O12" s="9"/>
    </row>
    <row r="13" spans="1:15" ht="39.950000000000003" customHeight="1" x14ac:dyDescent="0.25">
      <c r="A13" s="9" t="s">
        <v>29</v>
      </c>
      <c r="B13" s="9" t="s">
        <v>28</v>
      </c>
      <c r="C13" s="9" t="s">
        <v>27</v>
      </c>
      <c r="D13" s="9" t="s">
        <v>26</v>
      </c>
      <c r="E13" s="9"/>
      <c r="F13" s="9" t="s">
        <v>12</v>
      </c>
      <c r="G13" s="9" t="s">
        <v>13</v>
      </c>
      <c r="H13" s="14">
        <v>23242.26</v>
      </c>
      <c r="I13" s="9" t="s">
        <v>25</v>
      </c>
      <c r="J13" s="9"/>
      <c r="K13" s="9" t="s">
        <v>24</v>
      </c>
      <c r="L13" s="9"/>
      <c r="M13" s="9"/>
      <c r="N13" s="9"/>
      <c r="O13" s="9"/>
    </row>
    <row r="14" spans="1:15" ht="39.950000000000003" customHeight="1" x14ac:dyDescent="0.25">
      <c r="A14" s="16"/>
      <c r="B14" s="16"/>
      <c r="C14" s="16"/>
      <c r="D14" s="16" t="s">
        <v>23</v>
      </c>
      <c r="E14" s="16"/>
      <c r="F14" s="16"/>
      <c r="G14" s="16"/>
      <c r="H14" s="17">
        <f>SUM(H4:H13)</f>
        <v>360474.75</v>
      </c>
      <c r="I14" s="16"/>
      <c r="J14" s="16"/>
      <c r="K14" s="16"/>
      <c r="L14" s="16"/>
      <c r="M14" s="16"/>
      <c r="N14" s="9"/>
      <c r="O14" s="9"/>
    </row>
    <row r="15" spans="1:15" ht="39.950000000000003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39.950000000000003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="8" customFormat="1" ht="39.950000000000003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A96B-F067-4297-B038-401581C0C549}">
  <sheetPr>
    <pageSetUpPr fitToPage="1"/>
  </sheetPr>
  <dimension ref="A1:F30"/>
  <sheetViews>
    <sheetView workbookViewId="0">
      <pane ySplit="3" topLeftCell="A4" activePane="bottomLeft" state="frozen"/>
      <selection pane="bottomLeft" activeCell="D18" sqref="D18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2" style="8" bestFit="1" customWidth="1"/>
    <col min="4" max="4" width="18.7109375" style="8" bestFit="1" customWidth="1"/>
    <col min="5" max="5" width="27.85546875" style="8" bestFit="1" customWidth="1"/>
    <col min="6" max="16384" width="9.140625" style="8"/>
  </cols>
  <sheetData>
    <row r="1" spans="1:6" x14ac:dyDescent="0.25">
      <c r="A1" s="9"/>
      <c r="B1" s="9"/>
      <c r="C1" s="9" t="s">
        <v>3</v>
      </c>
      <c r="D1" s="10">
        <v>45686</v>
      </c>
      <c r="E1" s="9" t="s">
        <v>2</v>
      </c>
      <c r="F1" s="9"/>
    </row>
    <row r="2" spans="1:6" x14ac:dyDescent="0.25">
      <c r="A2" s="11" t="s">
        <v>0</v>
      </c>
      <c r="B2" s="12"/>
      <c r="C2" s="12"/>
      <c r="D2" s="13" t="s">
        <v>84</v>
      </c>
      <c r="E2" s="12"/>
      <c r="F2" s="9"/>
    </row>
    <row r="3" spans="1:6" x14ac:dyDescent="0.25">
      <c r="A3" s="9" t="s">
        <v>78</v>
      </c>
      <c r="B3" s="9" t="s">
        <v>76</v>
      </c>
      <c r="C3" s="9" t="s">
        <v>75</v>
      </c>
      <c r="D3" s="9" t="s">
        <v>74</v>
      </c>
      <c r="E3" s="9" t="s">
        <v>4</v>
      </c>
      <c r="F3" s="9"/>
    </row>
    <row r="4" spans="1:6" x14ac:dyDescent="0.25">
      <c r="A4" s="9" t="s">
        <v>43</v>
      </c>
      <c r="B4" s="9" t="s">
        <v>42</v>
      </c>
      <c r="C4" s="9" t="s">
        <v>41</v>
      </c>
      <c r="D4" s="9"/>
      <c r="E4" s="9" t="s">
        <v>14</v>
      </c>
      <c r="F4" s="9"/>
    </row>
    <row r="5" spans="1:6" x14ac:dyDescent="0.25">
      <c r="A5" s="16"/>
      <c r="B5" s="16"/>
      <c r="C5" s="16" t="s">
        <v>83</v>
      </c>
      <c r="D5" s="16"/>
      <c r="E5" s="16"/>
      <c r="F5" s="9"/>
    </row>
    <row r="6" spans="1:6" x14ac:dyDescent="0.25">
      <c r="A6" s="9"/>
      <c r="B6" s="9"/>
      <c r="C6" s="9"/>
      <c r="D6" s="9"/>
      <c r="E6" s="9"/>
      <c r="F6" s="9"/>
    </row>
    <row r="7" spans="1:6" x14ac:dyDescent="0.25">
      <c r="A7" s="9"/>
      <c r="B7" s="9"/>
      <c r="C7" s="9"/>
      <c r="D7" s="9"/>
      <c r="E7" s="9"/>
      <c r="F7" s="9"/>
    </row>
    <row r="8" spans="1:6" x14ac:dyDescent="0.25">
      <c r="A8" s="9" t="s">
        <v>82</v>
      </c>
      <c r="B8" s="9"/>
      <c r="C8" s="9"/>
      <c r="D8" s="9"/>
      <c r="E8" s="9"/>
      <c r="F8" s="9"/>
    </row>
    <row r="9" spans="1:6" x14ac:dyDescent="0.25">
      <c r="A9" s="9"/>
      <c r="B9" s="9"/>
      <c r="C9" s="9"/>
      <c r="D9" s="9"/>
      <c r="E9" s="9"/>
      <c r="F9" s="9"/>
    </row>
    <row r="10" spans="1:6" x14ac:dyDescent="0.25">
      <c r="A10" s="9"/>
      <c r="B10" s="9"/>
      <c r="C10" s="9"/>
      <c r="D10" s="9"/>
      <c r="E10" s="9"/>
      <c r="F10" s="9"/>
    </row>
    <row r="11" spans="1:6" x14ac:dyDescent="0.25">
      <c r="A11" s="9"/>
      <c r="B11" s="9"/>
      <c r="C11" s="9"/>
      <c r="D11" s="9"/>
      <c r="E11" s="9"/>
      <c r="F11" s="9"/>
    </row>
    <row r="12" spans="1:6" x14ac:dyDescent="0.25">
      <c r="A12" s="9" t="s">
        <v>81</v>
      </c>
      <c r="B12" s="9"/>
      <c r="C12" s="9"/>
      <c r="D12" s="9"/>
      <c r="E12" s="9"/>
      <c r="F12" s="9"/>
    </row>
    <row r="13" spans="1:6" x14ac:dyDescent="0.25">
      <c r="A13" s="9"/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 t="s">
        <v>80</v>
      </c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2">
    <mergeCell ref="A2:C2"/>
    <mergeCell ref="D2:E2"/>
  </mergeCells>
  <pageMargins left="0.7" right="0.7" top="0.75" bottom="0.75" header="0.3" footer="0.3"/>
  <pageSetup scale="9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2025-01-29T19:33:43Z</cp:lastPrinted>
  <dcterms:created xsi:type="dcterms:W3CDTF">2025-01-29T19:16:16Z</dcterms:created>
  <dcterms:modified xsi:type="dcterms:W3CDTF">2025-01-29T19:34:27Z</dcterms:modified>
</cp:coreProperties>
</file>