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F5B85588-5CF8-442A-A281-B29264278C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H20" i="2"/>
  <c r="F23" i="1"/>
  <c r="F12" i="1"/>
  <c r="F5" i="1"/>
  <c r="H30" i="1"/>
  <c r="E30" i="1"/>
  <c r="D30" i="1"/>
  <c r="C30" i="1"/>
</calcChain>
</file>

<file path=xl/sharedStrings.xml><?xml version="1.0" encoding="utf-8"?>
<sst xmlns="http://schemas.openxmlformats.org/spreadsheetml/2006/main" count="207" uniqueCount="111">
  <si>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</si>
  <si>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</si>
  <si>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</si>
  <si>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</si>
  <si>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</si>
  <si>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</si>
  <si>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</si>
  <si>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</si>
  <si>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</si>
  <si>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</si>
  <si>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Anchor Nissan</t>
  </si>
  <si>
    <t>Marlene Braganca</t>
  </si>
  <si>
    <t>Neli Oliveira</t>
  </si>
  <si>
    <t>Bailey's Motor Sales Inc</t>
  </si>
  <si>
    <t>Rachel Gorham</t>
  </si>
  <si>
    <t>Coastal Volkswagon</t>
  </si>
  <si>
    <t>Grieco Toyota</t>
  </si>
  <si>
    <t>Lucchettis Service Center Inc</t>
  </si>
  <si>
    <t>Metro Honda</t>
  </si>
  <si>
    <t>Patriot Auto Group Inc d/b/a</t>
  </si>
  <si>
    <t>Paul Masse Buick GMC South, Inc</t>
  </si>
  <si>
    <t>Salvadore Chevrolet</t>
  </si>
  <si>
    <t>Salvadore Chrysler</t>
  </si>
  <si>
    <t>Tasca Ford</t>
  </si>
  <si>
    <t>Column1</t>
  </si>
  <si>
    <t>Column2</t>
  </si>
  <si>
    <t># 16</t>
  </si>
  <si>
    <t>Shanley</t>
  </si>
  <si>
    <t>steixeira1@yahoo.com</t>
  </si>
  <si>
    <t>BRUNI, JOSEPH</t>
  </si>
  <si>
    <t>E Contract</t>
  </si>
  <si>
    <t>Route One</t>
  </si>
  <si>
    <t>151188143e</t>
  </si>
  <si>
    <t>Macleod</t>
  </si>
  <si>
    <t>MARKANOLAN@YAHOO.COM</t>
  </si>
  <si>
    <t>NOLAN, MARK</t>
  </si>
  <si>
    <t>151188135e</t>
  </si>
  <si>
    <t>Daskalakis</t>
  </si>
  <si>
    <t>kostahd@gmail.com</t>
  </si>
  <si>
    <t>PAPADAKIS, KONSTANTINOS</t>
  </si>
  <si>
    <t>151188119e</t>
  </si>
  <si>
    <t>HICKEY</t>
  </si>
  <si>
    <t>GALLAGHER, MICHAEL</t>
  </si>
  <si>
    <t>DealerTrack</t>
  </si>
  <si>
    <t>151188094e</t>
  </si>
  <si>
    <t>RIGHTNOUR</t>
  </si>
  <si>
    <t>tlefebvre@comcast.net</t>
  </si>
  <si>
    <t>LEFEBVRE, THOMAS</t>
  </si>
  <si>
    <t>151188078e</t>
  </si>
  <si>
    <t>MOTA</t>
  </si>
  <si>
    <t>JOHN@ELITEFIRESEC.COM</t>
  </si>
  <si>
    <t>MEDEIROS, JOHN</t>
  </si>
  <si>
    <t>ELITE FIRE SUPPRESSION INC</t>
  </si>
  <si>
    <t>Paper</t>
  </si>
  <si>
    <t>151188036</t>
  </si>
  <si>
    <t>Portway</t>
  </si>
  <si>
    <t>Carlson</t>
  </si>
  <si>
    <t>MICHELLEDCARTER47@GMAIL.COM</t>
  </si>
  <si>
    <t>DCARTER@BROIDETOYOTALIFT.COM</t>
  </si>
  <si>
    <t>CARTER, MICHELLE</t>
  </si>
  <si>
    <t>CARTER, DAVID</t>
  </si>
  <si>
    <t>151188028e</t>
  </si>
  <si>
    <t>MOHAMAD</t>
  </si>
  <si>
    <t>jfarrow333@yahoo.com</t>
  </si>
  <si>
    <t>Farrow, Jeremy</t>
  </si>
  <si>
    <t>151188010e</t>
  </si>
  <si>
    <t>GARCIA</t>
  </si>
  <si>
    <t>JESSENIA.RODRIGUEZ1@YAHOO.COM</t>
  </si>
  <si>
    <t>RODRIGUEZ GARCIA, JESSENIA</t>
  </si>
  <si>
    <t>151188002e</t>
  </si>
  <si>
    <t>Gigante</t>
  </si>
  <si>
    <t>BTRUP2@YAHOO.COM</t>
  </si>
  <si>
    <t>HICKEY, NANCY</t>
  </si>
  <si>
    <t>151187963e</t>
  </si>
  <si>
    <t>Francis</t>
  </si>
  <si>
    <t>FRANCIS, RICHARD</t>
  </si>
  <si>
    <t>151187947e</t>
  </si>
  <si>
    <t>ENGLAND</t>
  </si>
  <si>
    <t>SIMEONE, MARIAN</t>
  </si>
  <si>
    <t>151187939e</t>
  </si>
  <si>
    <t>GLADKOWSKA</t>
  </si>
  <si>
    <t>ISABELLA.W@VERIZON.NET</t>
  </si>
  <si>
    <t>WIERZBICKI, ISABELLA</t>
  </si>
  <si>
    <t>151187921e</t>
  </si>
  <si>
    <t>Meunier</t>
  </si>
  <si>
    <t>dvacca02@gmail.com</t>
  </si>
  <si>
    <t>VACCA, DOMENIC</t>
  </si>
  <si>
    <t>151187913e</t>
  </si>
  <si>
    <t>Falcone</t>
  </si>
  <si>
    <t>MACARI, TYLER</t>
  </si>
  <si>
    <t>151187880e</t>
  </si>
  <si>
    <t>HALEY</t>
  </si>
  <si>
    <t>RHARTMAN@STRATEGIC-ES.COM</t>
  </si>
  <si>
    <t>HARTMAN, ROSS</t>
  </si>
  <si>
    <t>151187799e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</si>
  <si>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</si>
  <si>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</si>
  <si>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</si>
  <si>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</si>
  <si>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</si>
  <si>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</si>
  <si>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</si>
  <si>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</si>
  <si>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</si>
  <si>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</si>
  <si>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</si>
  <si>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</t>
  </si>
  <si>
    <t>Received By_________________________________________________________________________</t>
  </si>
  <si>
    <t>Delivered By________________________________________________________________________</t>
  </si>
  <si>
    <t># 1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</si>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</sst>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4C8D8145-296F-4307-A9A0-BDEDBE01935E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0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6A8BA62A-AC7F-49E9-A13D-D9C44D8F8C3E}" name="Column1" dataDxfId="23"/>
    <tableColumn id="8" xr3:uid="{067F736B-75B4-4E8B-8E99-D81BE8368D2D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56556C-4441-4DEE-9AF3-C3B0CFDC3DF8}" name="Table_13" displayName="Table_13" ref="A3:L20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D05F75-4EE3-4153-87E1-C8A9001C37F0}" name="Table_134" displayName="Table_13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workbookViewId="0">
      <pane ySplit="3" topLeftCell="A4" activePane="bottomLeft" state="frozen"/>
      <selection pane="bottomLeft" activeCell="E29" sqref="E29"/>
    </sheetView>
  </sheetViews>
  <sheetFormatPr defaultRowHeight="15" x14ac:dyDescent="0.25"/>
  <cols>
    <col min="1" max="1" width="31.5703125" bestFit="1" customWidth="1"/>
    <col min="2" max="2" width="17.7109375" bestFit="1" customWidth="1"/>
    <col min="3" max="3" width="11.140625" bestFit="1" customWidth="1"/>
    <col min="4" max="4" width="12.57031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45810</v>
      </c>
      <c r="E1" t="s">
        <v>2</v>
      </c>
      <c r="H1" s="4">
        <v>45810.999988425923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24</v>
      </c>
      <c r="G3" t="s">
        <v>25</v>
      </c>
      <c r="H3" t="s">
        <v>9</v>
      </c>
    </row>
    <row r="4" spans="1:8" x14ac:dyDescent="0.25">
      <c r="A4" t="s">
        <v>10</v>
      </c>
      <c r="B4" t="s">
        <v>11</v>
      </c>
      <c r="C4" s="2">
        <v>950</v>
      </c>
      <c r="D4" s="2">
        <v>0</v>
      </c>
      <c r="E4" s="2">
        <v>35667.31</v>
      </c>
      <c r="F4" s="2"/>
      <c r="G4" s="2"/>
      <c r="H4" s="2">
        <v>35742.31</v>
      </c>
    </row>
    <row r="5" spans="1:8" x14ac:dyDescent="0.25">
      <c r="A5" t="s">
        <v>10</v>
      </c>
      <c r="B5" t="s">
        <v>12</v>
      </c>
      <c r="C5" s="2">
        <v>950</v>
      </c>
      <c r="D5" s="2">
        <v>0</v>
      </c>
      <c r="E5" s="2">
        <v>36379.56</v>
      </c>
      <c r="F5" s="2">
        <f>SUM(E4:E5)</f>
        <v>72046.87</v>
      </c>
      <c r="G5" s="2"/>
      <c r="H5" s="2">
        <v>36454.559999999998</v>
      </c>
    </row>
    <row r="6" spans="1:8" x14ac:dyDescent="0.25">
      <c r="C6" s="2"/>
      <c r="D6" s="2"/>
      <c r="E6" s="2"/>
      <c r="F6" s="2"/>
      <c r="G6" s="2"/>
      <c r="H6" s="2"/>
    </row>
    <row r="7" spans="1:8" x14ac:dyDescent="0.25">
      <c r="A7" t="s">
        <v>13</v>
      </c>
      <c r="B7" t="s">
        <v>14</v>
      </c>
      <c r="C7" s="2">
        <v>750</v>
      </c>
      <c r="D7" s="2">
        <v>0</v>
      </c>
      <c r="E7" s="2">
        <v>27820.69</v>
      </c>
      <c r="F7" s="2"/>
      <c r="G7" s="2"/>
      <c r="H7" s="2">
        <v>27895.69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15</v>
      </c>
      <c r="B9" t="s">
        <v>11</v>
      </c>
      <c r="C9" s="2">
        <v>850</v>
      </c>
      <c r="D9" s="2">
        <v>0</v>
      </c>
      <c r="E9" s="2">
        <v>32769.440000000002</v>
      </c>
      <c r="F9" s="2"/>
      <c r="G9" s="2"/>
      <c r="H9" s="2">
        <v>32844.44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16</v>
      </c>
      <c r="B11" t="s">
        <v>11</v>
      </c>
      <c r="C11" s="2">
        <v>1050</v>
      </c>
      <c r="D11" s="2">
        <v>0</v>
      </c>
      <c r="E11" s="2">
        <v>42569.4</v>
      </c>
      <c r="F11" s="2"/>
      <c r="G11" s="2"/>
      <c r="H11" s="2">
        <v>42644.4</v>
      </c>
    </row>
    <row r="12" spans="1:8" x14ac:dyDescent="0.25">
      <c r="A12" t="s">
        <v>16</v>
      </c>
      <c r="B12" t="s">
        <v>11</v>
      </c>
      <c r="C12" s="2">
        <v>1050</v>
      </c>
      <c r="D12" s="2">
        <v>0</v>
      </c>
      <c r="E12" s="2">
        <v>40152.15</v>
      </c>
      <c r="F12" s="2">
        <f>SUM(E11:E12)</f>
        <v>82721.55</v>
      </c>
      <c r="G12" s="2"/>
      <c r="H12" s="2">
        <v>40227.15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11</v>
      </c>
      <c r="C14" s="2">
        <v>1350</v>
      </c>
      <c r="D14" s="2">
        <v>0</v>
      </c>
      <c r="E14" s="2">
        <v>54662.13</v>
      </c>
      <c r="F14" s="2"/>
      <c r="G14" s="2"/>
      <c r="H14" s="2">
        <v>54737.13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18</v>
      </c>
      <c r="B16" t="s">
        <v>14</v>
      </c>
      <c r="C16" s="2">
        <v>500</v>
      </c>
      <c r="D16" s="2">
        <v>0</v>
      </c>
      <c r="E16" s="2">
        <v>19577.900000000001</v>
      </c>
      <c r="F16" s="2"/>
      <c r="G16" s="2"/>
      <c r="H16" s="2">
        <v>19652.900000000001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19</v>
      </c>
      <c r="B18" t="s">
        <v>11</v>
      </c>
      <c r="C18" s="2">
        <v>850</v>
      </c>
      <c r="D18" s="2">
        <v>0</v>
      </c>
      <c r="E18" s="2">
        <v>31134</v>
      </c>
      <c r="F18" s="2"/>
      <c r="G18" s="2"/>
      <c r="H18" s="2">
        <v>31209</v>
      </c>
    </row>
    <row r="19" spans="1:8" x14ac:dyDescent="0.25">
      <c r="A19" t="s">
        <v>19</v>
      </c>
      <c r="B19" t="s">
        <v>14</v>
      </c>
      <c r="C19" s="2">
        <v>750</v>
      </c>
      <c r="D19" s="2">
        <v>0</v>
      </c>
      <c r="E19" s="2">
        <v>24938.63</v>
      </c>
      <c r="F19" s="2">
        <f>SUM(E18:E19)</f>
        <v>56072.630000000005</v>
      </c>
      <c r="G19" s="2"/>
      <c r="H19" s="2">
        <v>25013.63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20</v>
      </c>
      <c r="B21" t="s">
        <v>11</v>
      </c>
      <c r="C21" s="2">
        <v>850</v>
      </c>
      <c r="D21" s="2">
        <v>0</v>
      </c>
      <c r="E21" s="2">
        <v>30303.24</v>
      </c>
      <c r="F21" s="2"/>
      <c r="G21" s="2"/>
      <c r="H21" s="2">
        <v>30378.240000000002</v>
      </c>
    </row>
    <row r="22" spans="1:8" x14ac:dyDescent="0.25">
      <c r="A22" t="s">
        <v>20</v>
      </c>
      <c r="B22" t="s">
        <v>11</v>
      </c>
      <c r="C22" s="2">
        <v>950</v>
      </c>
      <c r="D22" s="2">
        <v>0</v>
      </c>
      <c r="E22" s="2">
        <v>37180.339999999997</v>
      </c>
      <c r="F22" s="2"/>
      <c r="G22" s="2"/>
      <c r="H22" s="2">
        <v>37255.339999999997</v>
      </c>
    </row>
    <row r="23" spans="1:8" x14ac:dyDescent="0.25">
      <c r="A23" t="s">
        <v>20</v>
      </c>
      <c r="B23" t="s">
        <v>14</v>
      </c>
      <c r="C23" s="2">
        <v>1150</v>
      </c>
      <c r="D23" s="2">
        <v>0</v>
      </c>
      <c r="E23" s="2">
        <v>47555</v>
      </c>
      <c r="F23" s="2">
        <f>SUM(E21:E23)</f>
        <v>115038.58</v>
      </c>
      <c r="G23" s="2"/>
      <c r="H23" s="2">
        <v>47630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21</v>
      </c>
      <c r="B25" t="s">
        <v>12</v>
      </c>
      <c r="C25" s="2">
        <v>1150</v>
      </c>
      <c r="D25" s="2">
        <v>0</v>
      </c>
      <c r="E25" s="2">
        <v>48020.97</v>
      </c>
      <c r="F25" s="2"/>
      <c r="G25" s="2"/>
      <c r="H25" s="2">
        <v>48095.97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22</v>
      </c>
      <c r="B27" t="s">
        <v>14</v>
      </c>
      <c r="C27" s="2">
        <v>650</v>
      </c>
      <c r="D27" s="2">
        <v>0</v>
      </c>
      <c r="E27" s="2">
        <v>23054.94</v>
      </c>
      <c r="F27" s="2"/>
      <c r="G27" s="2"/>
      <c r="H27" s="2">
        <v>23129.94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23</v>
      </c>
      <c r="B29" t="s">
        <v>14</v>
      </c>
      <c r="C29" s="2">
        <v>750</v>
      </c>
      <c r="D29" s="2">
        <v>0</v>
      </c>
      <c r="E29" s="2">
        <v>25445.83</v>
      </c>
      <c r="F29" s="2"/>
      <c r="G29" s="2"/>
      <c r="H29" s="2">
        <v>25520.83</v>
      </c>
    </row>
    <row r="30" spans="1:8" x14ac:dyDescent="0.25">
      <c r="A30" s="1"/>
      <c r="B30" s="1"/>
      <c r="C30" s="3">
        <f>SUM(C4:C29)</f>
        <v>14550</v>
      </c>
      <c r="D30" s="3">
        <f>SUM(D4:D29)</f>
        <v>0</v>
      </c>
      <c r="E30" s="3">
        <f>SUM(E4:E29)</f>
        <v>557231.52999999991</v>
      </c>
      <c r="F30" s="3"/>
      <c r="G30" s="3"/>
      <c r="H30" s="3">
        <f>SUM(H4:H29)</f>
        <v>558431.52999999991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1C0E-F5D4-40D2-8677-5F47DC77A39C}">
  <sheetPr>
    <pageSetUpPr fitToPage="1"/>
  </sheetPr>
  <dimension ref="A1:M25"/>
  <sheetViews>
    <sheetView workbookViewId="0">
      <pane ySplit="3" topLeftCell="A10" activePane="bottomLeft" state="frozen"/>
      <selection pane="bottomLeft" activeCell="A4" sqref="A4:A19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9.28515625" style="8" bestFit="1" customWidth="1"/>
    <col min="5" max="5" width="18.7109375" style="8" bestFit="1" customWidth="1"/>
    <col min="6" max="6" width="31.5703125" style="8" bestFit="1" customWidth="1"/>
    <col min="7" max="7" width="17.7109375" style="8" bestFit="1" customWidth="1"/>
    <col min="8" max="8" width="17.140625" style="8" bestFit="1" customWidth="1"/>
    <col min="9" max="9" width="35.5703125" style="8" bestFit="1" customWidth="1"/>
    <col min="10" max="10" width="33.85546875" style="8" bestFit="1" customWidth="1"/>
    <col min="11" max="11" width="14.28515625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45810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105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104</v>
      </c>
      <c r="B3" s="9" t="s">
        <v>103</v>
      </c>
      <c r="C3" s="9" t="s">
        <v>102</v>
      </c>
      <c r="D3" s="9" t="s">
        <v>101</v>
      </c>
      <c r="E3" s="9" t="s">
        <v>100</v>
      </c>
      <c r="F3" s="9" t="s">
        <v>4</v>
      </c>
      <c r="G3" s="9" t="s">
        <v>5</v>
      </c>
      <c r="H3" s="9" t="s">
        <v>99</v>
      </c>
      <c r="I3" s="9" t="s">
        <v>98</v>
      </c>
      <c r="J3" s="9" t="s">
        <v>97</v>
      </c>
      <c r="K3" s="9" t="s">
        <v>96</v>
      </c>
      <c r="L3" s="9" t="s">
        <v>95</v>
      </c>
      <c r="M3" s="9"/>
    </row>
    <row r="4" spans="1:13" ht="35.1" customHeight="1" x14ac:dyDescent="0.25">
      <c r="A4" s="9" t="s">
        <v>94</v>
      </c>
      <c r="B4" s="9" t="s">
        <v>31</v>
      </c>
      <c r="C4" s="9" t="s">
        <v>30</v>
      </c>
      <c r="D4" s="9" t="s">
        <v>93</v>
      </c>
      <c r="E4" s="9"/>
      <c r="F4" s="9" t="s">
        <v>13</v>
      </c>
      <c r="G4" s="9" t="s">
        <v>14</v>
      </c>
      <c r="H4" s="14">
        <v>27895.69</v>
      </c>
      <c r="I4" s="9" t="s">
        <v>92</v>
      </c>
      <c r="J4" s="9"/>
      <c r="K4" s="9" t="s">
        <v>91</v>
      </c>
      <c r="L4" s="9"/>
      <c r="M4" s="9"/>
    </row>
    <row r="5" spans="1:13" ht="35.1" customHeight="1" x14ac:dyDescent="0.25">
      <c r="A5" s="9" t="s">
        <v>90</v>
      </c>
      <c r="B5" s="9" t="s">
        <v>31</v>
      </c>
      <c r="C5" s="9" t="s">
        <v>30</v>
      </c>
      <c r="D5" s="9" t="s">
        <v>89</v>
      </c>
      <c r="E5" s="9"/>
      <c r="F5" s="9" t="s">
        <v>16</v>
      </c>
      <c r="G5" s="9" t="s">
        <v>11</v>
      </c>
      <c r="H5" s="14">
        <v>40227.15</v>
      </c>
      <c r="I5" s="9"/>
      <c r="J5" s="9"/>
      <c r="K5" s="9" t="s">
        <v>88</v>
      </c>
      <c r="L5" s="9"/>
      <c r="M5" s="9"/>
    </row>
    <row r="6" spans="1:13" ht="35.1" customHeight="1" x14ac:dyDescent="0.25">
      <c r="A6" s="9" t="s">
        <v>87</v>
      </c>
      <c r="B6" s="9" t="s">
        <v>31</v>
      </c>
      <c r="C6" s="9" t="s">
        <v>30</v>
      </c>
      <c r="D6" s="9" t="s">
        <v>86</v>
      </c>
      <c r="E6" s="9"/>
      <c r="F6" s="9" t="s">
        <v>20</v>
      </c>
      <c r="G6" s="9" t="s">
        <v>11</v>
      </c>
      <c r="H6" s="14">
        <v>37255.339999999997</v>
      </c>
      <c r="I6" s="9" t="s">
        <v>85</v>
      </c>
      <c r="J6" s="9"/>
      <c r="K6" s="9" t="s">
        <v>84</v>
      </c>
      <c r="L6" s="9"/>
      <c r="M6" s="9"/>
    </row>
    <row r="7" spans="1:13" ht="35.1" customHeight="1" x14ac:dyDescent="0.25">
      <c r="A7" s="9" t="s">
        <v>83</v>
      </c>
      <c r="B7" s="9" t="s">
        <v>31</v>
      </c>
      <c r="C7" s="9" t="s">
        <v>30</v>
      </c>
      <c r="D7" s="9" t="s">
        <v>82</v>
      </c>
      <c r="E7" s="9"/>
      <c r="F7" s="9" t="s">
        <v>19</v>
      </c>
      <c r="G7" s="9" t="s">
        <v>14</v>
      </c>
      <c r="H7" s="14">
        <v>25013.63</v>
      </c>
      <c r="I7" s="9" t="s">
        <v>81</v>
      </c>
      <c r="J7" s="9"/>
      <c r="K7" s="9" t="s">
        <v>80</v>
      </c>
      <c r="L7" s="9"/>
      <c r="M7" s="9"/>
    </row>
    <row r="8" spans="1:13" ht="35.1" customHeight="1" x14ac:dyDescent="0.25">
      <c r="A8" s="9" t="s">
        <v>79</v>
      </c>
      <c r="B8" s="9" t="s">
        <v>31</v>
      </c>
      <c r="C8" s="9" t="s">
        <v>30</v>
      </c>
      <c r="D8" s="9" t="s">
        <v>78</v>
      </c>
      <c r="E8" s="9"/>
      <c r="F8" s="9" t="s">
        <v>22</v>
      </c>
      <c r="G8" s="9" t="s">
        <v>14</v>
      </c>
      <c r="H8" s="14">
        <v>23129.94</v>
      </c>
      <c r="I8" s="9"/>
      <c r="J8" s="9"/>
      <c r="K8" s="9" t="s">
        <v>77</v>
      </c>
      <c r="L8" s="9"/>
      <c r="M8" s="9"/>
    </row>
    <row r="9" spans="1:13" ht="35.1" customHeight="1" x14ac:dyDescent="0.25">
      <c r="A9" s="9" t="s">
        <v>76</v>
      </c>
      <c r="B9" s="9" t="s">
        <v>31</v>
      </c>
      <c r="C9" s="9" t="s">
        <v>30</v>
      </c>
      <c r="D9" s="9" t="s">
        <v>75</v>
      </c>
      <c r="E9" s="9"/>
      <c r="F9" s="9" t="s">
        <v>20</v>
      </c>
      <c r="G9" s="9" t="s">
        <v>11</v>
      </c>
      <c r="H9" s="14">
        <v>30378.240000000002</v>
      </c>
      <c r="I9" s="9"/>
      <c r="J9" s="9"/>
      <c r="K9" s="9" t="s">
        <v>74</v>
      </c>
      <c r="L9" s="9"/>
      <c r="M9" s="9"/>
    </row>
    <row r="10" spans="1:13" ht="35.1" customHeight="1" x14ac:dyDescent="0.25">
      <c r="A10" s="9" t="s">
        <v>73</v>
      </c>
      <c r="B10" s="9" t="s">
        <v>43</v>
      </c>
      <c r="C10" s="9" t="s">
        <v>30</v>
      </c>
      <c r="D10" s="9" t="s">
        <v>72</v>
      </c>
      <c r="E10" s="9"/>
      <c r="F10" s="9" t="s">
        <v>15</v>
      </c>
      <c r="G10" s="9" t="s">
        <v>11</v>
      </c>
      <c r="H10" s="14">
        <v>32844.44</v>
      </c>
      <c r="I10" s="9" t="s">
        <v>71</v>
      </c>
      <c r="J10" s="9"/>
      <c r="K10" s="9" t="s">
        <v>70</v>
      </c>
      <c r="L10" s="9"/>
      <c r="M10" s="9"/>
    </row>
    <row r="11" spans="1:13" ht="35.1" customHeight="1" x14ac:dyDescent="0.25">
      <c r="A11" s="9" t="s">
        <v>69</v>
      </c>
      <c r="B11" s="9" t="s">
        <v>31</v>
      </c>
      <c r="C11" s="9" t="s">
        <v>30</v>
      </c>
      <c r="D11" s="9" t="s">
        <v>68</v>
      </c>
      <c r="E11" s="9"/>
      <c r="F11" s="9" t="s">
        <v>23</v>
      </c>
      <c r="G11" s="9" t="s">
        <v>14</v>
      </c>
      <c r="H11" s="14">
        <v>25520.83</v>
      </c>
      <c r="I11" s="9" t="s">
        <v>67</v>
      </c>
      <c r="J11" s="9"/>
      <c r="K11" s="9" t="s">
        <v>66</v>
      </c>
      <c r="L11" s="9"/>
      <c r="M11" s="9"/>
    </row>
    <row r="12" spans="1:13" ht="35.1" customHeight="1" x14ac:dyDescent="0.25">
      <c r="A12" s="9" t="s">
        <v>65</v>
      </c>
      <c r="B12" s="9" t="s">
        <v>31</v>
      </c>
      <c r="C12" s="9" t="s">
        <v>30</v>
      </c>
      <c r="D12" s="9" t="s">
        <v>64</v>
      </c>
      <c r="E12" s="9"/>
      <c r="F12" s="9" t="s">
        <v>21</v>
      </c>
      <c r="G12" s="9" t="s">
        <v>12</v>
      </c>
      <c r="H12" s="14">
        <v>48095.97</v>
      </c>
      <c r="I12" s="9" t="s">
        <v>63</v>
      </c>
      <c r="J12" s="9"/>
      <c r="K12" s="9" t="s">
        <v>62</v>
      </c>
      <c r="L12" s="9"/>
      <c r="M12" s="9"/>
    </row>
    <row r="13" spans="1:13" ht="35.1" customHeight="1" x14ac:dyDescent="0.25">
      <c r="A13" s="9" t="s">
        <v>61</v>
      </c>
      <c r="B13" s="9" t="s">
        <v>43</v>
      </c>
      <c r="C13" s="9" t="s">
        <v>30</v>
      </c>
      <c r="D13" s="9" t="s">
        <v>60</v>
      </c>
      <c r="E13" s="9" t="s">
        <v>59</v>
      </c>
      <c r="F13" s="9" t="s">
        <v>10</v>
      </c>
      <c r="G13" s="9" t="s">
        <v>11</v>
      </c>
      <c r="H13" s="14">
        <v>35742.31</v>
      </c>
      <c r="I13" s="9" t="s">
        <v>58</v>
      </c>
      <c r="J13" s="9" t="s">
        <v>57</v>
      </c>
      <c r="K13" s="9" t="s">
        <v>56</v>
      </c>
      <c r="L13" s="9" t="s">
        <v>55</v>
      </c>
      <c r="M13" s="9"/>
    </row>
    <row r="14" spans="1:13" ht="35.1" customHeight="1" x14ac:dyDescent="0.25">
      <c r="A14" s="9" t="s">
        <v>54</v>
      </c>
      <c r="B14" s="9" t="s">
        <v>43</v>
      </c>
      <c r="C14" s="9" t="s">
        <v>53</v>
      </c>
      <c r="D14" s="9" t="s">
        <v>52</v>
      </c>
      <c r="E14" s="9" t="s">
        <v>51</v>
      </c>
      <c r="F14" s="9" t="s">
        <v>10</v>
      </c>
      <c r="G14" s="9" t="s">
        <v>12</v>
      </c>
      <c r="H14" s="14">
        <v>36454.559999999998</v>
      </c>
      <c r="I14" s="9" t="s">
        <v>50</v>
      </c>
      <c r="J14" s="9"/>
      <c r="K14" s="9" t="s">
        <v>49</v>
      </c>
      <c r="L14" s="9"/>
      <c r="M14" s="9"/>
    </row>
    <row r="15" spans="1:13" ht="35.1" customHeight="1" x14ac:dyDescent="0.25">
      <c r="A15" s="9" t="s">
        <v>48</v>
      </c>
      <c r="B15" s="9" t="s">
        <v>31</v>
      </c>
      <c r="C15" s="9" t="s">
        <v>30</v>
      </c>
      <c r="D15" s="9" t="s">
        <v>47</v>
      </c>
      <c r="E15" s="9"/>
      <c r="F15" s="9" t="s">
        <v>20</v>
      </c>
      <c r="G15" s="9" t="s">
        <v>14</v>
      </c>
      <c r="H15" s="14">
        <v>47630</v>
      </c>
      <c r="I15" s="9" t="s">
        <v>46</v>
      </c>
      <c r="J15" s="9"/>
      <c r="K15" s="9" t="s">
        <v>45</v>
      </c>
      <c r="L15" s="9"/>
      <c r="M15" s="9"/>
    </row>
    <row r="16" spans="1:13" ht="35.1" customHeight="1" x14ac:dyDescent="0.25">
      <c r="A16" s="9" t="s">
        <v>44</v>
      </c>
      <c r="B16" s="9" t="s">
        <v>43</v>
      </c>
      <c r="C16" s="9" t="s">
        <v>30</v>
      </c>
      <c r="D16" s="9" t="s">
        <v>42</v>
      </c>
      <c r="E16" s="9"/>
      <c r="F16" s="9" t="s">
        <v>18</v>
      </c>
      <c r="G16" s="9" t="s">
        <v>14</v>
      </c>
      <c r="H16" s="14">
        <v>19652.900000000001</v>
      </c>
      <c r="I16" s="9"/>
      <c r="J16" s="9"/>
      <c r="K16" s="9" t="s">
        <v>41</v>
      </c>
      <c r="L16" s="9"/>
      <c r="M16" s="9"/>
    </row>
    <row r="17" spans="1:13" ht="35.1" customHeight="1" x14ac:dyDescent="0.25">
      <c r="A17" s="9" t="s">
        <v>40</v>
      </c>
      <c r="B17" s="9" t="s">
        <v>31</v>
      </c>
      <c r="C17" s="9" t="s">
        <v>30</v>
      </c>
      <c r="D17" s="9" t="s">
        <v>39</v>
      </c>
      <c r="E17" s="9"/>
      <c r="F17" s="9" t="s">
        <v>17</v>
      </c>
      <c r="G17" s="9" t="s">
        <v>11</v>
      </c>
      <c r="H17" s="14">
        <v>54737.13</v>
      </c>
      <c r="I17" s="9" t="s">
        <v>38</v>
      </c>
      <c r="J17" s="9"/>
      <c r="K17" s="9" t="s">
        <v>37</v>
      </c>
      <c r="L17" s="9"/>
      <c r="M17" s="9"/>
    </row>
    <row r="18" spans="1:13" ht="35.1" customHeight="1" x14ac:dyDescent="0.25">
      <c r="A18" s="9" t="s">
        <v>36</v>
      </c>
      <c r="B18" s="9" t="s">
        <v>31</v>
      </c>
      <c r="C18" s="9" t="s">
        <v>30</v>
      </c>
      <c r="D18" s="9" t="s">
        <v>35</v>
      </c>
      <c r="E18" s="9"/>
      <c r="F18" s="9" t="s">
        <v>19</v>
      </c>
      <c r="G18" s="9" t="s">
        <v>11</v>
      </c>
      <c r="H18" s="14">
        <v>31209</v>
      </c>
      <c r="I18" s="9" t="s">
        <v>34</v>
      </c>
      <c r="J18" s="9"/>
      <c r="K18" s="9" t="s">
        <v>33</v>
      </c>
      <c r="L18" s="9"/>
      <c r="M18" s="9"/>
    </row>
    <row r="19" spans="1:13" ht="35.1" customHeight="1" x14ac:dyDescent="0.25">
      <c r="A19" s="9" t="s">
        <v>32</v>
      </c>
      <c r="B19" s="9" t="s">
        <v>31</v>
      </c>
      <c r="C19" s="9" t="s">
        <v>30</v>
      </c>
      <c r="D19" s="9" t="s">
        <v>29</v>
      </c>
      <c r="E19" s="9"/>
      <c r="F19" s="9" t="s">
        <v>16</v>
      </c>
      <c r="G19" s="9" t="s">
        <v>11</v>
      </c>
      <c r="H19" s="14">
        <v>42644.4</v>
      </c>
      <c r="I19" s="9" t="s">
        <v>28</v>
      </c>
      <c r="J19" s="9"/>
      <c r="K19" s="9" t="s">
        <v>27</v>
      </c>
      <c r="L19" s="9"/>
      <c r="M19" s="9"/>
    </row>
    <row r="20" spans="1:13" ht="35.1" customHeight="1" x14ac:dyDescent="0.25">
      <c r="A20" s="15"/>
      <c r="B20" s="15"/>
      <c r="C20" s="15"/>
      <c r="D20" s="15" t="s">
        <v>26</v>
      </c>
      <c r="E20" s="15"/>
      <c r="F20" s="15"/>
      <c r="G20" s="15"/>
      <c r="H20" s="16">
        <f>SUM(H4:H19)</f>
        <v>558431.53</v>
      </c>
      <c r="I20" s="15"/>
      <c r="J20" s="15"/>
      <c r="K20" s="15"/>
      <c r="L20" s="15"/>
      <c r="M20" s="9"/>
    </row>
    <row r="21" spans="1:13" ht="35.1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ht="35.1" customHeight="1" x14ac:dyDescent="0.25"/>
    <row r="23" spans="1:13" ht="35.1" customHeight="1" x14ac:dyDescent="0.25"/>
    <row r="24" spans="1:13" ht="35.1" customHeight="1" x14ac:dyDescent="0.25"/>
    <row r="25" spans="1:13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1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9E12-CBEB-4EFF-BC37-109BD4C85299}">
  <sheetPr>
    <pageSetUpPr fitToPage="1"/>
  </sheetPr>
  <dimension ref="A1:G30"/>
  <sheetViews>
    <sheetView workbookViewId="0">
      <pane ySplit="3" topLeftCell="A4" activePane="bottomLeft" state="frozen"/>
      <selection pane="bottomLeft" activeCell="C13" sqref="C13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9.28515625" style="8" bestFit="1" customWidth="1"/>
    <col min="4" max="4" width="18.7109375" style="8" bestFit="1" customWidth="1"/>
    <col min="5" max="5" width="31.5703125" style="8" bestFit="1" customWidth="1"/>
    <col min="6" max="16384" width="9.140625" style="8"/>
  </cols>
  <sheetData>
    <row r="1" spans="1:7" x14ac:dyDescent="0.25">
      <c r="A1" s="9"/>
      <c r="B1" s="9"/>
      <c r="C1" s="9" t="s">
        <v>3</v>
      </c>
      <c r="D1" s="10">
        <v>45810</v>
      </c>
      <c r="E1" s="9" t="s">
        <v>2</v>
      </c>
      <c r="F1" s="9"/>
      <c r="G1" s="9"/>
    </row>
    <row r="2" spans="1:7" x14ac:dyDescent="0.25">
      <c r="A2" s="11" t="s">
        <v>0</v>
      </c>
      <c r="B2" s="12"/>
      <c r="C2" s="12"/>
      <c r="D2" s="13" t="s">
        <v>110</v>
      </c>
      <c r="E2" s="12"/>
      <c r="F2" s="9"/>
      <c r="G2" s="9"/>
    </row>
    <row r="3" spans="1:7" x14ac:dyDescent="0.25">
      <c r="A3" s="9" t="s">
        <v>104</v>
      </c>
      <c r="B3" s="9" t="s">
        <v>102</v>
      </c>
      <c r="C3" s="9" t="s">
        <v>101</v>
      </c>
      <c r="D3" s="9" t="s">
        <v>100</v>
      </c>
      <c r="E3" s="9" t="s">
        <v>4</v>
      </c>
      <c r="F3" s="9"/>
      <c r="G3" s="9"/>
    </row>
    <row r="4" spans="1:7" x14ac:dyDescent="0.25">
      <c r="A4" s="9" t="s">
        <v>54</v>
      </c>
      <c r="B4" s="9" t="s">
        <v>53</v>
      </c>
      <c r="C4" s="9" t="s">
        <v>52</v>
      </c>
      <c r="D4" s="9" t="s">
        <v>51</v>
      </c>
      <c r="E4" s="9" t="s">
        <v>10</v>
      </c>
      <c r="F4" s="9"/>
      <c r="G4" s="9"/>
    </row>
    <row r="5" spans="1:7" x14ac:dyDescent="0.25">
      <c r="A5" s="15"/>
      <c r="B5" s="15"/>
      <c r="C5" s="15" t="s">
        <v>109</v>
      </c>
      <c r="D5" s="15"/>
      <c r="E5" s="15"/>
      <c r="F5" s="9"/>
      <c r="G5" s="9"/>
    </row>
    <row r="6" spans="1:7" x14ac:dyDescent="0.25">
      <c r="A6" s="9"/>
      <c r="B6" s="9"/>
      <c r="C6" s="9"/>
      <c r="D6" s="9"/>
      <c r="E6" s="9"/>
      <c r="F6" s="9"/>
      <c r="G6" s="9"/>
    </row>
    <row r="7" spans="1:7" x14ac:dyDescent="0.25">
      <c r="A7" s="9"/>
      <c r="B7" s="9"/>
      <c r="C7" s="9"/>
      <c r="D7" s="9"/>
      <c r="E7" s="9"/>
      <c r="F7" s="9"/>
      <c r="G7" s="9"/>
    </row>
    <row r="8" spans="1:7" x14ac:dyDescent="0.25">
      <c r="A8" s="9"/>
      <c r="B8" s="9"/>
      <c r="C8" s="9"/>
      <c r="D8" s="9"/>
      <c r="E8" s="9"/>
      <c r="F8" s="9"/>
      <c r="G8" s="9"/>
    </row>
    <row r="9" spans="1:7" x14ac:dyDescent="0.25">
      <c r="A9" s="9" t="s">
        <v>108</v>
      </c>
      <c r="B9" s="9"/>
      <c r="C9" s="9"/>
      <c r="D9" s="9"/>
      <c r="E9" s="9"/>
      <c r="F9" s="9"/>
      <c r="G9" s="9"/>
    </row>
    <row r="10" spans="1:7" x14ac:dyDescent="0.25">
      <c r="A10" s="9"/>
      <c r="B10" s="9"/>
      <c r="C10" s="9"/>
      <c r="D10" s="9"/>
      <c r="E10" s="9"/>
      <c r="F10" s="9"/>
      <c r="G10" s="9"/>
    </row>
    <row r="11" spans="1:7" x14ac:dyDescent="0.25">
      <c r="A11" s="9"/>
      <c r="B11" s="9"/>
      <c r="C11" s="9"/>
      <c r="D11" s="9"/>
      <c r="E11" s="9"/>
      <c r="F11" s="9"/>
      <c r="G11" s="9"/>
    </row>
    <row r="12" spans="1:7" x14ac:dyDescent="0.25">
      <c r="A12" s="9"/>
      <c r="B12" s="9"/>
      <c r="C12" s="9"/>
      <c r="D12" s="9"/>
      <c r="E12" s="9"/>
      <c r="F12" s="9"/>
      <c r="G12" s="9"/>
    </row>
    <row r="13" spans="1:7" x14ac:dyDescent="0.25">
      <c r="A13" s="9" t="s">
        <v>107</v>
      </c>
      <c r="B13" s="9"/>
      <c r="C13" s="9"/>
      <c r="D13" s="9"/>
      <c r="E13" s="9"/>
      <c r="F13" s="9"/>
      <c r="G13" s="9"/>
    </row>
    <row r="14" spans="1:7" x14ac:dyDescent="0.25">
      <c r="A14" s="9"/>
      <c r="B14" s="9"/>
      <c r="C14" s="9"/>
      <c r="D14" s="9"/>
      <c r="E14" s="9"/>
      <c r="F14" s="9"/>
      <c r="G14" s="9"/>
    </row>
    <row r="15" spans="1:7" x14ac:dyDescent="0.25">
      <c r="A15" s="9"/>
      <c r="B15" s="9"/>
      <c r="C15" s="9"/>
      <c r="D15" s="9"/>
      <c r="E15" s="9"/>
      <c r="F15" s="9"/>
      <c r="G15" s="9"/>
    </row>
    <row r="16" spans="1:7" x14ac:dyDescent="0.25">
      <c r="A16" s="9"/>
      <c r="B16" s="9"/>
      <c r="C16" s="9"/>
      <c r="D16" s="9"/>
      <c r="E16" s="9"/>
      <c r="F16" s="9"/>
      <c r="G16" s="9"/>
    </row>
    <row r="17" spans="1:7" x14ac:dyDescent="0.25">
      <c r="A17" s="9" t="s">
        <v>106</v>
      </c>
      <c r="B17" s="9"/>
      <c r="C17" s="9"/>
      <c r="D17" s="9"/>
      <c r="E17" s="9"/>
      <c r="F17" s="9"/>
      <c r="G17" s="9"/>
    </row>
    <row r="18" spans="1:7" x14ac:dyDescent="0.25">
      <c r="A18" s="9"/>
      <c r="B18" s="9"/>
      <c r="C18" s="9"/>
      <c r="D18" s="9"/>
      <c r="E18" s="9"/>
      <c r="F18" s="9"/>
      <c r="G18" s="9"/>
    </row>
    <row r="19" spans="1:7" x14ac:dyDescent="0.25">
      <c r="A19" s="9"/>
      <c r="B19" s="9"/>
      <c r="C19" s="9"/>
      <c r="D19" s="9"/>
      <c r="E19" s="9"/>
      <c r="F19" s="9"/>
      <c r="G19" s="9"/>
    </row>
    <row r="20" spans="1:7" x14ac:dyDescent="0.25">
      <c r="A20" s="9"/>
      <c r="B20" s="9"/>
      <c r="C20" s="9"/>
      <c r="D20" s="9"/>
      <c r="E20" s="9"/>
      <c r="F20" s="9"/>
      <c r="G20" s="9"/>
    </row>
    <row r="21" spans="1:7" x14ac:dyDescent="0.25">
      <c r="A21" s="9"/>
      <c r="B21" s="9"/>
      <c r="C21" s="9"/>
      <c r="D21" s="9"/>
      <c r="E21" s="9"/>
      <c r="F21" s="9"/>
      <c r="G21" s="9"/>
    </row>
    <row r="22" spans="1:7" x14ac:dyDescent="0.25">
      <c r="A22" s="9"/>
      <c r="B22" s="9"/>
      <c r="C22" s="9"/>
      <c r="D22" s="9"/>
      <c r="E22" s="9"/>
      <c r="F22" s="9"/>
      <c r="G22" s="9"/>
    </row>
    <row r="23" spans="1:7" x14ac:dyDescent="0.25">
      <c r="A23" s="9"/>
      <c r="B23" s="9"/>
      <c r="C23" s="9"/>
      <c r="D23" s="9"/>
      <c r="E23" s="9"/>
      <c r="F23" s="9"/>
      <c r="G23" s="9"/>
    </row>
    <row r="24" spans="1:7" x14ac:dyDescent="0.25">
      <c r="A24" s="9"/>
      <c r="B24" s="9"/>
      <c r="C24" s="9"/>
      <c r="D24" s="9"/>
      <c r="E24" s="9"/>
      <c r="F24" s="9"/>
      <c r="G24" s="9"/>
    </row>
    <row r="25" spans="1:7" x14ac:dyDescent="0.25">
      <c r="A25" s="9"/>
      <c r="B25" s="9"/>
      <c r="C25" s="9"/>
      <c r="D25" s="9"/>
      <c r="E25" s="9"/>
      <c r="F25" s="9"/>
      <c r="G25" s="9"/>
    </row>
    <row r="26" spans="1:7" x14ac:dyDescent="0.25">
      <c r="A26" s="9"/>
      <c r="B26" s="9"/>
      <c r="C26" s="9"/>
      <c r="D26" s="9"/>
      <c r="E26" s="9"/>
      <c r="F26" s="9"/>
      <c r="G26" s="9"/>
    </row>
    <row r="27" spans="1:7" x14ac:dyDescent="0.25">
      <c r="A27" s="9"/>
      <c r="B27" s="9"/>
      <c r="C27" s="9"/>
      <c r="D27" s="9"/>
      <c r="E27" s="9"/>
      <c r="F27" s="9"/>
      <c r="G27" s="9"/>
    </row>
    <row r="28" spans="1:7" x14ac:dyDescent="0.25">
      <c r="A28" s="9"/>
      <c r="B28" s="9"/>
      <c r="C28" s="9"/>
      <c r="D28" s="9"/>
      <c r="E28" s="9"/>
      <c r="F28" s="9"/>
      <c r="G28" s="9"/>
    </row>
    <row r="29" spans="1:7" x14ac:dyDescent="0.25">
      <c r="A29" s="9"/>
      <c r="B29" s="9"/>
      <c r="C29" s="9"/>
      <c r="D29" s="9"/>
      <c r="E29" s="9"/>
      <c r="F29" s="9"/>
      <c r="G29" s="9"/>
    </row>
    <row r="30" spans="1:7" x14ac:dyDescent="0.25">
      <c r="A30" s="9"/>
      <c r="B30" s="9"/>
      <c r="C30" s="9"/>
      <c r="D30" s="9"/>
      <c r="E30" s="9"/>
      <c r="F30" s="9"/>
      <c r="G30" s="9"/>
    </row>
  </sheetData>
  <mergeCells count="2">
    <mergeCell ref="A2:C2"/>
    <mergeCell ref="D2:E2"/>
  </mergeCells>
  <pageMargins left="0.7" right="0.7" top="0.75" bottom="0.75" header="0.3" footer="0.3"/>
  <pageSetup scale="8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2025-06-02T18:42:02Z</cp:lastPrinted>
  <dcterms:created xsi:type="dcterms:W3CDTF">2025-06-02T18:24:21Z</dcterms:created>
  <dcterms:modified xsi:type="dcterms:W3CDTF">2025-06-02T18:52:32Z</dcterms:modified>
</cp:coreProperties>
</file>