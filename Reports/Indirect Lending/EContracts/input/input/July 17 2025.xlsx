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00-da1\Home\Share\Line of Business_Shared Services\Indirect Lending\E Contract Summary Report\Production\Input\"/>
    </mc:Choice>
  </mc:AlternateContent>
  <xr:revisionPtr revIDLastSave="0" documentId="8_{FCC592C7-AA23-4A8B-B16A-27BB8CA2CA59}" xr6:coauthVersionLast="47" xr6:coauthVersionMax="47" xr10:uidLastSave="{00000000-0000-0000-0000-000000000000}"/>
  <bookViews>
    <workbookView xWindow="25170" yWindow="1125" windowWidth="21600" windowHeight="12060" xr2:uid="{00000000-000D-0000-FFFF-FFFF00000000}"/>
  </bookViews>
  <sheets>
    <sheet name="Funding Worksheet - Folder Vers" sheetId="1" r:id="rId1"/>
    <sheet name="Funding Worksheet - ACH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2" l="1"/>
  <c r="G13" i="2"/>
  <c r="E13" i="2"/>
  <c r="D13" i="2"/>
  <c r="C13" i="2"/>
  <c r="H9" i="1" l="1"/>
</calcChain>
</file>

<file path=xl/sharedStrings.xml><?xml version="1.0" encoding="utf-8"?>
<sst xmlns="http://schemas.openxmlformats.org/spreadsheetml/2006/main" count="75" uniqueCount="53">
  <si>
    <t>Bristol County Savings Bank</t>
  </si>
  <si>
    <t>Funding Worksheet - Folder Version</t>
  </si>
  <si>
    <t>Account Number</t>
  </si>
  <si>
    <t>Portal</t>
  </si>
  <si>
    <t>Contract Type</t>
  </si>
  <si>
    <t>Applicant Name</t>
  </si>
  <si>
    <t>Co-Applicant Name</t>
  </si>
  <si>
    <t>Dealer Name</t>
  </si>
  <si>
    <t>Funded by</t>
  </si>
  <si>
    <t>Amount Financed</t>
  </si>
  <si>
    <t>Applicant Email</t>
  </si>
  <si>
    <t>App MMN</t>
  </si>
  <si>
    <t>Co-App MMN</t>
  </si>
  <si>
    <t>Route One</t>
  </si>
  <si>
    <t>E Contract</t>
  </si>
  <si>
    <t>LEAHY, MARY</t>
  </si>
  <si>
    <t>Patriot Auto Group Inc d/b/a</t>
  </si>
  <si>
    <t>Neli Oliveira</t>
  </si>
  <si>
    <t>MARYELLENLEAHY2020@GMAIL.COM</t>
  </si>
  <si>
    <t>CURRAN</t>
  </si>
  <si>
    <t>DealerTrack</t>
  </si>
  <si>
    <t>THORPE-GAGAN, KARALYN</t>
  </si>
  <si>
    <t>BID Cars Boston</t>
  </si>
  <si>
    <t>Marlene Braganca</t>
  </si>
  <si>
    <t>KARALYN_73@YAHOO.COM</t>
  </si>
  <si>
    <t>HOPKINS</t>
  </si>
  <si>
    <t>BERTRAND, MARC</t>
  </si>
  <si>
    <t>BERTRAND, ERIN</t>
  </si>
  <si>
    <t>Wareham Ford</t>
  </si>
  <si>
    <t>Marc4885@gmail.com</t>
  </si>
  <si>
    <t>PUSATERI</t>
  </si>
  <si>
    <t>FLAGG</t>
  </si>
  <si>
    <t>RICHER, ANDRE</t>
  </si>
  <si>
    <t>aricher49@gmail.com</t>
  </si>
  <si>
    <t>GIRARD</t>
  </si>
  <si>
    <t>COLBURN, STEPHEN</t>
  </si>
  <si>
    <t>Colonial South Chevrolet</t>
  </si>
  <si>
    <t>Rachel Gorham</t>
  </si>
  <si>
    <t>colbus@comcast.net</t>
  </si>
  <si>
    <t>DAVISON</t>
  </si>
  <si>
    <t># 5</t>
  </si>
  <si>
    <t>151203321 E</t>
  </si>
  <si>
    <t>151203339 E</t>
  </si>
  <si>
    <t>151203371 E</t>
  </si>
  <si>
    <t>151203404 E</t>
  </si>
  <si>
    <t>151203438 E</t>
  </si>
  <si>
    <t>Funding Worksheet - ACH Version</t>
  </si>
  <si>
    <t>Dealer Flat</t>
  </si>
  <si>
    <t>Dealer Split</t>
  </si>
  <si>
    <t>Net to Dealer</t>
  </si>
  <si>
    <t>Contracted Amount Financed</t>
  </si>
  <si>
    <t>honda -Patriot Auto Group Inc d/b/a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</si>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</sst>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sz val="12"/>
      <color indexed="8"/>
      <name val="Aptos Narrow"/>
      <family val="2"/>
      <scheme val="minor"/>
    </font>
    <font>
      <b/>
      <sz val="12"/>
      <name val="Calibri"/>
      <family val="2"/>
    </font>
    <font>
      <b/>
      <sz val="12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right"/>
    </xf>
    <xf numFmtId="7" fontId="1" fillId="0" borderId="0" xfId="0" applyNumberFormat="1" applyFont="1"/>
    <xf numFmtId="0" fontId="2" fillId="0" borderId="0" xfId="0" applyFont="1"/>
    <xf numFmtId="7" fontId="2" fillId="0" borderId="0" xfId="0" applyNumberFormat="1" applyFont="1"/>
    <xf numFmtId="7" fontId="3" fillId="0" borderId="0" xfId="0" applyNumberFormat="1" applyFont="1"/>
    <xf numFmtId="0" fontId="2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horizontal="right"/>
    </xf>
    <xf numFmtId="164" fontId="1" fillId="0" borderId="0" xfId="0" applyNumberFormat="1" applyFont="1" applyAlignment="1">
      <alignment horizontal="right"/>
    </xf>
  </cellXfs>
  <cellStyles count="1">
    <cellStyle name="Normal" xfId="0" builtinId="0"/>
  </cellStyles>
  <dxfs count="24"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  <numFmt numFmtId="11" formatCode="&quot;$&quot;#,##0.00_);\(&quot;$&quot;#,##0.00\)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K9" headerRowDxfId="23" dataDxfId="22" totalsRowDxfId="21">
  <tableColumns count="11">
    <tableColumn id="1" xr3:uid="{00000000-0010-0000-0000-000001000000}" name="Account Number" dataDxfId="20"/>
    <tableColumn id="2" xr3:uid="{00000000-0010-0000-0000-000002000000}" name="Portal" dataDxfId="19"/>
    <tableColumn id="3" xr3:uid="{00000000-0010-0000-0000-000003000000}" name="Contract Type" dataDxfId="18"/>
    <tableColumn id="4" xr3:uid="{00000000-0010-0000-0000-000004000000}" name="Applicant Name" dataDxfId="17"/>
    <tableColumn id="5" xr3:uid="{00000000-0010-0000-0000-000005000000}" name="Co-Applicant Name" dataDxfId="16"/>
    <tableColumn id="6" xr3:uid="{00000000-0010-0000-0000-000006000000}" name="Dealer Name" dataDxfId="15"/>
    <tableColumn id="7" xr3:uid="{00000000-0010-0000-0000-000007000000}" name="Funded by" dataDxfId="14"/>
    <tableColumn id="8" xr3:uid="{00000000-0010-0000-0000-000008000000}" name="Amount Financed" dataDxfId="13"/>
    <tableColumn id="9" xr3:uid="{00000000-0010-0000-0000-000009000000}" name="Applicant Email" dataDxfId="12"/>
    <tableColumn id="11" xr3:uid="{00000000-0010-0000-0000-00000B000000}" name="App MMN" dataDxfId="11"/>
    <tableColumn id="12" xr3:uid="{00000000-0010-0000-0000-00000C000000}" name="Co-App MMN" dataDxfId="1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E385A8-7156-4B8D-8AA7-733C20417D75}" name="Table_14" displayName="Table_14" ref="A3:G13" headerRowDxfId="9" dataDxfId="8" totalsRowDxfId="7">
  <tableColumns count="7">
    <tableColumn id="1" xr3:uid="{BCC82951-773B-4AA2-A155-593BA1422574}" name="Dealer Name" dataDxfId="6"/>
    <tableColumn id="2" xr3:uid="{F374467D-0A46-4A82-9EC4-6D1465E6CEF1}" name="Funded by" dataDxfId="5"/>
    <tableColumn id="3" xr3:uid="{AD1D34A8-F5DF-4F2A-A2AF-20194404463C}" name="Dealer Flat" dataDxfId="4"/>
    <tableColumn id="4" xr3:uid="{5AAE9B78-EE43-492B-9194-69143470EAA2}" name="Dealer Split" dataDxfId="3"/>
    <tableColumn id="5" xr3:uid="{19788524-9569-4130-B0B2-722CBDA2F99E}" name="Net to Dealer" dataDxfId="2"/>
    <tableColumn id="7" xr3:uid="{E8E75889-E086-449C-8368-A9E329378A5C}" name="Column1" dataDxfId="1"/>
    <tableColumn id="6" xr3:uid="{218B43F7-AA0C-434C-BBE8-92FBBEF3A1C4}" name="Contracted Amount Financed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9"/>
  <sheetViews>
    <sheetView tabSelected="1" workbookViewId="0">
      <pane ySplit="3" topLeftCell="A4" activePane="bottomLeft" state="frozen"/>
      <selection pane="bottomLeft" activeCell="B14" sqref="B14"/>
    </sheetView>
  </sheetViews>
  <sheetFormatPr defaultRowHeight="15.75" x14ac:dyDescent="0.25"/>
  <cols>
    <col min="1" max="1" width="12.85546875" style="1" customWidth="1"/>
    <col min="2" max="2" width="12.140625" style="1" bestFit="1" customWidth="1"/>
    <col min="3" max="3" width="14" style="1" bestFit="1" customWidth="1"/>
    <col min="4" max="4" width="25.5703125" style="1" bestFit="1" customWidth="1"/>
    <col min="5" max="5" width="15.140625" style="1" customWidth="1"/>
    <col min="6" max="6" width="26.7109375" style="1" bestFit="1" customWidth="1"/>
    <col min="7" max="7" width="17.7109375" style="1" bestFit="1" customWidth="1"/>
    <col min="8" max="8" width="17.140625" style="1" bestFit="1" customWidth="1"/>
    <col min="9" max="9" width="32.85546875" style="1" customWidth="1"/>
    <col min="10" max="10" width="13.140625" style="1" bestFit="1" customWidth="1"/>
    <col min="11" max="11" width="12.85546875" style="1" bestFit="1" customWidth="1"/>
    <col min="12" max="16384" width="9.140625" style="1"/>
  </cols>
  <sheetData>
    <row r="1" spans="1:11" x14ac:dyDescent="0.25">
      <c r="J1" s="10">
        <v>45855</v>
      </c>
      <c r="K1" s="8"/>
    </row>
    <row r="2" spans="1:11" x14ac:dyDescent="0.25">
      <c r="A2" s="7" t="s">
        <v>0</v>
      </c>
      <c r="B2" s="8"/>
      <c r="C2" s="8"/>
      <c r="D2" s="8"/>
      <c r="E2" s="8"/>
      <c r="F2" s="8"/>
      <c r="G2" s="9" t="s">
        <v>1</v>
      </c>
      <c r="H2" s="8"/>
      <c r="I2" s="8"/>
      <c r="J2" s="8"/>
      <c r="K2" s="8"/>
    </row>
    <row r="3" spans="1:1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</row>
    <row r="4" spans="1:11" ht="30" customHeight="1" x14ac:dyDescent="0.25">
      <c r="A4" s="1" t="s">
        <v>41</v>
      </c>
      <c r="B4" s="1" t="s">
        <v>13</v>
      </c>
      <c r="C4" s="1" t="s">
        <v>14</v>
      </c>
      <c r="D4" s="1" t="s">
        <v>15</v>
      </c>
      <c r="F4" s="1" t="s">
        <v>16</v>
      </c>
      <c r="G4" s="1" t="s">
        <v>17</v>
      </c>
      <c r="H4" s="3">
        <v>26044.63</v>
      </c>
      <c r="I4" s="1" t="s">
        <v>18</v>
      </c>
      <c r="J4" s="1" t="s">
        <v>19</v>
      </c>
    </row>
    <row r="5" spans="1:11" ht="30" customHeight="1" x14ac:dyDescent="0.25">
      <c r="A5" s="1" t="s">
        <v>42</v>
      </c>
      <c r="B5" s="1" t="s">
        <v>20</v>
      </c>
      <c r="C5" s="1" t="s">
        <v>14</v>
      </c>
      <c r="D5" s="1" t="s">
        <v>21</v>
      </c>
      <c r="F5" s="1" t="s">
        <v>22</v>
      </c>
      <c r="G5" s="1" t="s">
        <v>23</v>
      </c>
      <c r="H5" s="3">
        <v>34762.81</v>
      </c>
      <c r="I5" s="1" t="s">
        <v>24</v>
      </c>
      <c r="J5" s="1" t="s">
        <v>25</v>
      </c>
    </row>
    <row r="6" spans="1:11" ht="30" customHeight="1" x14ac:dyDescent="0.25">
      <c r="A6" s="1" t="s">
        <v>43</v>
      </c>
      <c r="B6" s="1" t="s">
        <v>13</v>
      </c>
      <c r="C6" s="1" t="s">
        <v>14</v>
      </c>
      <c r="D6" s="1" t="s">
        <v>26</v>
      </c>
      <c r="E6" s="1" t="s">
        <v>27</v>
      </c>
      <c r="F6" s="1" t="s">
        <v>28</v>
      </c>
      <c r="G6" s="1" t="s">
        <v>17</v>
      </c>
      <c r="H6" s="3">
        <v>58156.12</v>
      </c>
      <c r="I6" s="1" t="s">
        <v>29</v>
      </c>
      <c r="J6" s="1" t="s">
        <v>30</v>
      </c>
      <c r="K6" s="1" t="s">
        <v>31</v>
      </c>
    </row>
    <row r="7" spans="1:11" ht="30" customHeight="1" x14ac:dyDescent="0.25">
      <c r="A7" s="1" t="s">
        <v>44</v>
      </c>
      <c r="B7" s="1" t="s">
        <v>13</v>
      </c>
      <c r="C7" s="1" t="s">
        <v>14</v>
      </c>
      <c r="D7" s="1" t="s">
        <v>32</v>
      </c>
      <c r="F7" s="1" t="s">
        <v>16</v>
      </c>
      <c r="G7" s="1" t="s">
        <v>17</v>
      </c>
      <c r="H7" s="3">
        <v>31396.44</v>
      </c>
      <c r="I7" s="1" t="s">
        <v>33</v>
      </c>
      <c r="J7" s="1" t="s">
        <v>34</v>
      </c>
    </row>
    <row r="8" spans="1:11" ht="30" customHeight="1" x14ac:dyDescent="0.25">
      <c r="A8" s="1" t="s">
        <v>45</v>
      </c>
      <c r="B8" s="1" t="s">
        <v>13</v>
      </c>
      <c r="C8" s="1" t="s">
        <v>14</v>
      </c>
      <c r="D8" s="1" t="s">
        <v>35</v>
      </c>
      <c r="F8" s="1" t="s">
        <v>36</v>
      </c>
      <c r="G8" s="1" t="s">
        <v>37</v>
      </c>
      <c r="H8" s="3">
        <v>27085.25</v>
      </c>
      <c r="I8" s="1" t="s">
        <v>38</v>
      </c>
      <c r="J8" s="1" t="s">
        <v>39</v>
      </c>
    </row>
    <row r="9" spans="1:11" x14ac:dyDescent="0.25">
      <c r="A9" s="4"/>
      <c r="B9" s="4"/>
      <c r="C9" s="4"/>
      <c r="D9" s="4" t="s">
        <v>40</v>
      </c>
      <c r="E9" s="4"/>
      <c r="F9" s="4"/>
      <c r="G9" s="4"/>
      <c r="H9" s="5">
        <f>SUM(H4:H8)</f>
        <v>177445.25</v>
      </c>
      <c r="I9" s="4"/>
      <c r="J9" s="4"/>
      <c r="K9" s="4"/>
    </row>
  </sheetData>
  <mergeCells count="3">
    <mergeCell ref="A2:F2"/>
    <mergeCell ref="G2:K2"/>
    <mergeCell ref="J1:K1"/>
  </mergeCells>
  <pageMargins left="0.7" right="0.7" top="0.75" bottom="0.75" header="0.3" footer="0.3"/>
  <pageSetup paperSize="5" scale="80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CB53B-EEFE-47FD-A7CB-F62C031F56D4}">
  <sheetPr>
    <pageSetUpPr fitToPage="1"/>
  </sheetPr>
  <dimension ref="A1:G13"/>
  <sheetViews>
    <sheetView workbookViewId="0">
      <selection activeCell="L10" sqref="L10"/>
    </sheetView>
  </sheetViews>
  <sheetFormatPr defaultRowHeight="15.75" x14ac:dyDescent="0.25"/>
  <cols>
    <col min="1" max="1" width="23.7109375" style="1" customWidth="1"/>
    <col min="2" max="2" width="16.7109375" style="1" customWidth="1"/>
    <col min="3" max="3" width="13.42578125" style="1" customWidth="1"/>
    <col min="4" max="4" width="13.85546875" style="1" customWidth="1"/>
    <col min="5" max="5" width="14.85546875" style="1" customWidth="1"/>
    <col min="6" max="6" width="12.85546875" style="1" customWidth="1"/>
    <col min="7" max="7" width="16.42578125" style="1" customWidth="1"/>
    <col min="8" max="16384" width="9.140625" style="1"/>
  </cols>
  <sheetData>
    <row r="1" spans="1:7" x14ac:dyDescent="0.25">
      <c r="D1" s="2"/>
      <c r="G1" s="2">
        <v>45855.999988425923</v>
      </c>
    </row>
    <row r="2" spans="1:7" x14ac:dyDescent="0.25">
      <c r="A2" s="7" t="s">
        <v>0</v>
      </c>
      <c r="B2" s="8"/>
      <c r="C2" s="8"/>
      <c r="D2" s="9" t="s">
        <v>46</v>
      </c>
      <c r="E2" s="8"/>
      <c r="F2" s="8"/>
      <c r="G2" s="8"/>
    </row>
    <row r="3" spans="1:7" x14ac:dyDescent="0.25">
      <c r="A3" s="1" t="s">
        <v>7</v>
      </c>
      <c r="B3" s="1" t="s">
        <v>8</v>
      </c>
      <c r="C3" s="1" t="s">
        <v>47</v>
      </c>
      <c r="D3" s="1" t="s">
        <v>48</v>
      </c>
      <c r="E3" s="1" t="s">
        <v>49</v>
      </c>
      <c r="F3" s="1" t="s">
        <v>52</v>
      </c>
      <c r="G3" s="1" t="s">
        <v>50</v>
      </c>
    </row>
    <row r="4" spans="1:7" ht="27" customHeight="1" x14ac:dyDescent="0.25">
      <c r="A4" s="1" t="s">
        <v>22</v>
      </c>
      <c r="B4" s="1" t="s">
        <v>23</v>
      </c>
      <c r="C4" s="3">
        <v>850</v>
      </c>
      <c r="D4" s="3">
        <v>0</v>
      </c>
      <c r="E4" s="6">
        <v>34687.81</v>
      </c>
      <c r="F4" s="3"/>
      <c r="G4" s="3">
        <v>34762.81</v>
      </c>
    </row>
    <row r="5" spans="1:7" ht="27" customHeight="1" x14ac:dyDescent="0.25">
      <c r="C5" s="3"/>
      <c r="D5" s="3"/>
      <c r="E5" s="6"/>
      <c r="F5" s="3"/>
      <c r="G5" s="3"/>
    </row>
    <row r="6" spans="1:7" ht="27" customHeight="1" x14ac:dyDescent="0.25">
      <c r="A6" s="1" t="s">
        <v>36</v>
      </c>
      <c r="B6" s="1" t="s">
        <v>37</v>
      </c>
      <c r="C6" s="3">
        <v>750</v>
      </c>
      <c r="D6" s="3">
        <v>0</v>
      </c>
      <c r="E6" s="6">
        <v>27010.25</v>
      </c>
      <c r="F6" s="3"/>
      <c r="G6" s="3">
        <v>27085.25</v>
      </c>
    </row>
    <row r="7" spans="1:7" ht="27" customHeight="1" x14ac:dyDescent="0.25">
      <c r="C7" s="3"/>
      <c r="D7" s="3"/>
      <c r="E7" s="3"/>
      <c r="F7" s="3"/>
      <c r="G7" s="3"/>
    </row>
    <row r="8" spans="1:7" ht="27" customHeight="1" x14ac:dyDescent="0.25">
      <c r="A8" s="1" t="s">
        <v>51</v>
      </c>
      <c r="B8" s="1" t="s">
        <v>17</v>
      </c>
      <c r="C8" s="3">
        <v>750</v>
      </c>
      <c r="D8" s="3">
        <v>0</v>
      </c>
      <c r="E8" s="3">
        <v>25969.63</v>
      </c>
      <c r="F8" s="3"/>
      <c r="G8" s="3">
        <v>26044.63</v>
      </c>
    </row>
    <row r="9" spans="1:7" ht="27" customHeight="1" x14ac:dyDescent="0.25">
      <c r="A9" s="1" t="s">
        <v>51</v>
      </c>
      <c r="B9" s="1" t="s">
        <v>17</v>
      </c>
      <c r="C9" s="3">
        <v>850</v>
      </c>
      <c r="D9" s="3">
        <v>0</v>
      </c>
      <c r="E9" s="3">
        <v>31321.439999999999</v>
      </c>
      <c r="F9" s="6">
        <f>SUM(E8:E9)</f>
        <v>57291.07</v>
      </c>
      <c r="G9" s="3">
        <v>31396.44</v>
      </c>
    </row>
    <row r="10" spans="1:7" ht="27" customHeight="1" x14ac:dyDescent="0.25">
      <c r="C10" s="3"/>
      <c r="D10" s="3"/>
      <c r="E10" s="3"/>
      <c r="F10" s="3"/>
      <c r="G10" s="3"/>
    </row>
    <row r="11" spans="1:7" ht="27" customHeight="1" x14ac:dyDescent="0.25">
      <c r="A11" s="1" t="s">
        <v>28</v>
      </c>
      <c r="B11" s="1" t="s">
        <v>17</v>
      </c>
      <c r="C11" s="3">
        <v>1350</v>
      </c>
      <c r="D11" s="3">
        <v>0</v>
      </c>
      <c r="E11" s="6">
        <v>58081.120000000003</v>
      </c>
      <c r="F11" s="3"/>
      <c r="G11" s="3">
        <v>58156.12</v>
      </c>
    </row>
    <row r="12" spans="1:7" ht="17.25" customHeight="1" x14ac:dyDescent="0.25">
      <c r="C12" s="3"/>
      <c r="D12" s="3"/>
      <c r="E12" s="3"/>
      <c r="F12" s="3"/>
      <c r="G12" s="3"/>
    </row>
    <row r="13" spans="1:7" x14ac:dyDescent="0.25">
      <c r="A13" s="4"/>
      <c r="B13" s="4"/>
      <c r="C13" s="5">
        <f>SUM(C4:C11)</f>
        <v>4550</v>
      </c>
      <c r="D13" s="5">
        <f>SUM(D4:D11)</f>
        <v>0</v>
      </c>
      <c r="E13" s="5">
        <f>SUM(E4:E11)</f>
        <v>177070.25</v>
      </c>
      <c r="F13" s="5"/>
      <c r="G13" s="5">
        <f>SUM(G4:G11)</f>
        <v>177445.25</v>
      </c>
    </row>
  </sheetData>
  <mergeCells count="2">
    <mergeCell ref="A2:C2"/>
    <mergeCell ref="D2:G2"/>
  </mergeCells>
  <pageMargins left="0.7" right="0.7" top="0.75" bottom="0.75" header="0.3" footer="0.3"/>
  <pageSetup scale="94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Funding Worksheet - Folder Vers</vt:lpstr>
      <vt:lpstr>Funding Worksheet - ACH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Marlene Braganca</cp:lastModifiedBy>
  <cp:lastPrinted>2025-07-17T17:21:18Z</cp:lastPrinted>
  <dcterms:created xsi:type="dcterms:W3CDTF">2025-07-17T17:13:52Z</dcterms:created>
  <dcterms:modified xsi:type="dcterms:W3CDTF">2025-07-18T11:44:40Z</dcterms:modified>
</cp:coreProperties>
</file>