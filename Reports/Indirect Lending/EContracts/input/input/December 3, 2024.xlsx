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3744F1E0-9CB3-487D-A433-3C3646B54578}" xr6:coauthVersionLast="47" xr6:coauthVersionMax="47" xr10:uidLastSave="{00000000-0000-0000-0000-000000000000}"/>
  <bookViews>
    <workbookView xWindow="30945" yWindow="15" windowWidth="23190" windowHeight="14055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2" l="1"/>
  <c r="G9" i="2"/>
  <c r="H30" i="2"/>
  <c r="F30" i="2"/>
  <c r="E30" i="2"/>
  <c r="D30" i="2"/>
  <c r="H18" i="1"/>
</calcChain>
</file>

<file path=xl/sharedStrings.xml><?xml version="1.0" encoding="utf-8"?>
<sst xmlns="http://schemas.openxmlformats.org/spreadsheetml/2006/main" count="205" uniqueCount="116">
  <si>
    <t>Bristol County Savings Bank</t>
  </si>
  <si>
    <t>Funding Worksheet - Folder Version</t>
  </si>
  <si>
    <t>From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</si>
  <si>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</si>
  <si>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</si>
  <si>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</si>
  <si>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</si>
  <si>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</si>
  <si>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</si>
  <si>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</si>
  <si>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</si>
  <si>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</si>
  <si>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</si>
  <si>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</si>
  <si>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</si>
  <si>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</si>
  <si>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Route One</t>
  </si>
  <si>
    <t>E Contract</t>
  </si>
  <si>
    <t>TURNER, MADISON</t>
  </si>
  <si>
    <t>Grieco Toyota</t>
  </si>
  <si>
    <t>Neli Oliveira</t>
  </si>
  <si>
    <t>MADISONRTURNER1@GMAIL.COM</t>
  </si>
  <si>
    <t>SHRUHAN</t>
  </si>
  <si>
    <t>DealerTrack</t>
  </si>
  <si>
    <t>VAUGHT, ERIC</t>
  </si>
  <si>
    <t>VAUGHT, RACHEL</t>
  </si>
  <si>
    <t>RAH FALL RIVER VW, LLC</t>
  </si>
  <si>
    <t>ERIC.VAUGHT@GMAIL.COM</t>
  </si>
  <si>
    <t>BOMBARDIER</t>
  </si>
  <si>
    <t>HILTS</t>
  </si>
  <si>
    <t>SHAMEKHI, YAHYA</t>
  </si>
  <si>
    <t>Bourne Enterprises Inc</t>
  </si>
  <si>
    <t>Marlene Braganca</t>
  </si>
  <si>
    <t>Y.SHAMEKHI@GMAIL.COM</t>
  </si>
  <si>
    <t>Sahabi</t>
  </si>
  <si>
    <t>FURTADO, KELLY</t>
  </si>
  <si>
    <t>Planet Subaru</t>
  </si>
  <si>
    <t>KBFURTADO3@GMAIL.COM</t>
  </si>
  <si>
    <t>Weaver</t>
  </si>
  <si>
    <t>151124783</t>
  </si>
  <si>
    <t>Paper</t>
  </si>
  <si>
    <t>BAKER, GINA</t>
  </si>
  <si>
    <t>Hylan Auto Sales</t>
  </si>
  <si>
    <t>GFOWL55@YAHOO.COM</t>
  </si>
  <si>
    <t>HOLLIS</t>
  </si>
  <si>
    <t>GERVASIO, LISA</t>
  </si>
  <si>
    <t>GERVASIO, DAVID</t>
  </si>
  <si>
    <t>L.GERVASIO@AOL.COM</t>
  </si>
  <si>
    <t>LeBlanc</t>
  </si>
  <si>
    <t>Carriro</t>
  </si>
  <si>
    <t>VELOSA, MANUEL</t>
  </si>
  <si>
    <t>Colonial South Chevrolet</t>
  </si>
  <si>
    <t>mvelosa@newbedfordschools.org</t>
  </si>
  <si>
    <t>DEGOUVEIA</t>
  </si>
  <si>
    <t>151124832</t>
  </si>
  <si>
    <t>CURRAN, THOMAS</t>
  </si>
  <si>
    <t>First Hyundai</t>
  </si>
  <si>
    <t>Rachel Gorham</t>
  </si>
  <si>
    <t>TCURRAN36@GMAIL.COM</t>
  </si>
  <si>
    <t>SMITH</t>
  </si>
  <si>
    <t>CARROLL, HEATHER</t>
  </si>
  <si>
    <t>Wareham Ford</t>
  </si>
  <si>
    <t>hcarroll23785@hotmail.com</t>
  </si>
  <si>
    <t>EVANS</t>
  </si>
  <si>
    <t>SWEENEY, MICHAEL</t>
  </si>
  <si>
    <t>BID Cars Boston</t>
  </si>
  <si>
    <t>MP_SWEENEY@YAHOO.COM</t>
  </si>
  <si>
    <t>ZARICZNY</t>
  </si>
  <si>
    <t>FRASER, TODD</t>
  </si>
  <si>
    <t>FRASER, COLBY</t>
  </si>
  <si>
    <t>Patriot Auto Group Inc d/b/a</t>
  </si>
  <si>
    <t>frasertc@verizon.net</t>
  </si>
  <si>
    <t>STONE</t>
  </si>
  <si>
    <t>MAYO</t>
  </si>
  <si>
    <t>151124882</t>
  </si>
  <si>
    <t>NGUYEN, SON</t>
  </si>
  <si>
    <t>NARSA AMC LLC d/b/a</t>
  </si>
  <si>
    <t>SBNGUYEN5@GMAIL.COM</t>
  </si>
  <si>
    <t>LE</t>
  </si>
  <si>
    <t>TETREAULT, TODD</t>
  </si>
  <si>
    <t>Metro Honda</t>
  </si>
  <si>
    <t>ACTETREAULT@GMAIL.COM</t>
  </si>
  <si>
    <t>LUCCHESI</t>
  </si>
  <si>
    <t>151124965</t>
  </si>
  <si>
    <t>CAYO, SCOTT</t>
  </si>
  <si>
    <t>CAYO, ASHLEY</t>
  </si>
  <si>
    <t>SCOTTCAYO@YMAIL.COM</t>
  </si>
  <si>
    <t>ROBIENZAK</t>
  </si>
  <si>
    <t>POWERS</t>
  </si>
  <si>
    <t># 14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</si>
  <si>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</si>
  <si>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</si>
  <si>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</si>
  <si>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</si>
  <si>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</si>
  <si>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</si>
  <si>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</si>
  <si>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auto mall-NARSA AMC LLC d/b/a</t>
  </si>
  <si>
    <t>honda of plym-Patriot Auto Group Inc d/b/a</t>
  </si>
  <si>
    <t>2330-8209</t>
  </si>
  <si>
    <t>Funding Worksheet - Signoff Version</t>
  </si>
  <si>
    <t># 4</t>
  </si>
  <si>
    <t>Original Notes Delivered</t>
  </si>
  <si>
    <t>Delivered by:</t>
  </si>
  <si>
    <t>Received by:</t>
  </si>
  <si>
    <t xml:space="preserve">Date Signed: </t>
  </si>
  <si>
    <t>151124717 E</t>
  </si>
  <si>
    <t>151124733 E</t>
  </si>
  <si>
    <t>151124759 E</t>
  </si>
  <si>
    <t>151124767 E</t>
  </si>
  <si>
    <t>151124791 E</t>
  </si>
  <si>
    <t>151124808 E</t>
  </si>
  <si>
    <t>151124840 E</t>
  </si>
  <si>
    <t>151124866 E</t>
  </si>
  <si>
    <t>151124874 E</t>
  </si>
  <si>
    <t>151124890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</si>
</sst>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right"/>
    </xf>
    <xf numFmtId="7" fontId="1" fillId="0" borderId="0" xfId="0" applyNumberFormat="1" applyFont="1"/>
    <xf numFmtId="7" fontId="3" fillId="0" borderId="0" xfId="0" applyNumberFormat="1" applyFont="1"/>
    <xf numFmtId="0" fontId="3" fillId="0" borderId="0" xfId="0" applyFont="1"/>
    <xf numFmtId="0" fontId="2" fillId="0" borderId="0" xfId="0" applyFont="1"/>
    <xf numFmtId="7" fontId="2" fillId="0" borderId="0" xfId="0" applyNumberFormat="1" applyFont="1"/>
    <xf numFmtId="0" fontId="1" fillId="0" borderId="1" xfId="0" applyFont="1" applyBorder="1"/>
    <xf numFmtId="1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/>
  </cellXfs>
  <cellStyles count="1">
    <cellStyle name="Normal" xfId="0" builtinId="0"/>
  </cellStyles>
  <dxfs count="35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M18" headerRowDxfId="2" dataDxfId="0" totalsRowDxfId="1">
  <tableColumns count="13">
    <tableColumn id="1" xr3:uid="{00000000-0010-0000-0000-000001000000}" name="Account Number" dataDxfId="15"/>
    <tableColumn id="2" xr3:uid="{00000000-0010-0000-0000-000002000000}" name="Portal" dataDxfId="14"/>
    <tableColumn id="3" xr3:uid="{00000000-0010-0000-0000-000003000000}" name="Contract Type" dataDxfId="13"/>
    <tableColumn id="4" xr3:uid="{00000000-0010-0000-0000-000004000000}" name="Applicant Name" dataDxfId="12"/>
    <tableColumn id="5" xr3:uid="{00000000-0010-0000-0000-000005000000}" name="Co-Applicant Name" dataDxfId="11"/>
    <tableColumn id="6" xr3:uid="{00000000-0010-0000-0000-000006000000}" name="Dealer Name" dataDxfId="10"/>
    <tableColumn id="7" xr3:uid="{00000000-0010-0000-0000-000007000000}" name="Funded by" dataDxfId="9"/>
    <tableColumn id="8" xr3:uid="{00000000-0010-0000-0000-000008000000}" name="Amount Financed" dataDxfId="8"/>
    <tableColumn id="9" xr3:uid="{00000000-0010-0000-0000-000009000000}" name="Applicant Email" dataDxfId="7"/>
    <tableColumn id="10" xr3:uid="{00000000-0010-0000-0000-00000A000000}" name="Co-Applicant Email" dataDxfId="6"/>
    <tableColumn id="11" xr3:uid="{00000000-0010-0000-0000-00000B000000}" name="App MMN" dataDxfId="5"/>
    <tableColumn id="12" xr3:uid="{00000000-0010-0000-0000-00000C000000}" name="Co-App MMN" dataDxfId="4"/>
    <tableColumn id="13" xr3:uid="{00000000-0010-0000-0000-00000D000000}" name="Business Name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EE3E65-3FA3-43BE-B5E2-D27CA6442B86}" name="Table_14" displayName="Table_14" ref="A3:H30" headerRowDxfId="26" dataDxfId="24" totalsRowDxfId="25">
  <sortState xmlns:xlrd2="http://schemas.microsoft.com/office/spreadsheetml/2017/richdata2" ref="A4:H30">
    <sortCondition ref="A4:A30"/>
  </sortState>
  <tableColumns count="8">
    <tableColumn id="1" xr3:uid="{BF3E7FB1-C75D-4B90-AE63-8B1ABEC32F32}" name="Dealer Name" dataDxfId="34"/>
    <tableColumn id="8" xr3:uid="{83414E98-CE7B-4C80-AB06-7A6144C6F305}" name="Column2" dataDxfId="33"/>
    <tableColumn id="2" xr3:uid="{2DC4CCC9-4E08-4061-A879-126C47BC785A}" name="Funded by" dataDxfId="32"/>
    <tableColumn id="3" xr3:uid="{042E22B4-83FD-4955-BEFE-6FA673C29607}" name="Dealer Flat" dataDxfId="31"/>
    <tableColumn id="4" xr3:uid="{6379B539-4065-462E-B069-6ADE5785C43F}" name="Dealer Split" dataDxfId="30"/>
    <tableColumn id="5" xr3:uid="{0C3D29FF-220D-42CB-BE32-B91EA31E4A7C}" name="Net to Dealer" dataDxfId="29"/>
    <tableColumn id="7" xr3:uid="{7916D16F-B982-4FFA-84ED-521448A2A651}" name="Column1" dataDxfId="28"/>
    <tableColumn id="6" xr3:uid="{39AB0D22-D2C6-451E-99C1-DC3BE2AFA82A}" name="Contracted Amount Financed" dataDxfId="2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B65DFD-B585-4D51-95E5-FA71119EBFA8}" name="Table_16" displayName="Table_16" ref="A3:E8" headerRowDxfId="18" dataDxfId="16" totalsRowDxfId="17">
  <tableColumns count="5">
    <tableColumn id="1" xr3:uid="{6B0727E0-D784-49C5-9DD9-F4CE0A5B47D5}" name="Account Number" dataDxfId="23"/>
    <tableColumn id="2" xr3:uid="{E0F7E42F-55EE-488D-B875-770EE6797E27}" name="Contract Type" dataDxfId="22"/>
    <tableColumn id="3" xr3:uid="{E6BE4833-18A7-4F12-85D6-3CECA9F17C6F}" name="Applicant Name" dataDxfId="21"/>
    <tableColumn id="4" xr3:uid="{1E9A9900-C119-4EB6-9AF3-E24FDEE209CC}" name="Co-Applicant Name" dataDxfId="20"/>
    <tableColumn id="5" xr3:uid="{C1B9D45A-E015-41D5-AF00-8B522DA54BD0}" name="Dealer Name" dataDxfId="1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0"/>
  <sheetViews>
    <sheetView tabSelected="1" workbookViewId="0">
      <pane ySplit="3" topLeftCell="A8" activePane="bottomLeft" state="frozen"/>
      <selection pane="bottomLeft" activeCell="F1" sqref="F1"/>
    </sheetView>
  </sheetViews>
  <sheetFormatPr defaultRowHeight="15.75" x14ac:dyDescent="0.25"/>
  <cols>
    <col min="1" max="1" width="12.140625" style="1" customWidth="1"/>
    <col min="2" max="2" width="12.140625" style="1" bestFit="1" customWidth="1"/>
    <col min="3" max="3" width="14" style="1" bestFit="1" customWidth="1"/>
    <col min="4" max="4" width="19.42578125" style="1" bestFit="1" customWidth="1"/>
    <col min="5" max="5" width="18.7109375" style="1" bestFit="1" customWidth="1"/>
    <col min="6" max="6" width="26.7109375" style="1" bestFit="1" customWidth="1"/>
    <col min="7" max="7" width="17.7109375" style="1" bestFit="1" customWidth="1"/>
    <col min="8" max="8" width="17.140625" style="1" bestFit="1" customWidth="1"/>
    <col min="9" max="9" width="32.28515625" style="1" bestFit="1" customWidth="1"/>
    <col min="10" max="10" width="18.42578125" style="1" hidden="1" customWidth="1"/>
    <col min="11" max="11" width="18.140625" style="1" bestFit="1" customWidth="1"/>
    <col min="12" max="12" width="12.85546875" style="1" bestFit="1" customWidth="1"/>
    <col min="13" max="13" width="18.140625" style="1" hidden="1" customWidth="1"/>
    <col min="14" max="16384" width="9.140625" style="1"/>
  </cols>
  <sheetData>
    <row r="1" spans="1:13" ht="30" customHeight="1" x14ac:dyDescent="0.25">
      <c r="A1" s="12">
        <v>45629</v>
      </c>
      <c r="J1" s="1" t="s">
        <v>2</v>
      </c>
      <c r="K1" s="13">
        <v>45629</v>
      </c>
      <c r="L1" s="14"/>
      <c r="M1" s="2">
        <v>45629.999988425923</v>
      </c>
    </row>
    <row r="2" spans="1:13" ht="30" customHeight="1" x14ac:dyDescent="0.25">
      <c r="A2" s="3" t="s">
        <v>0</v>
      </c>
      <c r="B2" s="4"/>
      <c r="C2" s="4"/>
      <c r="D2" s="4"/>
      <c r="E2" s="4"/>
      <c r="F2" s="4"/>
      <c r="G2" s="5" t="s">
        <v>1</v>
      </c>
      <c r="H2" s="4"/>
      <c r="I2" s="4"/>
      <c r="J2" s="4"/>
      <c r="K2" s="4"/>
      <c r="L2" s="4"/>
      <c r="M2" s="4"/>
    </row>
    <row r="3" spans="1:13" ht="30" customHeight="1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</row>
    <row r="4" spans="1:13" ht="30" customHeight="1" x14ac:dyDescent="0.25">
      <c r="A4" s="1" t="s">
        <v>106</v>
      </c>
      <c r="B4" s="1" t="s">
        <v>16</v>
      </c>
      <c r="C4" s="1" t="s">
        <v>17</v>
      </c>
      <c r="D4" s="1" t="s">
        <v>18</v>
      </c>
      <c r="F4" s="1" t="s">
        <v>19</v>
      </c>
      <c r="G4" s="1" t="s">
        <v>20</v>
      </c>
      <c r="H4" s="6">
        <v>40459.86</v>
      </c>
      <c r="I4" s="1" t="s">
        <v>21</v>
      </c>
      <c r="K4" s="1" t="s">
        <v>22</v>
      </c>
    </row>
    <row r="5" spans="1:13" ht="30" customHeight="1" x14ac:dyDescent="0.25">
      <c r="A5" s="1" t="s">
        <v>107</v>
      </c>
      <c r="B5" s="1" t="s">
        <v>23</v>
      </c>
      <c r="C5" s="1" t="s">
        <v>17</v>
      </c>
      <c r="D5" s="1" t="s">
        <v>24</v>
      </c>
      <c r="E5" s="1" t="s">
        <v>25</v>
      </c>
      <c r="F5" s="1" t="s">
        <v>26</v>
      </c>
      <c r="G5" s="1" t="s">
        <v>20</v>
      </c>
      <c r="H5" s="6">
        <v>36767.440000000002</v>
      </c>
      <c r="I5" s="1" t="s">
        <v>27</v>
      </c>
      <c r="K5" s="1" t="s">
        <v>28</v>
      </c>
      <c r="L5" s="1" t="s">
        <v>29</v>
      </c>
    </row>
    <row r="6" spans="1:13" ht="30" customHeight="1" x14ac:dyDescent="0.25">
      <c r="A6" s="1" t="s">
        <v>108</v>
      </c>
      <c r="B6" s="1" t="s">
        <v>23</v>
      </c>
      <c r="C6" s="1" t="s">
        <v>17</v>
      </c>
      <c r="D6" s="1" t="s">
        <v>30</v>
      </c>
      <c r="F6" s="1" t="s">
        <v>31</v>
      </c>
      <c r="G6" s="1" t="s">
        <v>32</v>
      </c>
      <c r="H6" s="6">
        <v>17382.38</v>
      </c>
      <c r="I6" s="1" t="s">
        <v>33</v>
      </c>
      <c r="K6" s="1" t="s">
        <v>34</v>
      </c>
    </row>
    <row r="7" spans="1:13" ht="30" customHeight="1" x14ac:dyDescent="0.25">
      <c r="A7" s="1" t="s">
        <v>109</v>
      </c>
      <c r="B7" s="1" t="s">
        <v>23</v>
      </c>
      <c r="C7" s="1" t="s">
        <v>17</v>
      </c>
      <c r="D7" s="1" t="s">
        <v>35</v>
      </c>
      <c r="F7" s="1" t="s">
        <v>36</v>
      </c>
      <c r="G7" s="1" t="s">
        <v>32</v>
      </c>
      <c r="H7" s="6">
        <v>23227.72</v>
      </c>
      <c r="I7" s="1" t="s">
        <v>37</v>
      </c>
      <c r="K7" s="1" t="s">
        <v>38</v>
      </c>
    </row>
    <row r="8" spans="1:13" ht="30" customHeight="1" x14ac:dyDescent="0.25">
      <c r="A8" s="1" t="s">
        <v>39</v>
      </c>
      <c r="B8" s="1" t="s">
        <v>23</v>
      </c>
      <c r="C8" s="1" t="s">
        <v>40</v>
      </c>
      <c r="D8" s="1" t="s">
        <v>41</v>
      </c>
      <c r="F8" s="1" t="s">
        <v>42</v>
      </c>
      <c r="G8" s="1" t="s">
        <v>32</v>
      </c>
      <c r="H8" s="6">
        <v>47846.23</v>
      </c>
      <c r="I8" s="1" t="s">
        <v>43</v>
      </c>
      <c r="K8" s="1" t="s">
        <v>44</v>
      </c>
    </row>
    <row r="9" spans="1:13" ht="30" customHeight="1" x14ac:dyDescent="0.25">
      <c r="A9" s="1" t="s">
        <v>110</v>
      </c>
      <c r="B9" s="1" t="s">
        <v>23</v>
      </c>
      <c r="C9" s="1" t="s">
        <v>17</v>
      </c>
      <c r="D9" s="1" t="s">
        <v>45</v>
      </c>
      <c r="E9" s="1" t="s">
        <v>46</v>
      </c>
      <c r="F9" s="1" t="s">
        <v>26</v>
      </c>
      <c r="G9" s="1" t="s">
        <v>32</v>
      </c>
      <c r="H9" s="6">
        <v>40399.19</v>
      </c>
      <c r="I9" s="1" t="s">
        <v>47</v>
      </c>
      <c r="K9" s="1" t="s">
        <v>48</v>
      </c>
      <c r="L9" s="1" t="s">
        <v>49</v>
      </c>
    </row>
    <row r="10" spans="1:13" ht="30" customHeight="1" x14ac:dyDescent="0.25">
      <c r="A10" s="1" t="s">
        <v>111</v>
      </c>
      <c r="B10" s="1" t="s">
        <v>16</v>
      </c>
      <c r="C10" s="1" t="s">
        <v>17</v>
      </c>
      <c r="D10" s="1" t="s">
        <v>50</v>
      </c>
      <c r="F10" s="1" t="s">
        <v>51</v>
      </c>
      <c r="G10" s="1" t="s">
        <v>32</v>
      </c>
      <c r="H10" s="6">
        <v>17896.060000000001</v>
      </c>
      <c r="I10" s="1" t="s">
        <v>52</v>
      </c>
      <c r="K10" s="1" t="s">
        <v>53</v>
      </c>
    </row>
    <row r="11" spans="1:13" ht="30" customHeight="1" x14ac:dyDescent="0.25">
      <c r="A11" s="1" t="s">
        <v>54</v>
      </c>
      <c r="B11" s="1" t="s">
        <v>23</v>
      </c>
      <c r="C11" s="1" t="s">
        <v>40</v>
      </c>
      <c r="D11" s="1" t="s">
        <v>55</v>
      </c>
      <c r="F11" s="1" t="s">
        <v>56</v>
      </c>
      <c r="G11" s="1" t="s">
        <v>57</v>
      </c>
      <c r="H11" s="6">
        <v>28982.44</v>
      </c>
      <c r="I11" s="1" t="s">
        <v>58</v>
      </c>
      <c r="K11" s="1" t="s">
        <v>59</v>
      </c>
    </row>
    <row r="12" spans="1:13" ht="30" customHeight="1" x14ac:dyDescent="0.25">
      <c r="A12" s="1" t="s">
        <v>112</v>
      </c>
      <c r="B12" s="1" t="s">
        <v>16</v>
      </c>
      <c r="C12" s="1" t="s">
        <v>17</v>
      </c>
      <c r="D12" s="1" t="s">
        <v>60</v>
      </c>
      <c r="F12" s="1" t="s">
        <v>61</v>
      </c>
      <c r="G12" s="1" t="s">
        <v>57</v>
      </c>
      <c r="H12" s="6">
        <v>28556.13</v>
      </c>
      <c r="I12" s="1" t="s">
        <v>62</v>
      </c>
      <c r="K12" s="1" t="s">
        <v>63</v>
      </c>
    </row>
    <row r="13" spans="1:13" ht="30" customHeight="1" x14ac:dyDescent="0.25">
      <c r="A13" s="1" t="s">
        <v>113</v>
      </c>
      <c r="B13" s="1" t="s">
        <v>23</v>
      </c>
      <c r="C13" s="1" t="s">
        <v>17</v>
      </c>
      <c r="D13" s="1" t="s">
        <v>64</v>
      </c>
      <c r="F13" s="1" t="s">
        <v>65</v>
      </c>
      <c r="G13" s="1" t="s">
        <v>57</v>
      </c>
      <c r="H13" s="6">
        <v>25246.95</v>
      </c>
      <c r="I13" s="1" t="s">
        <v>66</v>
      </c>
      <c r="K13" s="1" t="s">
        <v>67</v>
      </c>
    </row>
    <row r="14" spans="1:13" ht="30" customHeight="1" x14ac:dyDescent="0.25">
      <c r="A14" s="1" t="s">
        <v>114</v>
      </c>
      <c r="B14" s="1" t="s">
        <v>16</v>
      </c>
      <c r="C14" s="1" t="s">
        <v>17</v>
      </c>
      <c r="D14" s="1" t="s">
        <v>68</v>
      </c>
      <c r="E14" s="1" t="s">
        <v>69</v>
      </c>
      <c r="F14" s="1" t="s">
        <v>70</v>
      </c>
      <c r="G14" s="1" t="s">
        <v>57</v>
      </c>
      <c r="H14" s="6">
        <v>22683</v>
      </c>
      <c r="I14" s="1" t="s">
        <v>71</v>
      </c>
      <c r="K14" s="1" t="s">
        <v>72</v>
      </c>
      <c r="L14" s="1" t="s">
        <v>73</v>
      </c>
    </row>
    <row r="15" spans="1:13" ht="30" customHeight="1" x14ac:dyDescent="0.25">
      <c r="A15" s="1" t="s">
        <v>74</v>
      </c>
      <c r="B15" s="1" t="s">
        <v>23</v>
      </c>
      <c r="C15" s="1" t="s">
        <v>40</v>
      </c>
      <c r="D15" s="1" t="s">
        <v>75</v>
      </c>
      <c r="F15" s="1" t="s">
        <v>76</v>
      </c>
      <c r="G15" s="1" t="s">
        <v>20</v>
      </c>
      <c r="H15" s="6">
        <v>7819.69</v>
      </c>
      <c r="I15" s="1" t="s">
        <v>77</v>
      </c>
      <c r="K15" s="1" t="s">
        <v>78</v>
      </c>
    </row>
    <row r="16" spans="1:13" ht="30" customHeight="1" x14ac:dyDescent="0.25">
      <c r="A16" s="1" t="s">
        <v>115</v>
      </c>
      <c r="B16" s="1" t="s">
        <v>23</v>
      </c>
      <c r="C16" s="1" t="s">
        <v>17</v>
      </c>
      <c r="D16" s="1" t="s">
        <v>79</v>
      </c>
      <c r="F16" s="1" t="s">
        <v>80</v>
      </c>
      <c r="G16" s="1" t="s">
        <v>20</v>
      </c>
      <c r="H16" s="6">
        <v>27740.29</v>
      </c>
      <c r="I16" s="1" t="s">
        <v>81</v>
      </c>
      <c r="K16" s="1" t="s">
        <v>82</v>
      </c>
    </row>
    <row r="17" spans="1:13" ht="30" customHeight="1" x14ac:dyDescent="0.25">
      <c r="A17" s="1" t="s">
        <v>83</v>
      </c>
      <c r="B17" s="1" t="s">
        <v>23</v>
      </c>
      <c r="C17" s="1" t="s">
        <v>40</v>
      </c>
      <c r="D17" s="1" t="s">
        <v>84</v>
      </c>
      <c r="E17" s="1" t="s">
        <v>85</v>
      </c>
      <c r="F17" s="1" t="s">
        <v>31</v>
      </c>
      <c r="G17" s="1" t="s">
        <v>57</v>
      </c>
      <c r="H17" s="6">
        <v>16466.13</v>
      </c>
      <c r="I17" s="1" t="s">
        <v>86</v>
      </c>
      <c r="K17" s="1" t="s">
        <v>87</v>
      </c>
      <c r="L17" s="1" t="s">
        <v>88</v>
      </c>
    </row>
    <row r="18" spans="1:13" ht="30" customHeight="1" x14ac:dyDescent="0.25">
      <c r="A18" s="9"/>
      <c r="B18" s="9"/>
      <c r="C18" s="9"/>
      <c r="D18" s="9" t="s">
        <v>89</v>
      </c>
      <c r="E18" s="9"/>
      <c r="F18" s="9"/>
      <c r="G18" s="9"/>
      <c r="H18" s="10">
        <f>SUM(H4:H17)</f>
        <v>381473.51</v>
      </c>
      <c r="I18" s="9"/>
      <c r="J18" s="9"/>
      <c r="K18" s="9"/>
      <c r="L18" s="9"/>
      <c r="M18" s="9"/>
    </row>
    <row r="19" spans="1:13" ht="30" customHeight="1" x14ac:dyDescent="0.25"/>
    <row r="20" spans="1:13" ht="30" customHeight="1" x14ac:dyDescent="0.25"/>
  </sheetData>
  <mergeCells count="3">
    <mergeCell ref="A2:F2"/>
    <mergeCell ref="G2:M2"/>
    <mergeCell ref="K1:L1"/>
  </mergeCells>
  <pageMargins left="0.7" right="0.7" top="0.75" bottom="0.75" header="0.3" footer="0.3"/>
  <pageSetup paperSize="5" scale="79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F2CE1-B0BB-48A8-A12C-099B3367ADAD}">
  <sheetPr>
    <pageSetUpPr fitToPage="1"/>
  </sheetPr>
  <dimension ref="A1:H30"/>
  <sheetViews>
    <sheetView topLeftCell="A18" workbookViewId="0">
      <selection activeCell="N14" sqref="N14"/>
    </sheetView>
  </sheetViews>
  <sheetFormatPr defaultRowHeight="15.75" x14ac:dyDescent="0.25"/>
  <cols>
    <col min="1" max="1" width="22" style="1" customWidth="1"/>
    <col min="2" max="2" width="11.42578125" style="1" customWidth="1"/>
    <col min="3" max="3" width="16.7109375" style="1" customWidth="1"/>
    <col min="4" max="4" width="15.28515625" style="1" customWidth="1"/>
    <col min="5" max="5" width="17.5703125" style="1" customWidth="1"/>
    <col min="6" max="7" width="15.7109375" style="1" customWidth="1"/>
    <col min="8" max="8" width="17.85546875" style="1" customWidth="1"/>
    <col min="9" max="16384" width="9.140625" style="1"/>
  </cols>
  <sheetData>
    <row r="1" spans="1:8" x14ac:dyDescent="0.25">
      <c r="E1" s="2"/>
      <c r="H1" s="2">
        <v>45629.999988425923</v>
      </c>
    </row>
    <row r="2" spans="1:8" x14ac:dyDescent="0.25">
      <c r="A2" s="3" t="s">
        <v>0</v>
      </c>
      <c r="B2" s="3"/>
      <c r="C2" s="4"/>
      <c r="D2" s="4"/>
      <c r="E2" s="5" t="s">
        <v>90</v>
      </c>
      <c r="F2" s="4"/>
      <c r="G2" s="4"/>
      <c r="H2" s="4"/>
    </row>
    <row r="3" spans="1:8" x14ac:dyDescent="0.25">
      <c r="A3" s="1" t="s">
        <v>8</v>
      </c>
      <c r="B3" s="1" t="s">
        <v>96</v>
      </c>
      <c r="C3" s="1" t="s">
        <v>9</v>
      </c>
      <c r="D3" s="1" t="s">
        <v>91</v>
      </c>
      <c r="E3" s="1" t="s">
        <v>92</v>
      </c>
      <c r="F3" s="1" t="s">
        <v>93</v>
      </c>
      <c r="G3" s="1" t="s">
        <v>95</v>
      </c>
      <c r="H3" s="1" t="s">
        <v>94</v>
      </c>
    </row>
    <row r="4" spans="1:8" ht="27" customHeight="1" x14ac:dyDescent="0.25">
      <c r="A4" s="1" t="s">
        <v>97</v>
      </c>
      <c r="C4" s="1" t="s">
        <v>20</v>
      </c>
      <c r="D4" s="6">
        <v>100</v>
      </c>
      <c r="E4" s="6">
        <v>0</v>
      </c>
      <c r="F4" s="7">
        <v>7744.69</v>
      </c>
      <c r="G4" s="6"/>
      <c r="H4" s="6">
        <v>7819.69</v>
      </c>
    </row>
    <row r="5" spans="1:8" ht="27" customHeight="1" x14ac:dyDescent="0.25">
      <c r="D5" s="6"/>
      <c r="E5" s="6"/>
      <c r="F5" s="7"/>
      <c r="G5" s="6"/>
      <c r="H5" s="6"/>
    </row>
    <row r="6" spans="1:8" ht="27" customHeight="1" x14ac:dyDescent="0.25">
      <c r="A6" s="1" t="s">
        <v>65</v>
      </c>
      <c r="C6" s="1" t="s">
        <v>57</v>
      </c>
      <c r="D6" s="6">
        <v>500</v>
      </c>
      <c r="E6" s="6">
        <v>0</v>
      </c>
      <c r="F6" s="7">
        <v>25171.95</v>
      </c>
      <c r="G6" s="6"/>
      <c r="H6" s="6">
        <v>25246.95</v>
      </c>
    </row>
    <row r="7" spans="1:8" ht="27" customHeight="1" x14ac:dyDescent="0.25">
      <c r="D7" s="6"/>
      <c r="E7" s="6"/>
      <c r="F7" s="6"/>
      <c r="G7" s="6"/>
      <c r="H7" s="6"/>
    </row>
    <row r="8" spans="1:8" ht="27" customHeight="1" x14ac:dyDescent="0.25">
      <c r="A8" s="1" t="s">
        <v>31</v>
      </c>
      <c r="C8" s="1" t="s">
        <v>32</v>
      </c>
      <c r="D8" s="6">
        <v>350</v>
      </c>
      <c r="E8" s="6">
        <v>0</v>
      </c>
      <c r="F8" s="6">
        <v>17307.38</v>
      </c>
      <c r="G8" s="6"/>
      <c r="H8" s="6">
        <v>17382.38</v>
      </c>
    </row>
    <row r="9" spans="1:8" ht="27" customHeight="1" x14ac:dyDescent="0.25">
      <c r="A9" s="1" t="s">
        <v>31</v>
      </c>
      <c r="C9" s="1" t="s">
        <v>57</v>
      </c>
      <c r="D9" s="6">
        <v>350</v>
      </c>
      <c r="E9" s="6">
        <v>0</v>
      </c>
      <c r="F9" s="6">
        <v>16391.13</v>
      </c>
      <c r="G9" s="7">
        <f>SUM(F8:F9)</f>
        <v>33698.51</v>
      </c>
      <c r="H9" s="6">
        <v>16466.13</v>
      </c>
    </row>
    <row r="10" spans="1:8" ht="27" customHeight="1" x14ac:dyDescent="0.25">
      <c r="D10" s="6"/>
      <c r="E10" s="6"/>
      <c r="F10" s="6"/>
      <c r="G10" s="6"/>
      <c r="H10" s="6"/>
    </row>
    <row r="11" spans="1:8" ht="27" customHeight="1" x14ac:dyDescent="0.25">
      <c r="A11" s="1" t="s">
        <v>51</v>
      </c>
      <c r="C11" s="1" t="s">
        <v>32</v>
      </c>
      <c r="D11" s="6">
        <v>350</v>
      </c>
      <c r="E11" s="6">
        <v>0</v>
      </c>
      <c r="F11" s="7">
        <v>17821.060000000001</v>
      </c>
      <c r="G11" s="6"/>
      <c r="H11" s="6">
        <v>17896.060000000001</v>
      </c>
    </row>
    <row r="12" spans="1:8" ht="27" customHeight="1" x14ac:dyDescent="0.25">
      <c r="D12" s="6"/>
      <c r="E12" s="6"/>
      <c r="F12" s="7"/>
      <c r="G12" s="6"/>
      <c r="H12" s="6"/>
    </row>
    <row r="13" spans="1:8" ht="27" customHeight="1" x14ac:dyDescent="0.25">
      <c r="A13" s="1" t="s">
        <v>56</v>
      </c>
      <c r="B13" s="8" t="s">
        <v>99</v>
      </c>
      <c r="C13" s="1" t="s">
        <v>57</v>
      </c>
      <c r="D13" s="6">
        <v>500</v>
      </c>
      <c r="E13" s="6">
        <v>0</v>
      </c>
      <c r="F13" s="7">
        <v>28907.439999999999</v>
      </c>
      <c r="G13" s="6"/>
      <c r="H13" s="6">
        <v>28982.44</v>
      </c>
    </row>
    <row r="14" spans="1:8" ht="27" customHeight="1" x14ac:dyDescent="0.25">
      <c r="D14" s="6"/>
      <c r="E14" s="6"/>
      <c r="F14" s="7"/>
      <c r="G14" s="6"/>
      <c r="H14" s="6"/>
    </row>
    <row r="15" spans="1:8" ht="27" customHeight="1" x14ac:dyDescent="0.25">
      <c r="A15" s="1" t="s">
        <v>19</v>
      </c>
      <c r="C15" s="1" t="s">
        <v>20</v>
      </c>
      <c r="D15" s="6">
        <v>700</v>
      </c>
      <c r="E15" s="6">
        <v>0</v>
      </c>
      <c r="F15" s="7">
        <v>40384.86</v>
      </c>
      <c r="G15" s="6"/>
      <c r="H15" s="6">
        <v>40459.86</v>
      </c>
    </row>
    <row r="16" spans="1:8" ht="27" customHeight="1" x14ac:dyDescent="0.25">
      <c r="D16" s="6"/>
      <c r="E16" s="6"/>
      <c r="F16" s="7"/>
      <c r="G16" s="6"/>
      <c r="H16" s="6"/>
    </row>
    <row r="17" spans="1:8" ht="27" customHeight="1" x14ac:dyDescent="0.25">
      <c r="A17" s="1" t="s">
        <v>98</v>
      </c>
      <c r="C17" s="1" t="s">
        <v>57</v>
      </c>
      <c r="D17" s="6">
        <v>450</v>
      </c>
      <c r="E17" s="6">
        <v>0</v>
      </c>
      <c r="F17" s="7">
        <v>22608</v>
      </c>
      <c r="G17" s="6"/>
      <c r="H17" s="6">
        <v>22683</v>
      </c>
    </row>
    <row r="18" spans="1:8" ht="27" customHeight="1" x14ac:dyDescent="0.25">
      <c r="D18" s="6"/>
      <c r="E18" s="6"/>
      <c r="F18" s="7"/>
      <c r="G18" s="6"/>
      <c r="H18" s="6"/>
    </row>
    <row r="19" spans="1:8" ht="27" customHeight="1" x14ac:dyDescent="0.25">
      <c r="A19" s="1" t="s">
        <v>42</v>
      </c>
      <c r="C19" s="1" t="s">
        <v>32</v>
      </c>
      <c r="D19" s="6">
        <v>800</v>
      </c>
      <c r="E19" s="6">
        <v>0</v>
      </c>
      <c r="F19" s="7">
        <v>47771.23</v>
      </c>
      <c r="G19" s="6"/>
      <c r="H19" s="6">
        <v>47846.23</v>
      </c>
    </row>
    <row r="20" spans="1:8" ht="27" customHeight="1" x14ac:dyDescent="0.25">
      <c r="D20" s="6"/>
      <c r="E20" s="6"/>
      <c r="F20" s="7"/>
      <c r="G20" s="6"/>
      <c r="H20" s="6"/>
    </row>
    <row r="21" spans="1:8" ht="27" customHeight="1" x14ac:dyDescent="0.25">
      <c r="A21" s="1" t="s">
        <v>80</v>
      </c>
      <c r="C21" s="1" t="s">
        <v>20</v>
      </c>
      <c r="D21" s="6">
        <v>500</v>
      </c>
      <c r="E21" s="6">
        <v>0</v>
      </c>
      <c r="F21" s="7">
        <v>27665.29</v>
      </c>
      <c r="G21" s="6"/>
      <c r="H21" s="6">
        <v>27740.29</v>
      </c>
    </row>
    <row r="22" spans="1:8" ht="27" customHeight="1" x14ac:dyDescent="0.25">
      <c r="D22" s="6"/>
      <c r="E22" s="6"/>
      <c r="F22" s="7"/>
      <c r="G22" s="6"/>
      <c r="H22" s="6"/>
    </row>
    <row r="23" spans="1:8" ht="27" customHeight="1" x14ac:dyDescent="0.25">
      <c r="A23" s="1" t="s">
        <v>36</v>
      </c>
      <c r="C23" s="1" t="s">
        <v>32</v>
      </c>
      <c r="D23" s="6">
        <v>450</v>
      </c>
      <c r="E23" s="6">
        <v>0</v>
      </c>
      <c r="F23" s="7">
        <v>23152.720000000001</v>
      </c>
      <c r="G23" s="6"/>
      <c r="H23" s="6">
        <v>23227.72</v>
      </c>
    </row>
    <row r="24" spans="1:8" ht="27" customHeight="1" x14ac:dyDescent="0.25">
      <c r="D24" s="6"/>
      <c r="E24" s="6"/>
      <c r="F24" s="6"/>
      <c r="G24" s="6"/>
      <c r="H24" s="6"/>
    </row>
    <row r="25" spans="1:8" ht="27" customHeight="1" x14ac:dyDescent="0.25">
      <c r="A25" s="1" t="s">
        <v>26</v>
      </c>
      <c r="C25" s="1" t="s">
        <v>32</v>
      </c>
      <c r="D25" s="6">
        <v>700</v>
      </c>
      <c r="E25" s="6">
        <v>0</v>
      </c>
      <c r="F25" s="6">
        <v>40324.19</v>
      </c>
      <c r="G25" s="6"/>
      <c r="H25" s="6">
        <v>40399.19</v>
      </c>
    </row>
    <row r="26" spans="1:8" ht="27" customHeight="1" x14ac:dyDescent="0.25">
      <c r="A26" s="1" t="s">
        <v>26</v>
      </c>
      <c r="C26" s="1" t="s">
        <v>20</v>
      </c>
      <c r="D26" s="6">
        <v>650</v>
      </c>
      <c r="E26" s="6">
        <v>0</v>
      </c>
      <c r="F26" s="6">
        <v>36692.44</v>
      </c>
      <c r="G26" s="7">
        <f>SUM(F25:F26)</f>
        <v>77016.63</v>
      </c>
      <c r="H26" s="6">
        <v>36767.440000000002</v>
      </c>
    </row>
    <row r="27" spans="1:8" ht="27" customHeight="1" x14ac:dyDescent="0.25">
      <c r="D27" s="6"/>
      <c r="E27" s="6"/>
      <c r="F27" s="6"/>
      <c r="G27" s="6"/>
      <c r="H27" s="6"/>
    </row>
    <row r="28" spans="1:8" ht="27" customHeight="1" x14ac:dyDescent="0.25">
      <c r="A28" s="1" t="s">
        <v>61</v>
      </c>
      <c r="C28" s="1" t="s">
        <v>57</v>
      </c>
      <c r="D28" s="6">
        <v>500</v>
      </c>
      <c r="E28" s="6">
        <v>0</v>
      </c>
      <c r="F28" s="7">
        <v>28481.13</v>
      </c>
      <c r="G28" s="6"/>
      <c r="H28" s="6">
        <v>28556.13</v>
      </c>
    </row>
    <row r="29" spans="1:8" x14ac:dyDescent="0.25">
      <c r="D29" s="6"/>
      <c r="E29" s="6"/>
      <c r="F29" s="6"/>
      <c r="G29" s="6"/>
      <c r="H29" s="6"/>
    </row>
    <row r="30" spans="1:8" x14ac:dyDescent="0.25">
      <c r="A30" s="9"/>
      <c r="B30" s="9"/>
      <c r="C30" s="9"/>
      <c r="D30" s="10">
        <f>SUM(D4:D28)</f>
        <v>6900</v>
      </c>
      <c r="E30" s="10">
        <f>SUM(E4:E28)</f>
        <v>0</v>
      </c>
      <c r="F30" s="10">
        <f>SUM(F4:F28)</f>
        <v>380423.51</v>
      </c>
      <c r="G30" s="10"/>
      <c r="H30" s="10">
        <f>SUM(H4:H28)</f>
        <v>381473.51</v>
      </c>
    </row>
  </sheetData>
  <mergeCells count="2">
    <mergeCell ref="A2:D2"/>
    <mergeCell ref="E2:H2"/>
  </mergeCells>
  <pageMargins left="0.7" right="0.7" top="0.75" bottom="0.75" header="0.3" footer="0.3"/>
  <pageSetup scale="86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59313-F714-4DD8-AEE8-7EC35ED25095}">
  <sheetPr>
    <pageSetUpPr fitToPage="1"/>
  </sheetPr>
  <dimension ref="A1:E22"/>
  <sheetViews>
    <sheetView workbookViewId="0">
      <selection activeCell="H14" sqref="H14"/>
    </sheetView>
  </sheetViews>
  <sheetFormatPr defaultRowHeight="15.75" x14ac:dyDescent="0.25"/>
  <cols>
    <col min="1" max="1" width="14.85546875" style="1" customWidth="1"/>
    <col min="2" max="2" width="13" style="1" customWidth="1"/>
    <col min="3" max="3" width="14" style="1" customWidth="1"/>
    <col min="4" max="4" width="14.5703125" style="1" customWidth="1"/>
    <col min="5" max="5" width="27.28515625" style="1" customWidth="1"/>
    <col min="6" max="16384" width="9.140625" style="1"/>
  </cols>
  <sheetData>
    <row r="1" spans="1:5" ht="24.95" customHeight="1" x14ac:dyDescent="0.25">
      <c r="A1" s="1" t="s">
        <v>102</v>
      </c>
      <c r="E1" s="2">
        <v>45629</v>
      </c>
    </row>
    <row r="2" spans="1:5" ht="24.95" customHeight="1" x14ac:dyDescent="0.25">
      <c r="A2" s="3" t="s">
        <v>0</v>
      </c>
      <c r="B2" s="4"/>
      <c r="C2" s="4"/>
      <c r="D2" s="5" t="s">
        <v>100</v>
      </c>
      <c r="E2" s="4"/>
    </row>
    <row r="3" spans="1:5" ht="24.95" customHeight="1" x14ac:dyDescent="0.25">
      <c r="A3" s="1" t="s">
        <v>3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ht="24.95" customHeight="1" x14ac:dyDescent="0.25">
      <c r="A4" s="1" t="s">
        <v>39</v>
      </c>
      <c r="B4" s="1" t="s">
        <v>40</v>
      </c>
      <c r="C4" s="1" t="s">
        <v>41</v>
      </c>
      <c r="E4" s="1" t="s">
        <v>42</v>
      </c>
    </row>
    <row r="5" spans="1:5" ht="24.95" customHeight="1" x14ac:dyDescent="0.25">
      <c r="A5" s="1" t="s">
        <v>54</v>
      </c>
      <c r="B5" s="1" t="s">
        <v>40</v>
      </c>
      <c r="C5" s="1" t="s">
        <v>55</v>
      </c>
      <c r="E5" s="1" t="s">
        <v>56</v>
      </c>
    </row>
    <row r="6" spans="1:5" ht="24.95" customHeight="1" x14ac:dyDescent="0.25">
      <c r="A6" s="1" t="s">
        <v>74</v>
      </c>
      <c r="B6" s="1" t="s">
        <v>40</v>
      </c>
      <c r="C6" s="1" t="s">
        <v>75</v>
      </c>
      <c r="E6" s="1" t="s">
        <v>76</v>
      </c>
    </row>
    <row r="7" spans="1:5" ht="24.95" customHeight="1" x14ac:dyDescent="0.25">
      <c r="A7" s="1" t="s">
        <v>83</v>
      </c>
      <c r="B7" s="1" t="s">
        <v>40</v>
      </c>
      <c r="C7" s="1" t="s">
        <v>84</v>
      </c>
      <c r="D7" s="1" t="s">
        <v>85</v>
      </c>
      <c r="E7" s="1" t="s">
        <v>31</v>
      </c>
    </row>
    <row r="8" spans="1:5" ht="24.95" customHeight="1" x14ac:dyDescent="0.25">
      <c r="A8" s="9"/>
      <c r="B8" s="9"/>
      <c r="C8" s="9" t="s">
        <v>101</v>
      </c>
      <c r="D8" s="9"/>
      <c r="E8" s="9"/>
    </row>
    <row r="13" spans="1:5" x14ac:dyDescent="0.25">
      <c r="A13" s="1" t="s">
        <v>103</v>
      </c>
      <c r="B13" s="11"/>
      <c r="C13" s="11"/>
      <c r="D13" s="11"/>
    </row>
    <row r="18" spans="1:4" x14ac:dyDescent="0.25">
      <c r="A18" s="1" t="s">
        <v>104</v>
      </c>
      <c r="B18" s="11"/>
      <c r="C18" s="11"/>
      <c r="D18" s="11"/>
    </row>
    <row r="22" spans="1:4" x14ac:dyDescent="0.25">
      <c r="A22" s="1" t="s">
        <v>105</v>
      </c>
      <c r="B22" s="11"/>
      <c r="C22" s="11"/>
    </row>
  </sheetData>
  <mergeCells count="2">
    <mergeCell ref="A2:C2"/>
    <mergeCell ref="D2:E2"/>
  </mergeCells>
  <pageMargins left="0.7" right="0.7" top="0.75" bottom="0.75" header="0.3" footer="0.3"/>
  <pageSetup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2024-12-03T19:11:39Z</cp:lastPrinted>
  <dcterms:created xsi:type="dcterms:W3CDTF">2024-12-03T18:57:43Z</dcterms:created>
  <dcterms:modified xsi:type="dcterms:W3CDTF">2024-12-03T19:36:32Z</dcterms:modified>
</cp:coreProperties>
</file>