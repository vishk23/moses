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F5AD7F0F-281B-4CD2-93A3-7B180304460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F17" i="1"/>
  <c r="F20" i="1"/>
  <c r="F25" i="1"/>
  <c r="H26" i="1"/>
  <c r="E26" i="1"/>
  <c r="D26" i="1"/>
  <c r="C26" i="1"/>
</calcChain>
</file>

<file path=xl/sharedStrings.xml><?xml version="1.0" encoding="utf-8"?>
<sst xmlns="http://schemas.openxmlformats.org/spreadsheetml/2006/main" count="198" uniqueCount="109">
  <si>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</si>
  <si>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</si>
  <si>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</si>
  <si>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</si>
  <si>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</si>
  <si>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</si>
  <si>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</si>
  <si>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</si>
  <si>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</si>
  <si>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</si>
  <si>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</si>
  <si>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Rachel Gorham</t>
  </si>
  <si>
    <t>Battles Nissan, LLC</t>
  </si>
  <si>
    <t>Marlene Braganca</t>
  </si>
  <si>
    <t>Herb Chambers Boston Turnpike Inc d/b/a</t>
  </si>
  <si>
    <t>Herb Chambers Lexus of Hingham</t>
  </si>
  <si>
    <t>Neli Oliveira</t>
  </si>
  <si>
    <t>Lucchettis Service Center Inc</t>
  </si>
  <si>
    <t>Metro Honda</t>
  </si>
  <si>
    <t>Patriot Auto Group Inc d/b/a</t>
  </si>
  <si>
    <t>Paul Masse Buick GMC South, Inc</t>
  </si>
  <si>
    <t>Planet Automotive Sales LLC</t>
  </si>
  <si>
    <t>Priority Automotive LLC</t>
  </si>
  <si>
    <t>Column1</t>
  </si>
  <si>
    <t>Column2</t>
  </si>
  <si>
    <t># 13</t>
  </si>
  <si>
    <t>FARZANEH</t>
  </si>
  <si>
    <t>MOHTARAM</t>
  </si>
  <si>
    <t>MDMKAZEMI@GMAIL.COM</t>
  </si>
  <si>
    <t>nike@mygomail.com</t>
  </si>
  <si>
    <t>KAZEMIASFEH, MAHDIS</t>
  </si>
  <si>
    <t>KAZEMI, MIKE</t>
  </si>
  <si>
    <t>E Contract</t>
  </si>
  <si>
    <t>Route One</t>
  </si>
  <si>
    <t>151196427e</t>
  </si>
  <si>
    <t>KENNEDY</t>
  </si>
  <si>
    <t>ELLIS</t>
  </si>
  <si>
    <t>kayla_harvey@my.uri.edu</t>
  </si>
  <si>
    <t>OPENSHAW, JACOB</t>
  </si>
  <si>
    <t>OPENSHAW, KAYLA</t>
  </si>
  <si>
    <t>Paper</t>
  </si>
  <si>
    <t>151196401</t>
  </si>
  <si>
    <t>VOCO CORP.</t>
  </si>
  <si>
    <t>RYAN</t>
  </si>
  <si>
    <t>ROB@VOCOCORP.NET</t>
  </si>
  <si>
    <t>VOCCIA, ROBERT</t>
  </si>
  <si>
    <t>151196360e</t>
  </si>
  <si>
    <t>REYNOLDS</t>
  </si>
  <si>
    <t>SYLVIA</t>
  </si>
  <si>
    <t>HOHEIDI62@MSN.COM</t>
  </si>
  <si>
    <t>POND, HEIDI</t>
  </si>
  <si>
    <t>POND, CHRISTOPHER</t>
  </si>
  <si>
    <t>151196336</t>
  </si>
  <si>
    <t>MASON</t>
  </si>
  <si>
    <t>MORRY63@COMCAST.NET</t>
  </si>
  <si>
    <t>MORRY, KEITH</t>
  </si>
  <si>
    <t>DealerTrack</t>
  </si>
  <si>
    <t>151196328</t>
  </si>
  <si>
    <t>HOMICK</t>
  </si>
  <si>
    <t>THORPE</t>
  </si>
  <si>
    <t>PPITTS@ALLSTARSS.COM</t>
  </si>
  <si>
    <t>CINDYLOUPITTS@COMCAST.MET</t>
  </si>
  <si>
    <t>PITTS, PAUL</t>
  </si>
  <si>
    <t>PITTS, CYNTHIA</t>
  </si>
  <si>
    <t>151196279e</t>
  </si>
  <si>
    <t>DORNEY</t>
  </si>
  <si>
    <t>KATIEMCGRATH5576@HOTMAIL.COM</t>
  </si>
  <si>
    <t>PLANT, KATHERINE</t>
  </si>
  <si>
    <t>151196229e</t>
  </si>
  <si>
    <t>GROEHL</t>
  </si>
  <si>
    <t>EKEWRIGA@NETSCAPE.NET</t>
  </si>
  <si>
    <t>KEWRIGA, ELOUISE</t>
  </si>
  <si>
    <t>151196196e</t>
  </si>
  <si>
    <t>MCGRATH</t>
  </si>
  <si>
    <t>JEANTHERBEAN1@COMCAST.NET</t>
  </si>
  <si>
    <t>MCGRATH, JEAN</t>
  </si>
  <si>
    <t>151196188e</t>
  </si>
  <si>
    <t>JERRETT</t>
  </si>
  <si>
    <t>STELLO628@GMAIL.COM</t>
  </si>
  <si>
    <t>TELLO, STEPHEN</t>
  </si>
  <si>
    <t>151196138e</t>
  </si>
  <si>
    <t>Rivera</t>
  </si>
  <si>
    <t>ASEPULVEDA50@YAHOO.COM</t>
  </si>
  <si>
    <t>SEPULVEDA, ALEJANDRO</t>
  </si>
  <si>
    <t>151196120e</t>
  </si>
  <si>
    <t>DORAN</t>
  </si>
  <si>
    <t>JACKPKIERNAN14@GMAIL.COM</t>
  </si>
  <si>
    <t>KIERNAN, JACK</t>
  </si>
  <si>
    <t>151196112e</t>
  </si>
  <si>
    <t>ROSARIO</t>
  </si>
  <si>
    <t>ROSARIOJ45@GMAIL.COM</t>
  </si>
  <si>
    <t>ROSARIO, JOSHUA</t>
  </si>
  <si>
    <t>151196104e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</si>
  <si>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</si>
  <si>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</si>
  <si>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</si>
  <si>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</si>
  <si>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</si>
  <si>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</si>
  <si>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</si>
  <si>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</si>
  <si>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</si>
  <si>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</si>
  <si>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</si>
  <si>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</t>
  </si>
  <si>
    <t>Received By_______________________________________________________________________</t>
  </si>
  <si>
    <t>Delivered By______________________________________________________________________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</si>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</sst>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EEC0425D-65D9-4787-87D6-3262BC14202F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DE6936AB-CBF5-4F9D-9223-A61AB7AF022D}" name="Column1" dataDxfId="23"/>
    <tableColumn id="8" xr3:uid="{87A0E9AA-513F-435D-9D05-9361CABB53A1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A3F1BB-503B-4B67-AD12-5AFD98DAF0F1}" name="Table_13" displayName="Table_13" ref="A3:L17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94672-8BEC-467D-9A33-06C32815E717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workbookViewId="0">
      <pane ySplit="3" topLeftCell="A4" activePane="bottomLeft" state="frozen"/>
      <selection pane="bottomLeft" activeCell="F25" sqref="F25"/>
    </sheetView>
  </sheetViews>
  <sheetFormatPr defaultRowHeight="15" x14ac:dyDescent="0.25"/>
  <cols>
    <col min="1" max="1" width="39.5703125" bestFit="1" customWidth="1"/>
    <col min="2" max="2" width="17.7109375" bestFit="1" customWidth="1"/>
    <col min="3" max="3" width="11.140625" bestFit="1" customWidth="1"/>
    <col min="4" max="4" width="13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45833</v>
      </c>
      <c r="E1" t="s">
        <v>2</v>
      </c>
      <c r="H1" s="4">
        <v>45833.999988425923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300</v>
      </c>
      <c r="D4" s="2">
        <v>0</v>
      </c>
      <c r="E4" s="2">
        <v>10316.44</v>
      </c>
      <c r="F4" s="2"/>
      <c r="G4" s="2"/>
      <c r="H4" s="2">
        <v>10391.44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1150</v>
      </c>
      <c r="D6" s="2">
        <v>0</v>
      </c>
      <c r="E6" s="2">
        <v>47371.360000000001</v>
      </c>
      <c r="F6" s="2"/>
      <c r="G6" s="2"/>
      <c r="H6" s="2">
        <v>47446.36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850</v>
      </c>
      <c r="D8" s="2">
        <v>0</v>
      </c>
      <c r="E8" s="2">
        <v>33267.839999999997</v>
      </c>
      <c r="F8" s="2"/>
      <c r="G8" s="2"/>
      <c r="H8" s="2">
        <v>33342.839999999997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16</v>
      </c>
      <c r="C10" s="2">
        <v>750</v>
      </c>
      <c r="D10" s="2">
        <v>0</v>
      </c>
      <c r="E10" s="2">
        <v>26316</v>
      </c>
      <c r="F10" s="2"/>
      <c r="G10" s="2"/>
      <c r="H10" s="2">
        <v>26391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16</v>
      </c>
      <c r="C12" s="2">
        <v>1050</v>
      </c>
      <c r="D12" s="2">
        <v>0</v>
      </c>
      <c r="E12" s="2">
        <v>41638.379999999997</v>
      </c>
      <c r="F12" s="2"/>
      <c r="G12" s="2"/>
      <c r="H12" s="2">
        <v>41713.379999999997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11</v>
      </c>
      <c r="C14" s="2">
        <v>750</v>
      </c>
      <c r="D14" s="2">
        <v>0</v>
      </c>
      <c r="E14" s="2">
        <v>29066.76</v>
      </c>
      <c r="F14" s="2"/>
      <c r="G14" s="2"/>
      <c r="H14" s="2">
        <v>29141.759999999998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11</v>
      </c>
      <c r="C16" s="2">
        <v>150</v>
      </c>
      <c r="D16" s="2">
        <v>0</v>
      </c>
      <c r="E16" s="2">
        <v>9913.94</v>
      </c>
      <c r="F16" s="2"/>
      <c r="G16" s="2"/>
      <c r="H16" s="2">
        <v>9988.94</v>
      </c>
    </row>
    <row r="17" spans="1:8" x14ac:dyDescent="0.25">
      <c r="A17" t="s">
        <v>19</v>
      </c>
      <c r="B17" t="s">
        <v>16</v>
      </c>
      <c r="C17" s="2">
        <v>950</v>
      </c>
      <c r="D17" s="2">
        <v>0</v>
      </c>
      <c r="E17" s="2">
        <v>34969.440000000002</v>
      </c>
      <c r="F17" s="2">
        <f>SUM(E16:E17)</f>
        <v>44883.380000000005</v>
      </c>
      <c r="G17" s="2"/>
      <c r="H17" s="2">
        <v>35044.44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16</v>
      </c>
      <c r="C19" s="2">
        <v>1500</v>
      </c>
      <c r="D19" s="2">
        <v>0</v>
      </c>
      <c r="E19" s="2">
        <v>81914.33</v>
      </c>
      <c r="F19" s="2"/>
      <c r="G19" s="2"/>
      <c r="H19" s="2">
        <v>81989.33</v>
      </c>
    </row>
    <row r="20" spans="1:8" x14ac:dyDescent="0.25">
      <c r="A20" t="s">
        <v>20</v>
      </c>
      <c r="B20" t="s">
        <v>16</v>
      </c>
      <c r="C20" s="2">
        <v>850</v>
      </c>
      <c r="D20" s="2">
        <v>0</v>
      </c>
      <c r="E20" s="2">
        <v>30439.79</v>
      </c>
      <c r="F20" s="2">
        <f>SUM(E19:E20)</f>
        <v>112354.12</v>
      </c>
      <c r="G20" s="2"/>
      <c r="H20" s="2">
        <v>30514.79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11</v>
      </c>
      <c r="C22" s="2">
        <v>500</v>
      </c>
      <c r="D22" s="2">
        <v>0</v>
      </c>
      <c r="E22" s="2">
        <v>18500</v>
      </c>
      <c r="F22" s="2"/>
      <c r="G22" s="2"/>
      <c r="H22" s="2">
        <v>18575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11</v>
      </c>
      <c r="C24" s="2">
        <v>500</v>
      </c>
      <c r="D24" s="2">
        <v>0</v>
      </c>
      <c r="E24" s="2">
        <v>16518.63</v>
      </c>
      <c r="F24" s="2"/>
      <c r="G24" s="2"/>
      <c r="H24" s="2">
        <v>16593.63</v>
      </c>
    </row>
    <row r="25" spans="1:8" x14ac:dyDescent="0.25">
      <c r="A25" t="s">
        <v>22</v>
      </c>
      <c r="B25" t="s">
        <v>11</v>
      </c>
      <c r="C25" s="2">
        <v>1050</v>
      </c>
      <c r="D25" s="2">
        <v>0</v>
      </c>
      <c r="E25" s="2">
        <v>41379.269999999997</v>
      </c>
      <c r="F25" s="2">
        <f>SUM(E24:E25)</f>
        <v>57897.899999999994</v>
      </c>
      <c r="G25" s="2"/>
      <c r="H25" s="2">
        <v>41454.269999999997</v>
      </c>
    </row>
    <row r="26" spans="1:8" x14ac:dyDescent="0.25">
      <c r="A26" s="1"/>
      <c r="B26" s="1"/>
      <c r="C26" s="3">
        <f>SUM(C4:C25)</f>
        <v>10350</v>
      </c>
      <c r="D26" s="3">
        <f>SUM(D4:D25)</f>
        <v>0</v>
      </c>
      <c r="E26" s="3">
        <f>SUM(E4:E25)</f>
        <v>421612.18</v>
      </c>
      <c r="F26" s="3"/>
      <c r="G26" s="3"/>
      <c r="H26" s="3">
        <f>SUM(H4:H25)</f>
        <v>422587.18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DBAE-BD50-4DB4-B7CF-5AD08ED14012}">
  <sheetPr>
    <pageSetUpPr fitToPage="1"/>
  </sheetPr>
  <dimension ref="A1:L19"/>
  <sheetViews>
    <sheetView workbookViewId="0">
      <pane ySplit="3" topLeftCell="A4" activePane="bottomLeft" state="frozen"/>
      <selection pane="bottomLeft" activeCell="A16" sqref="A4:A16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85546875" style="8" bestFit="1" customWidth="1"/>
    <col min="5" max="5" width="22.5703125" style="8" bestFit="1" customWidth="1"/>
    <col min="6" max="6" width="39.5703125" style="8" bestFit="1" customWidth="1"/>
    <col min="7" max="7" width="17.7109375" style="8" bestFit="1" customWidth="1"/>
    <col min="8" max="8" width="17.140625" style="8" bestFit="1" customWidth="1"/>
    <col min="9" max="9" width="35.28515625" style="8" bestFit="1" customWidth="1"/>
    <col min="10" max="10" width="25.140625" style="8" bestFit="1" customWidth="1"/>
    <col min="11" max="11" width="13.710937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45833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103</v>
      </c>
      <c r="H2" s="12"/>
      <c r="I2" s="12"/>
      <c r="J2" s="12"/>
      <c r="K2" s="12"/>
      <c r="L2" s="12"/>
    </row>
    <row r="3" spans="1:12" ht="35.1" customHeight="1" x14ac:dyDescent="0.25">
      <c r="A3" s="9" t="s">
        <v>102</v>
      </c>
      <c r="B3" s="9" t="s">
        <v>101</v>
      </c>
      <c r="C3" s="9" t="s">
        <v>100</v>
      </c>
      <c r="D3" s="9" t="s">
        <v>99</v>
      </c>
      <c r="E3" s="9" t="s">
        <v>98</v>
      </c>
      <c r="F3" s="9" t="s">
        <v>4</v>
      </c>
      <c r="G3" s="9" t="s">
        <v>5</v>
      </c>
      <c r="H3" s="9" t="s">
        <v>97</v>
      </c>
      <c r="I3" s="9" t="s">
        <v>96</v>
      </c>
      <c r="J3" s="9" t="s">
        <v>95</v>
      </c>
      <c r="K3" s="9" t="s">
        <v>94</v>
      </c>
      <c r="L3" s="9" t="s">
        <v>93</v>
      </c>
    </row>
    <row r="4" spans="1:12" ht="35.1" customHeight="1" x14ac:dyDescent="0.25">
      <c r="A4" s="9" t="s">
        <v>92</v>
      </c>
      <c r="B4" s="9" t="s">
        <v>56</v>
      </c>
      <c r="C4" s="9" t="s">
        <v>32</v>
      </c>
      <c r="D4" s="9" t="s">
        <v>91</v>
      </c>
      <c r="E4" s="9"/>
      <c r="F4" s="9" t="s">
        <v>18</v>
      </c>
      <c r="G4" s="9" t="s">
        <v>11</v>
      </c>
      <c r="H4" s="14">
        <v>29141.759999999998</v>
      </c>
      <c r="I4" s="9" t="s">
        <v>90</v>
      </c>
      <c r="J4" s="9"/>
      <c r="K4" s="9" t="s">
        <v>89</v>
      </c>
      <c r="L4" s="9"/>
    </row>
    <row r="5" spans="1:12" ht="35.1" customHeight="1" x14ac:dyDescent="0.25">
      <c r="A5" s="9" t="s">
        <v>88</v>
      </c>
      <c r="B5" s="9" t="s">
        <v>56</v>
      </c>
      <c r="C5" s="9" t="s">
        <v>32</v>
      </c>
      <c r="D5" s="9" t="s">
        <v>87</v>
      </c>
      <c r="E5" s="9"/>
      <c r="F5" s="9" t="s">
        <v>22</v>
      </c>
      <c r="G5" s="9" t="s">
        <v>11</v>
      </c>
      <c r="H5" s="14">
        <v>16593.63</v>
      </c>
      <c r="I5" s="9" t="s">
        <v>86</v>
      </c>
      <c r="J5" s="9"/>
      <c r="K5" s="9" t="s">
        <v>85</v>
      </c>
      <c r="L5" s="9"/>
    </row>
    <row r="6" spans="1:12" ht="35.1" customHeight="1" x14ac:dyDescent="0.25">
      <c r="A6" s="9" t="s">
        <v>84</v>
      </c>
      <c r="B6" s="9" t="s">
        <v>56</v>
      </c>
      <c r="C6" s="9" t="s">
        <v>32</v>
      </c>
      <c r="D6" s="9" t="s">
        <v>83</v>
      </c>
      <c r="E6" s="9"/>
      <c r="F6" s="9" t="s">
        <v>12</v>
      </c>
      <c r="G6" s="9" t="s">
        <v>13</v>
      </c>
      <c r="H6" s="14">
        <v>47446.36</v>
      </c>
      <c r="I6" s="9" t="s">
        <v>82</v>
      </c>
      <c r="J6" s="9"/>
      <c r="K6" s="9" t="s">
        <v>81</v>
      </c>
      <c r="L6" s="9"/>
    </row>
    <row r="7" spans="1:12" ht="35.1" customHeight="1" x14ac:dyDescent="0.25">
      <c r="A7" s="9" t="s">
        <v>80</v>
      </c>
      <c r="B7" s="9" t="s">
        <v>56</v>
      </c>
      <c r="C7" s="9" t="s">
        <v>32</v>
      </c>
      <c r="D7" s="9" t="s">
        <v>79</v>
      </c>
      <c r="E7" s="9"/>
      <c r="F7" s="9" t="s">
        <v>22</v>
      </c>
      <c r="G7" s="9" t="s">
        <v>11</v>
      </c>
      <c r="H7" s="14">
        <v>41454.269999999997</v>
      </c>
      <c r="I7" s="9" t="s">
        <v>78</v>
      </c>
      <c r="J7" s="9"/>
      <c r="K7" s="9" t="s">
        <v>77</v>
      </c>
      <c r="L7" s="9"/>
    </row>
    <row r="8" spans="1:12" ht="35.1" customHeight="1" x14ac:dyDescent="0.25">
      <c r="A8" s="9" t="s">
        <v>76</v>
      </c>
      <c r="B8" s="9" t="s">
        <v>33</v>
      </c>
      <c r="C8" s="9" t="s">
        <v>32</v>
      </c>
      <c r="D8" s="9" t="s">
        <v>75</v>
      </c>
      <c r="E8" s="9"/>
      <c r="F8" s="9" t="s">
        <v>19</v>
      </c>
      <c r="G8" s="9" t="s">
        <v>16</v>
      </c>
      <c r="H8" s="14">
        <v>35044.44</v>
      </c>
      <c r="I8" s="9" t="s">
        <v>74</v>
      </c>
      <c r="J8" s="9"/>
      <c r="K8" s="9" t="s">
        <v>73</v>
      </c>
      <c r="L8" s="9"/>
    </row>
    <row r="9" spans="1:12" ht="35.1" customHeight="1" x14ac:dyDescent="0.25">
      <c r="A9" s="9" t="s">
        <v>72</v>
      </c>
      <c r="B9" s="9" t="s">
        <v>56</v>
      </c>
      <c r="C9" s="9" t="s">
        <v>32</v>
      </c>
      <c r="D9" s="9" t="s">
        <v>71</v>
      </c>
      <c r="E9" s="9"/>
      <c r="F9" s="9" t="s">
        <v>14</v>
      </c>
      <c r="G9" s="9" t="s">
        <v>11</v>
      </c>
      <c r="H9" s="14">
        <v>33342.839999999997</v>
      </c>
      <c r="I9" s="9" t="s">
        <v>70</v>
      </c>
      <c r="J9" s="9"/>
      <c r="K9" s="9" t="s">
        <v>69</v>
      </c>
      <c r="L9" s="9"/>
    </row>
    <row r="10" spans="1:12" ht="35.1" customHeight="1" x14ac:dyDescent="0.25">
      <c r="A10" s="9" t="s">
        <v>68</v>
      </c>
      <c r="B10" s="9" t="s">
        <v>33</v>
      </c>
      <c r="C10" s="9" t="s">
        <v>32</v>
      </c>
      <c r="D10" s="9" t="s">
        <v>67</v>
      </c>
      <c r="E10" s="9"/>
      <c r="F10" s="9" t="s">
        <v>15</v>
      </c>
      <c r="G10" s="9" t="s">
        <v>16</v>
      </c>
      <c r="H10" s="14">
        <v>26391</v>
      </c>
      <c r="I10" s="9" t="s">
        <v>66</v>
      </c>
      <c r="J10" s="9"/>
      <c r="K10" s="9" t="s">
        <v>65</v>
      </c>
      <c r="L10" s="9"/>
    </row>
    <row r="11" spans="1:12" ht="35.1" customHeight="1" x14ac:dyDescent="0.25">
      <c r="A11" s="9" t="s">
        <v>64</v>
      </c>
      <c r="B11" s="9" t="s">
        <v>33</v>
      </c>
      <c r="C11" s="9" t="s">
        <v>32</v>
      </c>
      <c r="D11" s="9" t="s">
        <v>63</v>
      </c>
      <c r="E11" s="9" t="s">
        <v>62</v>
      </c>
      <c r="F11" s="9" t="s">
        <v>17</v>
      </c>
      <c r="G11" s="9" t="s">
        <v>16</v>
      </c>
      <c r="H11" s="14">
        <v>41713.379999999997</v>
      </c>
      <c r="I11" s="9" t="s">
        <v>61</v>
      </c>
      <c r="J11" s="9" t="s">
        <v>60</v>
      </c>
      <c r="K11" s="9" t="s">
        <v>59</v>
      </c>
      <c r="L11" s="9" t="s">
        <v>58</v>
      </c>
    </row>
    <row r="12" spans="1:12" ht="35.1" customHeight="1" x14ac:dyDescent="0.25">
      <c r="A12" s="9" t="s">
        <v>57</v>
      </c>
      <c r="B12" s="9" t="s">
        <v>56</v>
      </c>
      <c r="C12" s="9" t="s">
        <v>40</v>
      </c>
      <c r="D12" s="9" t="s">
        <v>55</v>
      </c>
      <c r="E12" s="9"/>
      <c r="F12" s="9" t="s">
        <v>21</v>
      </c>
      <c r="G12" s="9" t="s">
        <v>11</v>
      </c>
      <c r="H12" s="14">
        <v>18575</v>
      </c>
      <c r="I12" s="9" t="s">
        <v>54</v>
      </c>
      <c r="J12" s="9"/>
      <c r="K12" s="9" t="s">
        <v>53</v>
      </c>
      <c r="L12" s="9"/>
    </row>
    <row r="13" spans="1:12" ht="35.1" customHeight="1" x14ac:dyDescent="0.25">
      <c r="A13" s="9" t="s">
        <v>52</v>
      </c>
      <c r="B13" s="9" t="s">
        <v>33</v>
      </c>
      <c r="C13" s="9" t="s">
        <v>40</v>
      </c>
      <c r="D13" s="9" t="s">
        <v>51</v>
      </c>
      <c r="E13" s="9" t="s">
        <v>50</v>
      </c>
      <c r="F13" s="9" t="s">
        <v>10</v>
      </c>
      <c r="G13" s="9" t="s">
        <v>11</v>
      </c>
      <c r="H13" s="14">
        <v>10391.44</v>
      </c>
      <c r="I13" s="9" t="s">
        <v>49</v>
      </c>
      <c r="J13" s="9" t="s">
        <v>49</v>
      </c>
      <c r="K13" s="9" t="s">
        <v>48</v>
      </c>
      <c r="L13" s="9" t="s">
        <v>47</v>
      </c>
    </row>
    <row r="14" spans="1:12" ht="35.1" customHeight="1" x14ac:dyDescent="0.25">
      <c r="A14" s="9" t="s">
        <v>46</v>
      </c>
      <c r="B14" s="9" t="s">
        <v>33</v>
      </c>
      <c r="C14" s="9" t="s">
        <v>32</v>
      </c>
      <c r="D14" s="9" t="s">
        <v>42</v>
      </c>
      <c r="E14" s="9" t="s">
        <v>45</v>
      </c>
      <c r="F14" s="9" t="s">
        <v>20</v>
      </c>
      <c r="G14" s="9" t="s">
        <v>16</v>
      </c>
      <c r="H14" s="14">
        <v>81989.33</v>
      </c>
      <c r="I14" s="9" t="s">
        <v>44</v>
      </c>
      <c r="J14" s="9"/>
      <c r="K14" s="9" t="s">
        <v>43</v>
      </c>
      <c r="L14" s="9"/>
    </row>
    <row r="15" spans="1:12" ht="35.1" customHeight="1" x14ac:dyDescent="0.25">
      <c r="A15" s="9" t="s">
        <v>41</v>
      </c>
      <c r="B15" s="9" t="s">
        <v>33</v>
      </c>
      <c r="C15" s="9" t="s">
        <v>40</v>
      </c>
      <c r="D15" s="9" t="s">
        <v>39</v>
      </c>
      <c r="E15" s="9" t="s">
        <v>38</v>
      </c>
      <c r="F15" s="9" t="s">
        <v>20</v>
      </c>
      <c r="G15" s="9" t="s">
        <v>16</v>
      </c>
      <c r="H15" s="14">
        <v>30514.79</v>
      </c>
      <c r="I15" s="9" t="s">
        <v>37</v>
      </c>
      <c r="J15" s="9"/>
      <c r="K15" s="9" t="s">
        <v>36</v>
      </c>
      <c r="L15" s="9" t="s">
        <v>35</v>
      </c>
    </row>
    <row r="16" spans="1:12" ht="35.1" customHeight="1" x14ac:dyDescent="0.25">
      <c r="A16" s="9" t="s">
        <v>34</v>
      </c>
      <c r="B16" s="9" t="s">
        <v>33</v>
      </c>
      <c r="C16" s="9" t="s">
        <v>32</v>
      </c>
      <c r="D16" s="9" t="s">
        <v>31</v>
      </c>
      <c r="E16" s="9" t="s">
        <v>30</v>
      </c>
      <c r="F16" s="9" t="s">
        <v>19</v>
      </c>
      <c r="G16" s="9" t="s">
        <v>11</v>
      </c>
      <c r="H16" s="14">
        <v>9988.94</v>
      </c>
      <c r="I16" s="9" t="s">
        <v>29</v>
      </c>
      <c r="J16" s="9" t="s">
        <v>28</v>
      </c>
      <c r="K16" s="9" t="s">
        <v>27</v>
      </c>
      <c r="L16" s="9" t="s">
        <v>26</v>
      </c>
    </row>
    <row r="17" spans="1:12" ht="35.1" customHeight="1" x14ac:dyDescent="0.25">
      <c r="A17" s="15"/>
      <c r="B17" s="15"/>
      <c r="C17" s="15"/>
      <c r="D17" s="15" t="s">
        <v>25</v>
      </c>
      <c r="E17" s="15"/>
      <c r="F17" s="15"/>
      <c r="G17" s="15"/>
      <c r="H17" s="16">
        <f>SUM(H4:H16)</f>
        <v>422587.18</v>
      </c>
      <c r="I17" s="15"/>
      <c r="J17" s="15"/>
      <c r="K17" s="15"/>
      <c r="L17" s="15"/>
    </row>
    <row r="18" spans="1:12" ht="35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5.1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16BC-AF75-423B-A9E4-E7A5A0EB4A4B}">
  <dimension ref="A1:E20"/>
  <sheetViews>
    <sheetView tabSelected="1"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85546875" style="8" bestFit="1" customWidth="1"/>
    <col min="4" max="4" width="22.5703125" style="8" bestFit="1" customWidth="1"/>
    <col min="5" max="5" width="39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45833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108</v>
      </c>
      <c r="E2" s="12"/>
    </row>
    <row r="3" spans="1:5" x14ac:dyDescent="0.25">
      <c r="A3" s="9" t="s">
        <v>102</v>
      </c>
      <c r="B3" s="9" t="s">
        <v>100</v>
      </c>
      <c r="C3" s="9" t="s">
        <v>99</v>
      </c>
      <c r="D3" s="9" t="s">
        <v>98</v>
      </c>
      <c r="E3" s="9" t="s">
        <v>4</v>
      </c>
    </row>
    <row r="4" spans="1:5" x14ac:dyDescent="0.25">
      <c r="A4" s="9" t="s">
        <v>57</v>
      </c>
      <c r="B4" s="9" t="s">
        <v>40</v>
      </c>
      <c r="C4" s="9" t="s">
        <v>55</v>
      </c>
      <c r="D4" s="9"/>
      <c r="E4" s="9" t="s">
        <v>21</v>
      </c>
    </row>
    <row r="5" spans="1:5" x14ac:dyDescent="0.25">
      <c r="A5" s="9" t="s">
        <v>52</v>
      </c>
      <c r="B5" s="9" t="s">
        <v>40</v>
      </c>
      <c r="C5" s="9" t="s">
        <v>51</v>
      </c>
      <c r="D5" s="9" t="s">
        <v>50</v>
      </c>
      <c r="E5" s="9" t="s">
        <v>10</v>
      </c>
    </row>
    <row r="6" spans="1:5" x14ac:dyDescent="0.25">
      <c r="A6" s="9" t="s">
        <v>41</v>
      </c>
      <c r="B6" s="9" t="s">
        <v>40</v>
      </c>
      <c r="C6" s="9" t="s">
        <v>39</v>
      </c>
      <c r="D6" s="9" t="s">
        <v>38</v>
      </c>
      <c r="E6" s="9" t="s">
        <v>20</v>
      </c>
    </row>
    <row r="7" spans="1:5" x14ac:dyDescent="0.25">
      <c r="A7" s="15"/>
      <c r="B7" s="15"/>
      <c r="C7" s="15" t="s">
        <v>107</v>
      </c>
      <c r="D7" s="15"/>
      <c r="E7" s="15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106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105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104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</sheetData>
  <mergeCells count="2">
    <mergeCell ref="A2:C2"/>
    <mergeCell ref="D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2025-06-25T19:03:36Z</cp:lastPrinted>
  <dcterms:created xsi:type="dcterms:W3CDTF">2025-06-25T18:42:13Z</dcterms:created>
  <dcterms:modified xsi:type="dcterms:W3CDTF">2025-06-25T19:03:44Z</dcterms:modified>
</cp:coreProperties>
</file>