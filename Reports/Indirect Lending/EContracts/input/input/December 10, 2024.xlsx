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ECC5F731-F54B-454C-87AB-A133BB6E1C95}" xr6:coauthVersionLast="47" xr6:coauthVersionMax="47" xr10:uidLastSave="{00000000-0000-0000-0000-000000000000}"/>
  <bookViews>
    <workbookView xWindow="31110" yWindow="1275" windowWidth="22200" windowHeight="12705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G9" i="2"/>
  <c r="H28" i="2"/>
  <c r="F28" i="2"/>
  <c r="E28" i="2"/>
  <c r="D28" i="2"/>
  <c r="H21" i="1"/>
</calcChain>
</file>

<file path=xl/sharedStrings.xml><?xml version="1.0" encoding="utf-8"?>
<sst xmlns="http://schemas.openxmlformats.org/spreadsheetml/2006/main" count="182" uniqueCount="110">
  <si>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</si>
  <si>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</si>
  <si>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</si>
  <si>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</si>
  <si>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</si>
  <si>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</si>
  <si>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</si>
  <si>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</si>
  <si>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</si>
  <si>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</si>
  <si>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</si>
  <si>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</si>
  <si>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</si>
  <si>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</si>
  <si>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</si>
  <si>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151126573</t>
  </si>
  <si>
    <t>Route One</t>
  </si>
  <si>
    <t>Paper</t>
  </si>
  <si>
    <t>SCHNARE, JASMINE</t>
  </si>
  <si>
    <t>Tasca Automotive Group Rt 6 One Inc</t>
  </si>
  <si>
    <t>Neli Oliveira</t>
  </si>
  <si>
    <t>cataleya2398@gmail.com</t>
  </si>
  <si>
    <t>BARRETTE</t>
  </si>
  <si>
    <t>DealerTrack</t>
  </si>
  <si>
    <t>E Contract</t>
  </si>
  <si>
    <t>TOTH, JULIA</t>
  </si>
  <si>
    <t>RAH FALL RIVER VW, LLC</t>
  </si>
  <si>
    <t>Rachel Gorham</t>
  </si>
  <si>
    <t>JMEDIC1969@HOTMAIL.COM</t>
  </si>
  <si>
    <t>VALERA</t>
  </si>
  <si>
    <t>HARRIS, MARTIN</t>
  </si>
  <si>
    <t>Colonial Ford Inc</t>
  </si>
  <si>
    <t>Marlene Braganca</t>
  </si>
  <si>
    <t>MPHFISH@AOL.COM</t>
  </si>
  <si>
    <t>Mederios</t>
  </si>
  <si>
    <t>SOUTHWORTH, BRIAN</t>
  </si>
  <si>
    <t>Battles Nissan, LLC</t>
  </si>
  <si>
    <t>BTSOUTHWORTH44@GMAIL.COM</t>
  </si>
  <si>
    <t>Costa</t>
  </si>
  <si>
    <t>BAJEMA, TAYLOR</t>
  </si>
  <si>
    <t>Richard Lundgren, Inc. d/b/a</t>
  </si>
  <si>
    <t>TBAJEMA6@GMAIL.COM</t>
  </si>
  <si>
    <t>BANNING</t>
  </si>
  <si>
    <t>SOARES, MARIA</t>
  </si>
  <si>
    <t>Grieco Toyota</t>
  </si>
  <si>
    <t>arianna0316@yahoo.com</t>
  </si>
  <si>
    <t>SABASTIAO</t>
  </si>
  <si>
    <t>TORTORA, JOSEPH</t>
  </si>
  <si>
    <t>Wareham Ford</t>
  </si>
  <si>
    <t>JOETORTORA1995@GMAIL.COM</t>
  </si>
  <si>
    <t>TORTORA</t>
  </si>
  <si>
    <t>VOYER, JANET</t>
  </si>
  <si>
    <t>Patriot Auto Group Inc d/b/a</t>
  </si>
  <si>
    <t>jvoyer@verizon.net</t>
  </si>
  <si>
    <t>VIELLA</t>
  </si>
  <si>
    <t>RYAN, CHRISTOPHER</t>
  </si>
  <si>
    <t>RYAN, NANCY</t>
  </si>
  <si>
    <t>nancyryan19@yahoo.com</t>
  </si>
  <si>
    <t>CARR</t>
  </si>
  <si>
    <t>MILLER</t>
  </si>
  <si>
    <t>DESOUSA, JEAN</t>
  </si>
  <si>
    <t>DESOUSA, JOSE</t>
  </si>
  <si>
    <t>joseolavo@hotmail.com</t>
  </si>
  <si>
    <t>RAPOSA</t>
  </si>
  <si>
    <t>LOURENCO</t>
  </si>
  <si>
    <t>LI, HOUXIANG</t>
  </si>
  <si>
    <t>Planet Subaru</t>
  </si>
  <si>
    <t>JOSELIL1991@GMAIL.COM</t>
  </si>
  <si>
    <t>GU</t>
  </si>
  <si>
    <t>TARRYK, KRISTEN</t>
  </si>
  <si>
    <t>TARRYK, DONALD</t>
  </si>
  <si>
    <t>Herb Chambers Cadillac Inc</t>
  </si>
  <si>
    <t>KRISTEN@DUPREYREALESTATE.COM</t>
  </si>
  <si>
    <t>DYER</t>
  </si>
  <si>
    <t>RAINVILLE</t>
  </si>
  <si>
    <t>TSAGARAKIS, MANOS</t>
  </si>
  <si>
    <t>TSAGARAKIS, ARTEMIS</t>
  </si>
  <si>
    <t>Anchor Nissan</t>
  </si>
  <si>
    <t>KOUKLOS1958@AOL.CM</t>
  </si>
  <si>
    <t>ARTEMIST7@GMAIL.COM</t>
  </si>
  <si>
    <t>Maliotakis</t>
  </si>
  <si>
    <t>Divari</t>
  </si>
  <si>
    <t># 13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</si>
  <si>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</si>
  <si>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</si>
  <si>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</si>
  <si>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</si>
  <si>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</si>
  <si>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</si>
  <si>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</si>
  <si>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honda of plym-Patriot Auto Group Inc d/b/a</t>
  </si>
  <si>
    <t>Funding Worksheet - Signoff Version</t>
  </si>
  <si>
    <t># 1</t>
  </si>
  <si>
    <t>Original Notes Delivered</t>
  </si>
  <si>
    <t>Delivered by:</t>
  </si>
  <si>
    <t>Received by:</t>
  </si>
  <si>
    <t>Date Signed:</t>
  </si>
  <si>
    <t>lun-Richard Lundgren, Inc. d/b/a</t>
  </si>
  <si>
    <t>151126599 E</t>
  </si>
  <si>
    <t>151126606 E</t>
  </si>
  <si>
    <t>151126614 E</t>
  </si>
  <si>
    <t>151126630 E</t>
  </si>
  <si>
    <t>151126672 E</t>
  </si>
  <si>
    <t>151126789 E</t>
  </si>
  <si>
    <t>151126797 E</t>
  </si>
  <si>
    <t>151126804 E</t>
  </si>
  <si>
    <t>151126812 E</t>
  </si>
  <si>
    <t>151126846 E</t>
  </si>
  <si>
    <t>151126862 E</t>
  </si>
  <si>
    <t>151126888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</si>
</sst>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7" fontId="3" fillId="0" borderId="0" xfId="0" applyNumberFormat="1" applyFont="1"/>
    <xf numFmtId="7" fontId="5" fillId="0" borderId="0" xfId="0" applyNumberFormat="1" applyFont="1"/>
    <xf numFmtId="0" fontId="4" fillId="0" borderId="0" xfId="0" applyFont="1"/>
    <xf numFmtId="7" fontId="4" fillId="0" borderId="0" xfId="0" applyNumberFormat="1" applyFont="1"/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1" headerRowDxfId="2" dataDxfId="0" totalsRowDxfId="1">
  <tableColumns count="12">
    <tableColumn id="1" xr3:uid="{00000000-0010-0000-0000-000001000000}" name="Account Number" dataDxfId="14"/>
    <tableColumn id="2" xr3:uid="{00000000-0010-0000-0000-000002000000}" name="Portal" dataDxfId="13"/>
    <tableColumn id="3" xr3:uid="{00000000-0010-0000-0000-000003000000}" name="Contract Type" dataDxfId="12"/>
    <tableColumn id="4" xr3:uid="{00000000-0010-0000-0000-000004000000}" name="Applicant Name" dataDxfId="11"/>
    <tableColumn id="5" xr3:uid="{00000000-0010-0000-0000-000005000000}" name="Co-Applicant Name" dataDxfId="10"/>
    <tableColumn id="6" xr3:uid="{00000000-0010-0000-0000-000006000000}" name="Dealer Name" dataDxfId="9"/>
    <tableColumn id="7" xr3:uid="{00000000-0010-0000-0000-000007000000}" name="Funded by" dataDxfId="8"/>
    <tableColumn id="8" xr3:uid="{00000000-0010-0000-0000-000008000000}" name="Amount Financed" dataDxfId="7"/>
    <tableColumn id="9" xr3:uid="{00000000-0010-0000-0000-000009000000}" name="Applicant Email" dataDxfId="6"/>
    <tableColumn id="10" xr3:uid="{00000000-0010-0000-0000-00000A000000}" name="Co-Applicant Email" dataDxfId="5"/>
    <tableColumn id="11" xr3:uid="{00000000-0010-0000-0000-00000B000000}" name="App MMN" dataDxfId="4"/>
    <tableColumn id="12" xr3:uid="{00000000-0010-0000-0000-00000C000000}" name="Co-App MMN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7F2E4E-239C-4EF9-BF6E-3860BD258497}" name="Table_14" displayName="Table_14" ref="A3:H28" headerRowDxfId="17" dataDxfId="15" totalsRowDxfId="16">
  <sortState xmlns:xlrd2="http://schemas.microsoft.com/office/spreadsheetml/2017/richdata2" ref="A4:H28">
    <sortCondition ref="A4:A28"/>
  </sortState>
  <tableColumns count="8">
    <tableColumn id="1" xr3:uid="{3F6422C0-8A2F-4416-95E5-88CE32EDC789}" name="Dealer Name" dataDxfId="25"/>
    <tableColumn id="8" xr3:uid="{81086191-A93B-4F8F-8386-F050429B4CAC}" name="Column2" dataDxfId="24"/>
    <tableColumn id="2" xr3:uid="{1CE9F0FE-7854-4521-B528-AF790E9E4A38}" name="Funded by" dataDxfId="23"/>
    <tableColumn id="3" xr3:uid="{C01BD7B0-19C2-4FE1-BD76-7F899A032B4A}" name="Dealer Flat" dataDxfId="22"/>
    <tableColumn id="4" xr3:uid="{D921745F-FBA4-4016-8FC7-0D87772FE5BC}" name="Dealer Split" dataDxfId="21"/>
    <tableColumn id="5" xr3:uid="{8C1F457F-F3F2-4D03-96B6-D58331104D4F}" name="Net to Dealer" dataDxfId="20"/>
    <tableColumn id="7" xr3:uid="{47E99F8A-C970-4AC9-9411-3146BB4F59DE}" name="Column1" dataDxfId="19"/>
    <tableColumn id="6" xr3:uid="{85EF4FDC-A86E-4A58-BB6F-91EE407EE4C0}" name="Contracted Amount Financed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29C7A9-8F9B-4B31-B91B-2961AD5D0B0F}" name="Table_16" displayName="Table_16" ref="A3:F5">
  <tableColumns count="6">
    <tableColumn id="1" xr3:uid="{312BDC1B-1FED-4F7C-95BF-94525061779D}" name="Account Number"/>
    <tableColumn id="2" xr3:uid="{F1CAC536-1DD3-4402-8FCB-9CD9E94D6306}" name="Contract Type"/>
    <tableColumn id="3" xr3:uid="{7D6D3069-E082-4C98-91EE-42985E20D72B}" name="Applicant Name"/>
    <tableColumn id="4" xr3:uid="{55F27191-4EF8-4023-9629-43734BAB36CE}" name="Co-Applicant Name"/>
    <tableColumn id="5" xr3:uid="{EDDAE085-1F37-4A78-BB5E-3767DAF7345C}" name="Dealer Name"/>
    <tableColumn id="6" xr3:uid="{AE67481B-C31C-48A6-B038-62E4451B79F2}" name="Business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tabSelected="1" workbookViewId="0">
      <pane ySplit="3" topLeftCell="A11" activePane="bottomLeft" state="frozen"/>
      <selection pane="bottomLeft" activeCell="F19" sqref="F19"/>
    </sheetView>
  </sheetViews>
  <sheetFormatPr defaultRowHeight="15.75" x14ac:dyDescent="0.25"/>
  <cols>
    <col min="1" max="1" width="13.7109375" style="8" customWidth="1"/>
    <col min="2" max="2" width="12.140625" style="8" bestFit="1" customWidth="1"/>
    <col min="3" max="3" width="14" style="8" bestFit="1" customWidth="1"/>
    <col min="4" max="4" width="21.42578125" style="8" bestFit="1" customWidth="1"/>
    <col min="5" max="5" width="22" style="8" bestFit="1" customWidth="1"/>
    <col min="6" max="6" width="35.7109375" style="8" bestFit="1" customWidth="1"/>
    <col min="7" max="7" width="17.7109375" style="8" bestFit="1" customWidth="1"/>
    <col min="8" max="8" width="17.140625" style="8" bestFit="1" customWidth="1"/>
    <col min="9" max="9" width="30.7109375" style="8" customWidth="1"/>
    <col min="10" max="10" width="25" style="8" bestFit="1" customWidth="1"/>
    <col min="11" max="11" width="19.28515625" style="8" bestFit="1" customWidth="1"/>
    <col min="12" max="12" width="12.85546875" style="8" bestFit="1" customWidth="1"/>
    <col min="13" max="16384" width="9.140625" style="8"/>
  </cols>
  <sheetData>
    <row r="1" spans="1:12" x14ac:dyDescent="0.25">
      <c r="K1" s="9">
        <v>45636</v>
      </c>
    </row>
    <row r="2" spans="1:12" x14ac:dyDescent="0.25">
      <c r="A2" s="10" t="s">
        <v>0</v>
      </c>
      <c r="B2" s="11"/>
      <c r="C2" s="11"/>
      <c r="D2" s="11"/>
      <c r="E2" s="11"/>
      <c r="F2" s="11"/>
      <c r="G2" s="12" t="s">
        <v>1</v>
      </c>
      <c r="H2" s="11"/>
      <c r="I2" s="11"/>
      <c r="J2" s="11"/>
      <c r="K2" s="11"/>
      <c r="L2" s="11"/>
    </row>
    <row r="3" spans="1:12" x14ac:dyDescent="0.2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8" spans="1:12" ht="30" customHeight="1" x14ac:dyDescent="0.25">
      <c r="A8" s="8" t="s">
        <v>15</v>
      </c>
      <c r="B8" s="8" t="s">
        <v>16</v>
      </c>
      <c r="C8" s="8" t="s">
        <v>17</v>
      </c>
      <c r="D8" s="8" t="s">
        <v>18</v>
      </c>
      <c r="F8" s="8" t="s">
        <v>19</v>
      </c>
      <c r="G8" s="8" t="s">
        <v>20</v>
      </c>
      <c r="H8" s="13">
        <v>46997.63</v>
      </c>
      <c r="I8" s="8" t="s">
        <v>21</v>
      </c>
      <c r="K8" s="8" t="s">
        <v>22</v>
      </c>
    </row>
    <row r="9" spans="1:12" ht="30" customHeight="1" x14ac:dyDescent="0.25">
      <c r="A9" s="8" t="s">
        <v>98</v>
      </c>
      <c r="B9" s="8" t="s">
        <v>23</v>
      </c>
      <c r="C9" s="8" t="s">
        <v>24</v>
      </c>
      <c r="D9" s="8" t="s">
        <v>25</v>
      </c>
      <c r="F9" s="8" t="s">
        <v>26</v>
      </c>
      <c r="G9" s="8" t="s">
        <v>27</v>
      </c>
      <c r="H9" s="13">
        <v>27305.13</v>
      </c>
      <c r="I9" s="8" t="s">
        <v>28</v>
      </c>
      <c r="K9" s="8" t="s">
        <v>29</v>
      </c>
    </row>
    <row r="10" spans="1:12" ht="30" customHeight="1" x14ac:dyDescent="0.25">
      <c r="A10" s="8" t="s">
        <v>99</v>
      </c>
      <c r="B10" s="8" t="s">
        <v>16</v>
      </c>
      <c r="C10" s="8" t="s">
        <v>24</v>
      </c>
      <c r="D10" s="8" t="s">
        <v>30</v>
      </c>
      <c r="F10" s="8" t="s">
        <v>31</v>
      </c>
      <c r="G10" s="8" t="s">
        <v>32</v>
      </c>
      <c r="H10" s="13">
        <v>26470.94</v>
      </c>
      <c r="I10" s="8" t="s">
        <v>33</v>
      </c>
      <c r="K10" s="8" t="s">
        <v>34</v>
      </c>
    </row>
    <row r="11" spans="1:12" ht="30" customHeight="1" x14ac:dyDescent="0.25">
      <c r="A11" s="8" t="s">
        <v>100</v>
      </c>
      <c r="B11" s="8" t="s">
        <v>23</v>
      </c>
      <c r="C11" s="8" t="s">
        <v>24</v>
      </c>
      <c r="D11" s="8" t="s">
        <v>35</v>
      </c>
      <c r="F11" s="8" t="s">
        <v>36</v>
      </c>
      <c r="G11" s="8" t="s">
        <v>32</v>
      </c>
      <c r="H11" s="13">
        <v>25945.88</v>
      </c>
      <c r="I11" s="8" t="s">
        <v>37</v>
      </c>
      <c r="K11" s="8" t="s">
        <v>38</v>
      </c>
    </row>
    <row r="12" spans="1:12" ht="30" customHeight="1" x14ac:dyDescent="0.25">
      <c r="A12" s="8" t="s">
        <v>101</v>
      </c>
      <c r="B12" s="8" t="s">
        <v>23</v>
      </c>
      <c r="C12" s="8" t="s">
        <v>24</v>
      </c>
      <c r="D12" s="8" t="s">
        <v>39</v>
      </c>
      <c r="F12" s="8" t="s">
        <v>40</v>
      </c>
      <c r="G12" s="8" t="s">
        <v>27</v>
      </c>
      <c r="H12" s="13">
        <v>21300.19</v>
      </c>
      <c r="I12" s="8" t="s">
        <v>41</v>
      </c>
      <c r="K12" s="8" t="s">
        <v>42</v>
      </c>
    </row>
    <row r="13" spans="1:12" ht="30" customHeight="1" x14ac:dyDescent="0.25">
      <c r="A13" s="8" t="s">
        <v>102</v>
      </c>
      <c r="B13" s="8" t="s">
        <v>16</v>
      </c>
      <c r="C13" s="8" t="s">
        <v>24</v>
      </c>
      <c r="D13" s="8" t="s">
        <v>43</v>
      </c>
      <c r="F13" s="8" t="s">
        <v>44</v>
      </c>
      <c r="G13" s="8" t="s">
        <v>20</v>
      </c>
      <c r="H13" s="13">
        <v>34926.69</v>
      </c>
      <c r="I13" s="8" t="s">
        <v>45</v>
      </c>
      <c r="K13" s="8" t="s">
        <v>46</v>
      </c>
    </row>
    <row r="14" spans="1:12" ht="30" customHeight="1" x14ac:dyDescent="0.25">
      <c r="A14" s="8" t="s">
        <v>103</v>
      </c>
      <c r="B14" s="8" t="s">
        <v>16</v>
      </c>
      <c r="C14" s="8" t="s">
        <v>24</v>
      </c>
      <c r="D14" s="8" t="s">
        <v>47</v>
      </c>
      <c r="F14" s="8" t="s">
        <v>48</v>
      </c>
      <c r="G14" s="8" t="s">
        <v>27</v>
      </c>
      <c r="H14" s="13">
        <v>61522.82</v>
      </c>
      <c r="I14" s="8" t="s">
        <v>49</v>
      </c>
      <c r="K14" s="8" t="s">
        <v>50</v>
      </c>
    </row>
    <row r="15" spans="1:12" ht="30" customHeight="1" x14ac:dyDescent="0.25">
      <c r="A15" s="8" t="s">
        <v>104</v>
      </c>
      <c r="B15" s="8" t="s">
        <v>16</v>
      </c>
      <c r="C15" s="8" t="s">
        <v>24</v>
      </c>
      <c r="D15" s="8" t="s">
        <v>51</v>
      </c>
      <c r="F15" s="8" t="s">
        <v>52</v>
      </c>
      <c r="G15" s="8" t="s">
        <v>27</v>
      </c>
      <c r="H15" s="13">
        <v>30196.560000000001</v>
      </c>
      <c r="I15" s="8" t="s">
        <v>53</v>
      </c>
      <c r="K15" s="8" t="s">
        <v>54</v>
      </c>
    </row>
    <row r="16" spans="1:12" ht="30" customHeight="1" x14ac:dyDescent="0.25">
      <c r="A16" s="8" t="s">
        <v>105</v>
      </c>
      <c r="B16" s="8" t="s">
        <v>16</v>
      </c>
      <c r="C16" s="8" t="s">
        <v>24</v>
      </c>
      <c r="D16" s="8" t="s">
        <v>55</v>
      </c>
      <c r="E16" s="8" t="s">
        <v>56</v>
      </c>
      <c r="F16" s="8" t="s">
        <v>48</v>
      </c>
      <c r="G16" s="8" t="s">
        <v>27</v>
      </c>
      <c r="H16" s="13">
        <v>47339.25</v>
      </c>
      <c r="I16" s="8" t="s">
        <v>57</v>
      </c>
      <c r="J16" s="8" t="s">
        <v>57</v>
      </c>
      <c r="K16" s="8" t="s">
        <v>58</v>
      </c>
      <c r="L16" s="8" t="s">
        <v>59</v>
      </c>
    </row>
    <row r="17" spans="1:12" ht="30" customHeight="1" x14ac:dyDescent="0.25">
      <c r="A17" s="8" t="s">
        <v>106</v>
      </c>
      <c r="B17" s="8" t="s">
        <v>16</v>
      </c>
      <c r="C17" s="8" t="s">
        <v>24</v>
      </c>
      <c r="D17" s="8" t="s">
        <v>60</v>
      </c>
      <c r="E17" s="8" t="s">
        <v>61</v>
      </c>
      <c r="F17" s="8" t="s">
        <v>31</v>
      </c>
      <c r="G17" s="8" t="s">
        <v>27</v>
      </c>
      <c r="H17" s="13">
        <v>61660</v>
      </c>
      <c r="J17" s="8" t="s">
        <v>62</v>
      </c>
      <c r="K17" s="8" t="s">
        <v>63</v>
      </c>
      <c r="L17" s="8" t="s">
        <v>64</v>
      </c>
    </row>
    <row r="18" spans="1:12" ht="30" customHeight="1" x14ac:dyDescent="0.25">
      <c r="A18" s="8" t="s">
        <v>107</v>
      </c>
      <c r="B18" s="8" t="s">
        <v>23</v>
      </c>
      <c r="C18" s="8" t="s">
        <v>24</v>
      </c>
      <c r="D18" s="8" t="s">
        <v>65</v>
      </c>
      <c r="F18" s="8" t="s">
        <v>66</v>
      </c>
      <c r="G18" s="8" t="s">
        <v>27</v>
      </c>
      <c r="H18" s="13">
        <v>25317.72</v>
      </c>
      <c r="I18" s="8" t="s">
        <v>67</v>
      </c>
      <c r="K18" s="8" t="s">
        <v>68</v>
      </c>
    </row>
    <row r="19" spans="1:12" ht="30" customHeight="1" x14ac:dyDescent="0.25">
      <c r="A19" s="8" t="s">
        <v>108</v>
      </c>
      <c r="B19" s="8" t="s">
        <v>16</v>
      </c>
      <c r="C19" s="8" t="s">
        <v>24</v>
      </c>
      <c r="D19" s="8" t="s">
        <v>69</v>
      </c>
      <c r="E19" s="8" t="s">
        <v>70</v>
      </c>
      <c r="F19" s="8" t="s">
        <v>71</v>
      </c>
      <c r="G19" s="8" t="s">
        <v>20</v>
      </c>
      <c r="H19" s="13">
        <v>29037.919999999998</v>
      </c>
      <c r="I19" s="8" t="s">
        <v>72</v>
      </c>
      <c r="K19" s="8" t="s">
        <v>73</v>
      </c>
      <c r="L19" s="8" t="s">
        <v>74</v>
      </c>
    </row>
    <row r="20" spans="1:12" ht="30" customHeight="1" x14ac:dyDescent="0.25">
      <c r="A20" s="8" t="s">
        <v>109</v>
      </c>
      <c r="B20" s="8" t="s">
        <v>23</v>
      </c>
      <c r="C20" s="8" t="s">
        <v>24</v>
      </c>
      <c r="D20" s="8" t="s">
        <v>75</v>
      </c>
      <c r="E20" s="8" t="s">
        <v>76</v>
      </c>
      <c r="F20" s="8" t="s">
        <v>77</v>
      </c>
      <c r="G20" s="8" t="s">
        <v>32</v>
      </c>
      <c r="H20" s="13">
        <v>57446.25</v>
      </c>
      <c r="I20" s="8" t="s">
        <v>78</v>
      </c>
      <c r="J20" s="8" t="s">
        <v>79</v>
      </c>
      <c r="K20" s="8" t="s">
        <v>80</v>
      </c>
      <c r="L20" s="8" t="s">
        <v>81</v>
      </c>
    </row>
    <row r="21" spans="1:12" x14ac:dyDescent="0.25">
      <c r="A21" s="15"/>
      <c r="B21" s="15"/>
      <c r="C21" s="15"/>
      <c r="D21" s="15" t="s">
        <v>82</v>
      </c>
      <c r="E21" s="15"/>
      <c r="F21" s="15"/>
      <c r="G21" s="15"/>
      <c r="H21" s="16">
        <f>SUM(H8:H20)</f>
        <v>495466.98000000004</v>
      </c>
      <c r="I21" s="15"/>
      <c r="J21" s="15"/>
      <c r="K21" s="15"/>
      <c r="L21" s="15"/>
    </row>
  </sheetData>
  <mergeCells count="2">
    <mergeCell ref="A2:F2"/>
    <mergeCell ref="G2:L2"/>
  </mergeCells>
  <pageMargins left="0.7" right="0.2" top="0.75" bottom="0.75" header="0.3" footer="0.3"/>
  <pageSetup paperSize="5" scale="6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30E6-A098-44C3-ABDF-F632D0CF5E54}">
  <sheetPr>
    <pageSetUpPr fitToPage="1"/>
  </sheetPr>
  <dimension ref="A1:H28"/>
  <sheetViews>
    <sheetView topLeftCell="A8" workbookViewId="0">
      <selection activeCell="E11" sqref="E11"/>
    </sheetView>
  </sheetViews>
  <sheetFormatPr defaultRowHeight="15.75" x14ac:dyDescent="0.25"/>
  <cols>
    <col min="1" max="1" width="18.7109375" style="8" customWidth="1"/>
    <col min="2" max="2" width="7.140625" style="8" customWidth="1"/>
    <col min="3" max="3" width="17.42578125" style="8" customWidth="1"/>
    <col min="4" max="4" width="16.7109375" style="8" customWidth="1"/>
    <col min="5" max="6" width="16.42578125" style="8" customWidth="1"/>
    <col min="7" max="7" width="14" style="8" customWidth="1"/>
    <col min="8" max="8" width="19.5703125" style="8" customWidth="1"/>
    <col min="9" max="16384" width="9.140625" style="8"/>
  </cols>
  <sheetData>
    <row r="1" spans="1:8" x14ac:dyDescent="0.25">
      <c r="E1" s="9"/>
      <c r="H1" s="9">
        <v>45636.999988425923</v>
      </c>
    </row>
    <row r="2" spans="1:8" x14ac:dyDescent="0.25">
      <c r="A2" s="10" t="s">
        <v>0</v>
      </c>
      <c r="B2" s="10"/>
      <c r="C2" s="11"/>
      <c r="D2" s="11"/>
      <c r="E2" s="12" t="s">
        <v>83</v>
      </c>
      <c r="F2" s="11"/>
      <c r="G2" s="11"/>
      <c r="H2" s="11"/>
    </row>
    <row r="3" spans="1:8" x14ac:dyDescent="0.25">
      <c r="A3" s="8" t="s">
        <v>7</v>
      </c>
      <c r="B3" s="8" t="s">
        <v>89</v>
      </c>
      <c r="C3" s="8" t="s">
        <v>8</v>
      </c>
      <c r="D3" s="8" t="s">
        <v>84</v>
      </c>
      <c r="E3" s="8" t="s">
        <v>85</v>
      </c>
      <c r="F3" s="8" t="s">
        <v>86</v>
      </c>
      <c r="G3" s="8" t="s">
        <v>88</v>
      </c>
      <c r="H3" s="8" t="s">
        <v>87</v>
      </c>
    </row>
    <row r="4" spans="1:8" ht="20.100000000000001" customHeight="1" x14ac:dyDescent="0.25">
      <c r="A4" s="8" t="s">
        <v>77</v>
      </c>
      <c r="C4" s="8" t="s">
        <v>32</v>
      </c>
      <c r="D4" s="13">
        <v>1000</v>
      </c>
      <c r="E4" s="13">
        <v>0</v>
      </c>
      <c r="F4" s="14">
        <v>57371.25</v>
      </c>
      <c r="G4" s="13"/>
      <c r="H4" s="13">
        <v>57446.25</v>
      </c>
    </row>
    <row r="5" spans="1:8" ht="20.100000000000001" customHeight="1" x14ac:dyDescent="0.25">
      <c r="D5" s="13"/>
      <c r="E5" s="13"/>
      <c r="F5" s="14"/>
      <c r="G5" s="13"/>
      <c r="H5" s="13"/>
    </row>
    <row r="6" spans="1:8" ht="20.100000000000001" customHeight="1" x14ac:dyDescent="0.25">
      <c r="A6" s="8" t="s">
        <v>36</v>
      </c>
      <c r="C6" s="8" t="s">
        <v>32</v>
      </c>
      <c r="D6" s="13">
        <v>500</v>
      </c>
      <c r="E6" s="13">
        <v>0</v>
      </c>
      <c r="F6" s="14">
        <v>25870.880000000001</v>
      </c>
      <c r="G6" s="13"/>
      <c r="H6" s="13">
        <v>25945.88</v>
      </c>
    </row>
    <row r="7" spans="1:8" ht="20.100000000000001" customHeight="1" x14ac:dyDescent="0.25">
      <c r="D7" s="13"/>
      <c r="E7" s="13"/>
      <c r="F7" s="13"/>
      <c r="G7" s="13"/>
      <c r="H7" s="13"/>
    </row>
    <row r="8" spans="1:8" ht="20.100000000000001" customHeight="1" x14ac:dyDescent="0.25">
      <c r="A8" s="8" t="s">
        <v>31</v>
      </c>
      <c r="C8" s="8" t="s">
        <v>32</v>
      </c>
      <c r="D8" s="13">
        <v>500</v>
      </c>
      <c r="E8" s="13">
        <v>0</v>
      </c>
      <c r="F8" s="13">
        <v>26395.94</v>
      </c>
      <c r="G8" s="13"/>
      <c r="H8" s="13">
        <v>26470.94</v>
      </c>
    </row>
    <row r="9" spans="1:8" ht="20.100000000000001" customHeight="1" x14ac:dyDescent="0.25">
      <c r="A9" s="8" t="s">
        <v>31</v>
      </c>
      <c r="C9" s="8" t="s">
        <v>27</v>
      </c>
      <c r="D9" s="13">
        <v>1000</v>
      </c>
      <c r="E9" s="13">
        <v>0</v>
      </c>
      <c r="F9" s="13">
        <v>61585</v>
      </c>
      <c r="G9" s="14">
        <f>SUM(F8:F9)</f>
        <v>87980.94</v>
      </c>
      <c r="H9" s="13">
        <v>61660</v>
      </c>
    </row>
    <row r="10" spans="1:8" ht="20.100000000000001" customHeight="1" x14ac:dyDescent="0.25">
      <c r="D10" s="13"/>
      <c r="E10" s="13"/>
      <c r="F10" s="13"/>
      <c r="G10" s="13"/>
      <c r="H10" s="13"/>
    </row>
    <row r="11" spans="1:8" ht="20.100000000000001" customHeight="1" x14ac:dyDescent="0.25">
      <c r="A11" s="8" t="s">
        <v>44</v>
      </c>
      <c r="C11" s="8" t="s">
        <v>20</v>
      </c>
      <c r="D11" s="13">
        <v>600</v>
      </c>
      <c r="E11" s="13">
        <v>0</v>
      </c>
      <c r="F11" s="14">
        <v>34851.69</v>
      </c>
      <c r="G11" s="13"/>
      <c r="H11" s="13">
        <v>34926.69</v>
      </c>
    </row>
    <row r="12" spans="1:8" ht="20.100000000000001" customHeight="1" x14ac:dyDescent="0.25">
      <c r="D12" s="13"/>
      <c r="E12" s="13"/>
      <c r="F12" s="14"/>
      <c r="G12" s="13"/>
      <c r="H12" s="13"/>
    </row>
    <row r="13" spans="1:8" ht="20.100000000000001" customHeight="1" x14ac:dyDescent="0.25">
      <c r="A13" s="8" t="s">
        <v>71</v>
      </c>
      <c r="C13" s="8" t="s">
        <v>20</v>
      </c>
      <c r="D13" s="13">
        <v>500</v>
      </c>
      <c r="E13" s="13">
        <v>0</v>
      </c>
      <c r="F13" s="14">
        <v>28962.92</v>
      </c>
      <c r="G13" s="13"/>
      <c r="H13" s="13">
        <v>29037.919999999998</v>
      </c>
    </row>
    <row r="14" spans="1:8" ht="20.100000000000001" customHeight="1" x14ac:dyDescent="0.25">
      <c r="D14" s="13"/>
      <c r="E14" s="13"/>
      <c r="F14" s="14"/>
      <c r="G14" s="13"/>
      <c r="H14" s="13"/>
    </row>
    <row r="15" spans="1:8" ht="20.100000000000001" customHeight="1" x14ac:dyDescent="0.25">
      <c r="A15" s="8" t="s">
        <v>90</v>
      </c>
      <c r="C15" s="8" t="s">
        <v>27</v>
      </c>
      <c r="D15" s="13">
        <v>600</v>
      </c>
      <c r="E15" s="13">
        <v>0</v>
      </c>
      <c r="F15" s="14">
        <v>30121.56</v>
      </c>
      <c r="G15" s="13"/>
      <c r="H15" s="13">
        <v>30196.560000000001</v>
      </c>
    </row>
    <row r="16" spans="1:8" ht="20.100000000000001" customHeight="1" x14ac:dyDescent="0.25">
      <c r="D16" s="13"/>
      <c r="E16" s="13"/>
      <c r="F16" s="14"/>
      <c r="G16" s="13"/>
      <c r="H16" s="13"/>
    </row>
    <row r="17" spans="1:8" ht="20.100000000000001" customHeight="1" x14ac:dyDescent="0.25">
      <c r="A17" s="8" t="s">
        <v>97</v>
      </c>
      <c r="C17" s="8" t="s">
        <v>27</v>
      </c>
      <c r="D17" s="13">
        <v>450</v>
      </c>
      <c r="E17" s="13">
        <v>0</v>
      </c>
      <c r="F17" s="14">
        <v>21225.19</v>
      </c>
      <c r="G17" s="13"/>
      <c r="H17" s="13">
        <v>21300.19</v>
      </c>
    </row>
    <row r="18" spans="1:8" ht="20.100000000000001" customHeight="1" x14ac:dyDescent="0.25">
      <c r="D18" s="13"/>
      <c r="E18" s="13"/>
      <c r="F18" s="14"/>
      <c r="G18" s="13"/>
      <c r="H18" s="13"/>
    </row>
    <row r="19" spans="1:8" ht="20.100000000000001" customHeight="1" x14ac:dyDescent="0.25">
      <c r="A19" s="8" t="s">
        <v>66</v>
      </c>
      <c r="C19" s="8" t="s">
        <v>27</v>
      </c>
      <c r="D19" s="13">
        <v>500</v>
      </c>
      <c r="E19" s="13">
        <v>0</v>
      </c>
      <c r="F19" s="14">
        <v>25242.720000000001</v>
      </c>
      <c r="G19" s="13"/>
      <c r="H19" s="13">
        <v>25317.72</v>
      </c>
    </row>
    <row r="20" spans="1:8" ht="20.100000000000001" customHeight="1" x14ac:dyDescent="0.25">
      <c r="D20" s="13"/>
      <c r="E20" s="13"/>
      <c r="F20" s="14"/>
      <c r="G20" s="13"/>
      <c r="H20" s="13"/>
    </row>
    <row r="21" spans="1:8" ht="20.100000000000001" customHeight="1" x14ac:dyDescent="0.25">
      <c r="A21" s="8" t="s">
        <v>26</v>
      </c>
      <c r="C21" s="8" t="s">
        <v>27</v>
      </c>
      <c r="D21" s="13">
        <v>500</v>
      </c>
      <c r="E21" s="13">
        <v>0</v>
      </c>
      <c r="F21" s="14">
        <v>27230.13</v>
      </c>
      <c r="G21" s="13"/>
      <c r="H21" s="13">
        <v>27305.13</v>
      </c>
    </row>
    <row r="22" spans="1:8" ht="20.100000000000001" customHeight="1" x14ac:dyDescent="0.25">
      <c r="D22" s="13"/>
      <c r="E22" s="13"/>
      <c r="F22" s="14"/>
      <c r="G22" s="13"/>
      <c r="H22" s="13"/>
    </row>
    <row r="23" spans="1:8" ht="20.100000000000001" customHeight="1" x14ac:dyDescent="0.25">
      <c r="A23" s="8" t="s">
        <v>19</v>
      </c>
      <c r="C23" s="8" t="s">
        <v>20</v>
      </c>
      <c r="D23" s="13">
        <v>800</v>
      </c>
      <c r="E23" s="13">
        <v>0</v>
      </c>
      <c r="F23" s="14">
        <v>46922.63</v>
      </c>
      <c r="G23" s="13"/>
      <c r="H23" s="13">
        <v>46997.63</v>
      </c>
    </row>
    <row r="24" spans="1:8" ht="20.100000000000001" customHeight="1" x14ac:dyDescent="0.25">
      <c r="D24" s="13"/>
      <c r="E24" s="13"/>
      <c r="F24" s="13"/>
      <c r="G24" s="13"/>
      <c r="H24" s="13"/>
    </row>
    <row r="25" spans="1:8" ht="20.100000000000001" customHeight="1" x14ac:dyDescent="0.25">
      <c r="A25" s="8" t="s">
        <v>48</v>
      </c>
      <c r="C25" s="8" t="s">
        <v>27</v>
      </c>
      <c r="D25" s="13">
        <v>1000</v>
      </c>
      <c r="E25" s="13">
        <v>0</v>
      </c>
      <c r="F25" s="13">
        <v>61447.82</v>
      </c>
      <c r="G25" s="13"/>
      <c r="H25" s="13">
        <v>61522.82</v>
      </c>
    </row>
    <row r="26" spans="1:8" ht="20.100000000000001" customHeight="1" x14ac:dyDescent="0.25">
      <c r="A26" s="8" t="s">
        <v>48</v>
      </c>
      <c r="C26" s="8" t="s">
        <v>27</v>
      </c>
      <c r="D26" s="13">
        <v>800</v>
      </c>
      <c r="E26" s="13">
        <v>0</v>
      </c>
      <c r="F26" s="13">
        <v>47264.25</v>
      </c>
      <c r="G26" s="14">
        <f>SUM(F25:F26)</f>
        <v>108712.07</v>
      </c>
      <c r="H26" s="13">
        <v>47339.25</v>
      </c>
    </row>
    <row r="27" spans="1:8" x14ac:dyDescent="0.25">
      <c r="D27" s="13"/>
      <c r="E27" s="13"/>
      <c r="F27" s="13"/>
      <c r="G27" s="13"/>
      <c r="H27" s="13"/>
    </row>
    <row r="28" spans="1:8" x14ac:dyDescent="0.25">
      <c r="A28" s="15"/>
      <c r="B28" s="15"/>
      <c r="C28" s="15"/>
      <c r="D28" s="16">
        <f>SUM(D4:D26)</f>
        <v>8750</v>
      </c>
      <c r="E28" s="16">
        <f>SUM(E4:E26)</f>
        <v>0</v>
      </c>
      <c r="F28" s="16">
        <f>SUM(F4:F26)</f>
        <v>494491.98000000004</v>
      </c>
      <c r="G28" s="16"/>
      <c r="H28" s="16">
        <f>SUM(H4:H26)</f>
        <v>495466.98000000004</v>
      </c>
    </row>
  </sheetData>
  <mergeCells count="2">
    <mergeCell ref="A2:D2"/>
    <mergeCell ref="E2:H2"/>
  </mergeCells>
  <pageMargins left="0.7" right="0.7" top="0.75" bottom="0.75" header="0.3" footer="0.3"/>
  <pageSetup scale="90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D49A-78E1-4B4D-B801-65351D298072}">
  <dimension ref="A1:F18"/>
  <sheetViews>
    <sheetView view="pageBreakPreview" zoomScale="60" zoomScaleNormal="100" workbookViewId="0">
      <selection activeCell="E29" sqref="E29"/>
    </sheetView>
  </sheetViews>
  <sheetFormatPr defaultRowHeight="15" x14ac:dyDescent="0.25"/>
  <cols>
    <col min="1" max="1" width="12.85546875" customWidth="1"/>
    <col min="2" max="2" width="11.42578125" customWidth="1"/>
    <col min="3" max="3" width="15.42578125" customWidth="1"/>
    <col min="4" max="4" width="4.42578125" customWidth="1"/>
    <col min="5" max="5" width="17" customWidth="1"/>
    <col min="6" max="6" width="23.5703125" customWidth="1"/>
  </cols>
  <sheetData>
    <row r="1" spans="1:6" s="6" customFormat="1" ht="24.95" customHeight="1" x14ac:dyDescent="0.25">
      <c r="A1" s="6" t="s">
        <v>93</v>
      </c>
      <c r="D1" s="7"/>
      <c r="F1" s="7">
        <v>45636.999988425923</v>
      </c>
    </row>
    <row r="2" spans="1:6" ht="24.95" customHeight="1" x14ac:dyDescent="0.25">
      <c r="A2" s="2" t="s">
        <v>0</v>
      </c>
      <c r="B2" s="3"/>
      <c r="C2" s="3"/>
      <c r="D2" s="4" t="s">
        <v>91</v>
      </c>
      <c r="E2" s="3"/>
      <c r="F2" s="3"/>
    </row>
    <row r="3" spans="1:6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  <c r="F3" t="s">
        <v>14</v>
      </c>
    </row>
    <row r="4" spans="1:6" ht="24.95" customHeight="1" x14ac:dyDescent="0.25">
      <c r="A4" t="s">
        <v>15</v>
      </c>
      <c r="B4" t="s">
        <v>17</v>
      </c>
      <c r="C4" t="s">
        <v>18</v>
      </c>
      <c r="E4" t="s">
        <v>19</v>
      </c>
    </row>
    <row r="5" spans="1:6" ht="24.95" customHeight="1" x14ac:dyDescent="0.25">
      <c r="A5" s="1"/>
      <c r="B5" s="1"/>
      <c r="C5" s="1" t="s">
        <v>92</v>
      </c>
      <c r="D5" s="1"/>
      <c r="E5" s="1"/>
      <c r="F5" s="1"/>
    </row>
    <row r="6" spans="1:6" ht="24.95" customHeight="1" x14ac:dyDescent="0.25"/>
    <row r="7" spans="1:6" ht="24.95" customHeight="1" x14ac:dyDescent="0.25"/>
    <row r="9" spans="1:6" x14ac:dyDescent="0.25">
      <c r="A9" t="s">
        <v>94</v>
      </c>
      <c r="B9" s="5"/>
      <c r="C9" s="5"/>
      <c r="D9" s="5"/>
      <c r="E9" s="5"/>
    </row>
    <row r="14" spans="1:6" x14ac:dyDescent="0.25">
      <c r="A14" t="s">
        <v>95</v>
      </c>
      <c r="B14" s="5"/>
      <c r="C14" s="5"/>
      <c r="D14" s="5"/>
      <c r="E14" s="5"/>
    </row>
    <row r="18" spans="1:3" x14ac:dyDescent="0.25">
      <c r="A18" t="s">
        <v>96</v>
      </c>
      <c r="B18" s="5"/>
      <c r="C18" s="5"/>
    </row>
  </sheetData>
  <mergeCells count="2">
    <mergeCell ref="A2:C2"/>
    <mergeCell ref="D2:F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2024-12-10T19:38:48Z</cp:lastPrinted>
  <dcterms:created xsi:type="dcterms:W3CDTF">2024-12-10T19:27:08Z</dcterms:created>
  <dcterms:modified xsi:type="dcterms:W3CDTF">2024-12-10T20:17:17Z</dcterms:modified>
</cp:coreProperties>
</file>