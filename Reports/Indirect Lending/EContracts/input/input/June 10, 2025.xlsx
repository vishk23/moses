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452DAD2-5E71-4DFB-BC7F-247B0C15E5F8}" xr6:coauthVersionLast="47" xr6:coauthVersionMax="47" xr10:uidLastSave="{00000000-0000-0000-0000-000000000000}"/>
  <bookViews>
    <workbookView xWindow="31425" yWindow="2400" windowWidth="21960" windowHeight="13110" xr2:uid="{00000000-000D-0000-FFFF-FFFF00000000}"/>
  </bookViews>
  <sheets>
    <sheet name="Funding Worksheet - Folder Vers" sheetId="1" r:id="rId1"/>
    <sheet name="Funding Worksheet - 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H22" i="2"/>
  <c r="F22" i="2"/>
  <c r="E22" i="2"/>
  <c r="D22" i="2"/>
  <c r="H13" i="1" l="1"/>
</calcChain>
</file>

<file path=xl/sharedStrings.xml><?xml version="1.0" encoding="utf-8"?>
<sst xmlns="http://schemas.openxmlformats.org/spreadsheetml/2006/main" count="118" uniqueCount="76">
  <si>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</si>
  <si>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</si>
  <si>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</si>
  <si>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</si>
  <si>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</si>
  <si>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</si>
  <si>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</si>
  <si>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</si>
  <si>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</si>
  <si>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</si>
  <si>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</si>
  <si>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</si>
  <si>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</si>
  <si>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</si>
  <si>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</si>
  <si>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</si>
  <si>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BREEN, RACHEL</t>
  </si>
  <si>
    <t>Alden Mazda</t>
  </si>
  <si>
    <t>Neli Oliveira</t>
  </si>
  <si>
    <t>RAEBREEN@YAHOO.COM</t>
  </si>
  <si>
    <t>LYNN</t>
  </si>
  <si>
    <t>PINTO, EVAN</t>
  </si>
  <si>
    <t>Grieco Toyota</t>
  </si>
  <si>
    <t>vsenecal315@gmil.com</t>
  </si>
  <si>
    <t>TRAVERS</t>
  </si>
  <si>
    <t>DealerTrack</t>
  </si>
  <si>
    <t>ROCHE, GERALD</t>
  </si>
  <si>
    <t>Viti Mercedes</t>
  </si>
  <si>
    <t>Rachel Gorham</t>
  </si>
  <si>
    <t>GJROCHE3@GMAIL.COM</t>
  </si>
  <si>
    <t>CADIGAN</t>
  </si>
  <si>
    <t>TROPEANO, PAULA</t>
  </si>
  <si>
    <t>T F Murphy Enterprises Inc</t>
  </si>
  <si>
    <t>ANDRELOPEZSOSE@MAIL.COM</t>
  </si>
  <si>
    <t>CEBALLOS</t>
  </si>
  <si>
    <t>KOS, JANINA</t>
  </si>
  <si>
    <t>Metro Honda</t>
  </si>
  <si>
    <t>JEZEWSKA</t>
  </si>
  <si>
    <t>BREGOLI, DARLENE</t>
  </si>
  <si>
    <t>Patriot Auto Group Inc d/b/a</t>
  </si>
  <si>
    <t>Dbrego01@hotmail.com</t>
  </si>
  <si>
    <t>AMES</t>
  </si>
  <si>
    <t>PATHAK, VIJAY</t>
  </si>
  <si>
    <t>Priority Automotive LLC</t>
  </si>
  <si>
    <t>Marlene Braganca</t>
  </si>
  <si>
    <t>VJSPORTS@GMAIL.COM</t>
  </si>
  <si>
    <t>Engelheart</t>
  </si>
  <si>
    <t>DONOVAN, PAULA</t>
  </si>
  <si>
    <t>DONOVAN, THOMAS</t>
  </si>
  <si>
    <t>Mastria Buick Pontiac</t>
  </si>
  <si>
    <t>pjdonovan2076@gmail.com</t>
  </si>
  <si>
    <t>TDONOVAN@HOTMAIL.COM</t>
  </si>
  <si>
    <t>Feeney</t>
  </si>
  <si>
    <t>Sullivan</t>
  </si>
  <si>
    <t>FULLAM, KEVIN</t>
  </si>
  <si>
    <t>FULLAM4@GMAIL.COM</t>
  </si>
  <si>
    <t>OLBRY'S</t>
  </si>
  <si>
    <t># 9</t>
  </si>
  <si>
    <t>151190784 E</t>
  </si>
  <si>
    <t>151190792 E</t>
  </si>
  <si>
    <t>151190809 E</t>
  </si>
  <si>
    <t>151190817 E</t>
  </si>
  <si>
    <t>151190875 E</t>
  </si>
  <si>
    <t>151190883 E</t>
  </si>
  <si>
    <t>151190982 E</t>
  </si>
  <si>
    <t>151191047 E</t>
  </si>
  <si>
    <t>151191055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</si>
  <si>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</si>
  <si>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</si>
  <si>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</si>
  <si>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</si>
  <si>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</si>
  <si>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</si>
  <si>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</si>
  <si>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 - Patriot Auto Group Inc d/b/a</t>
  </si>
  <si>
    <t>4453-2150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</si>
</sst>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3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44DE2D-C887-4E1E-B290-5FAF06CE5193}" name="Table_13" displayName="Table_13" ref="A4:H22" headerRowDxfId="17" dataDxfId="15" totalsRowDxfId="16">
  <sortState xmlns:xlrd2="http://schemas.microsoft.com/office/spreadsheetml/2017/richdata2" ref="A5:H22">
    <sortCondition ref="A5:A22"/>
  </sortState>
  <tableColumns count="8">
    <tableColumn id="1" xr3:uid="{F7F3F605-F040-4861-B603-6AFC9192B8ED}" name="Dealer Name" dataDxfId="25"/>
    <tableColumn id="8" xr3:uid="{CBB2506B-81CE-4039-A25E-ABA06874FAAD}" name="Column2" dataDxfId="24"/>
    <tableColumn id="2" xr3:uid="{4C8500BE-890D-4B83-B19A-6726FE67D312}" name="Funded by" dataDxfId="23"/>
    <tableColumn id="3" xr3:uid="{458A6B45-F729-4CC3-80DC-E21E0D34D92A}" name="Dealer Flat" dataDxfId="22"/>
    <tableColumn id="4" xr3:uid="{7D06F517-83F5-4847-9F5B-66DF453DE44C}" name="Dealer Split" dataDxfId="21"/>
    <tableColumn id="5" xr3:uid="{1A2E85D3-F96F-44FF-B226-D50251CA8EDE}" name="Net to Dealer" dataDxfId="20"/>
    <tableColumn id="7" xr3:uid="{A1B8A1A5-B009-4053-B6D8-AE7C0A12D066}" name="Column1" dataDxfId="19"/>
    <tableColumn id="6" xr3:uid="{7C05D742-EBF0-4D68-B7A8-C720F4E6C3B1}" name="Contracted Amount Financed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"/>
  <sheetViews>
    <sheetView tabSelected="1" workbookViewId="0">
      <pane ySplit="3" topLeftCell="A6" activePane="bottomLeft" state="frozen"/>
      <selection pane="bottomLeft" activeCell="F17" sqref="F17"/>
    </sheetView>
  </sheetViews>
  <sheetFormatPr defaultRowHeight="15.75" x14ac:dyDescent="0.25"/>
  <cols>
    <col min="1" max="1" width="13" style="1" customWidth="1"/>
    <col min="2" max="2" width="12.140625" style="1" bestFit="1" customWidth="1"/>
    <col min="3" max="3" width="12.28515625" style="1" customWidth="1"/>
    <col min="4" max="4" width="19" style="1" bestFit="1" customWidth="1"/>
    <col min="5" max="5" width="19.7109375" style="1" bestFit="1" customWidth="1"/>
    <col min="6" max="6" width="26.7109375" style="1" bestFit="1" customWidth="1"/>
    <col min="7" max="7" width="17.7109375" style="1" bestFit="1" customWidth="1"/>
    <col min="8" max="8" width="17.140625" style="1" bestFit="1" customWidth="1"/>
    <col min="9" max="9" width="29.5703125" style="1" bestFit="1" customWidth="1"/>
    <col min="10" max="10" width="25" style="1" customWidth="1"/>
    <col min="11" max="11" width="10.42578125" style="1" customWidth="1"/>
    <col min="12" max="12" width="9.5703125" style="1" customWidth="1"/>
    <col min="13" max="16384" width="9.140625" style="1"/>
  </cols>
  <sheetData>
    <row r="1" spans="1:12" x14ac:dyDescent="0.25">
      <c r="K1" s="11">
        <v>45818</v>
      </c>
      <c r="L1" s="12"/>
    </row>
    <row r="2" spans="1:12" x14ac:dyDescent="0.25">
      <c r="A2" s="3" t="s">
        <v>0</v>
      </c>
      <c r="B2" s="4"/>
      <c r="C2" s="4"/>
      <c r="D2" s="4"/>
      <c r="E2" s="4"/>
      <c r="F2" s="4"/>
      <c r="G2" s="5" t="s">
        <v>1</v>
      </c>
      <c r="H2" s="4"/>
      <c r="I2" s="4"/>
      <c r="J2" s="4"/>
      <c r="K2" s="4"/>
      <c r="L2" s="4"/>
    </row>
    <row r="3" spans="1:1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33" customHeight="1" x14ac:dyDescent="0.25">
      <c r="A4" s="1" t="s">
        <v>58</v>
      </c>
      <c r="B4" s="1" t="s">
        <v>14</v>
      </c>
      <c r="C4" s="1" t="s">
        <v>15</v>
      </c>
      <c r="D4" s="1" t="s">
        <v>16</v>
      </c>
      <c r="F4" s="1" t="s">
        <v>17</v>
      </c>
      <c r="G4" s="1" t="s">
        <v>18</v>
      </c>
      <c r="H4" s="6">
        <v>31915.63</v>
      </c>
      <c r="I4" s="1" t="s">
        <v>19</v>
      </c>
      <c r="K4" s="1" t="s">
        <v>20</v>
      </c>
    </row>
    <row r="5" spans="1:12" ht="33" customHeight="1" x14ac:dyDescent="0.25">
      <c r="A5" s="1" t="s">
        <v>59</v>
      </c>
      <c r="B5" s="1" t="s">
        <v>14</v>
      </c>
      <c r="C5" s="1" t="s">
        <v>15</v>
      </c>
      <c r="D5" s="1" t="s">
        <v>21</v>
      </c>
      <c r="F5" s="1" t="s">
        <v>22</v>
      </c>
      <c r="G5" s="1" t="s">
        <v>18</v>
      </c>
      <c r="H5" s="6">
        <v>30301.56</v>
      </c>
      <c r="I5" s="1" t="s">
        <v>23</v>
      </c>
      <c r="K5" s="1" t="s">
        <v>24</v>
      </c>
    </row>
    <row r="6" spans="1:12" ht="33" customHeight="1" x14ac:dyDescent="0.25">
      <c r="A6" s="1" t="s">
        <v>60</v>
      </c>
      <c r="B6" s="1" t="s">
        <v>25</v>
      </c>
      <c r="C6" s="1" t="s">
        <v>15</v>
      </c>
      <c r="D6" s="1" t="s">
        <v>26</v>
      </c>
      <c r="F6" s="1" t="s">
        <v>27</v>
      </c>
      <c r="G6" s="1" t="s">
        <v>28</v>
      </c>
      <c r="H6" s="6">
        <v>39932.5</v>
      </c>
      <c r="I6" s="1" t="s">
        <v>29</v>
      </c>
      <c r="K6" s="1" t="s">
        <v>30</v>
      </c>
    </row>
    <row r="7" spans="1:12" ht="33" customHeight="1" x14ac:dyDescent="0.25">
      <c r="A7" s="1" t="s">
        <v>61</v>
      </c>
      <c r="B7" s="1" t="s">
        <v>14</v>
      </c>
      <c r="C7" s="1" t="s">
        <v>15</v>
      </c>
      <c r="D7" s="1" t="s">
        <v>31</v>
      </c>
      <c r="F7" s="1" t="s">
        <v>32</v>
      </c>
      <c r="G7" s="1" t="s">
        <v>18</v>
      </c>
      <c r="H7" s="6">
        <v>32157.71</v>
      </c>
      <c r="I7" s="1" t="s">
        <v>33</v>
      </c>
      <c r="K7" s="1" t="s">
        <v>34</v>
      </c>
    </row>
    <row r="8" spans="1:12" ht="33" customHeight="1" x14ac:dyDescent="0.25">
      <c r="A8" s="1" t="s">
        <v>62</v>
      </c>
      <c r="B8" s="1" t="s">
        <v>25</v>
      </c>
      <c r="C8" s="1" t="s">
        <v>15</v>
      </c>
      <c r="D8" s="1" t="s">
        <v>35</v>
      </c>
      <c r="F8" s="1" t="s">
        <v>36</v>
      </c>
      <c r="G8" s="1" t="s">
        <v>18</v>
      </c>
      <c r="H8" s="6">
        <v>23759.69</v>
      </c>
      <c r="K8" s="1" t="s">
        <v>37</v>
      </c>
    </row>
    <row r="9" spans="1:12" ht="33" customHeight="1" x14ac:dyDescent="0.25">
      <c r="A9" s="1" t="s">
        <v>63</v>
      </c>
      <c r="B9" s="1" t="s">
        <v>14</v>
      </c>
      <c r="C9" s="1" t="s">
        <v>15</v>
      </c>
      <c r="D9" s="1" t="s">
        <v>38</v>
      </c>
      <c r="F9" s="1" t="s">
        <v>39</v>
      </c>
      <c r="G9" s="1" t="s">
        <v>18</v>
      </c>
      <c r="H9" s="6">
        <v>27070</v>
      </c>
      <c r="I9" s="1" t="s">
        <v>40</v>
      </c>
      <c r="K9" s="1" t="s">
        <v>41</v>
      </c>
    </row>
    <row r="10" spans="1:12" ht="33" customHeight="1" x14ac:dyDescent="0.25">
      <c r="A10" s="1" t="s">
        <v>64</v>
      </c>
      <c r="B10" s="1" t="s">
        <v>25</v>
      </c>
      <c r="C10" s="1" t="s">
        <v>15</v>
      </c>
      <c r="D10" s="1" t="s">
        <v>42</v>
      </c>
      <c r="F10" s="1" t="s">
        <v>43</v>
      </c>
      <c r="G10" s="1" t="s">
        <v>44</v>
      </c>
      <c r="H10" s="6">
        <v>47951.63</v>
      </c>
      <c r="I10" s="1" t="s">
        <v>45</v>
      </c>
      <c r="K10" s="1" t="s">
        <v>46</v>
      </c>
    </row>
    <row r="11" spans="1:12" ht="33" customHeight="1" x14ac:dyDescent="0.25">
      <c r="A11" s="1" t="s">
        <v>65</v>
      </c>
      <c r="B11" s="1" t="s">
        <v>14</v>
      </c>
      <c r="C11" s="1" t="s">
        <v>15</v>
      </c>
      <c r="D11" s="1" t="s">
        <v>47</v>
      </c>
      <c r="E11" s="1" t="s">
        <v>48</v>
      </c>
      <c r="F11" s="1" t="s">
        <v>49</v>
      </c>
      <c r="G11" s="1" t="s">
        <v>44</v>
      </c>
      <c r="H11" s="6">
        <v>50630.3</v>
      </c>
      <c r="I11" s="1" t="s">
        <v>50</v>
      </c>
      <c r="J11" s="1" t="s">
        <v>51</v>
      </c>
      <c r="K11" s="1" t="s">
        <v>52</v>
      </c>
      <c r="L11" s="1" t="s">
        <v>53</v>
      </c>
    </row>
    <row r="12" spans="1:12" ht="33" customHeight="1" x14ac:dyDescent="0.25">
      <c r="A12" s="1" t="s">
        <v>66</v>
      </c>
      <c r="B12" s="1" t="s">
        <v>14</v>
      </c>
      <c r="C12" s="1" t="s">
        <v>15</v>
      </c>
      <c r="D12" s="1" t="s">
        <v>54</v>
      </c>
      <c r="F12" s="1" t="s">
        <v>32</v>
      </c>
      <c r="G12" s="1" t="s">
        <v>28</v>
      </c>
      <c r="H12" s="6">
        <v>44850.38</v>
      </c>
      <c r="I12" s="1" t="s">
        <v>55</v>
      </c>
      <c r="K12" s="1" t="s">
        <v>56</v>
      </c>
    </row>
    <row r="13" spans="1:12" x14ac:dyDescent="0.25">
      <c r="A13" s="8"/>
      <c r="B13" s="8"/>
      <c r="C13" s="8"/>
      <c r="D13" s="8" t="s">
        <v>57</v>
      </c>
      <c r="E13" s="8"/>
      <c r="F13" s="8"/>
      <c r="G13" s="8"/>
      <c r="H13" s="9">
        <f>SUM(H4:H12)</f>
        <v>328569.40000000002</v>
      </c>
      <c r="I13" s="8"/>
      <c r="J13" s="8"/>
      <c r="K13" s="8"/>
      <c r="L13" s="8"/>
    </row>
  </sheetData>
  <mergeCells count="3">
    <mergeCell ref="A2:F2"/>
    <mergeCell ref="G2:L2"/>
    <mergeCell ref="K1:L1"/>
  </mergeCells>
  <pageMargins left="0.7" right="0" top="0.75" bottom="0.75" header="0.3" footer="0.3"/>
  <pageSetup paperSize="5" scale="7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C6DC-EE5B-4CF6-84D5-E641840A4FCA}">
  <dimension ref="A2:H22"/>
  <sheetViews>
    <sheetView workbookViewId="0">
      <selection activeCell="C25" sqref="C25"/>
    </sheetView>
  </sheetViews>
  <sheetFormatPr defaultRowHeight="15.75" x14ac:dyDescent="0.25"/>
  <cols>
    <col min="1" max="2" width="17.28515625" style="1" customWidth="1"/>
    <col min="3" max="3" width="15" style="1" customWidth="1"/>
    <col min="4" max="4" width="13.7109375" style="1" customWidth="1"/>
    <col min="5" max="5" width="13.28515625" style="1" customWidth="1"/>
    <col min="6" max="6" width="14.28515625" style="1" customWidth="1"/>
    <col min="7" max="7" width="15.140625" style="1" bestFit="1" customWidth="1"/>
    <col min="8" max="8" width="16.28515625" style="1" customWidth="1"/>
    <col min="9" max="16384" width="9.140625" style="1"/>
  </cols>
  <sheetData>
    <row r="2" spans="1:8" x14ac:dyDescent="0.25">
      <c r="E2" s="2"/>
      <c r="H2" s="2">
        <v>45818.999988425923</v>
      </c>
    </row>
    <row r="3" spans="1:8" x14ac:dyDescent="0.25">
      <c r="A3" s="3" t="s">
        <v>0</v>
      </c>
      <c r="B3" s="3"/>
      <c r="C3" s="4"/>
      <c r="D3" s="4"/>
      <c r="E3" s="5" t="s">
        <v>67</v>
      </c>
      <c r="F3" s="4"/>
      <c r="G3" s="4"/>
      <c r="H3" s="4"/>
    </row>
    <row r="4" spans="1:8" x14ac:dyDescent="0.25">
      <c r="A4" s="1" t="s">
        <v>7</v>
      </c>
      <c r="B4" s="1" t="s">
        <v>73</v>
      </c>
      <c r="C4" s="1" t="s">
        <v>8</v>
      </c>
      <c r="D4" s="1" t="s">
        <v>68</v>
      </c>
      <c r="E4" s="1" t="s">
        <v>69</v>
      </c>
      <c r="F4" s="1" t="s">
        <v>70</v>
      </c>
      <c r="G4" s="1" t="s">
        <v>72</v>
      </c>
      <c r="H4" s="1" t="s">
        <v>71</v>
      </c>
    </row>
    <row r="5" spans="1:8" ht="24.95" customHeight="1" x14ac:dyDescent="0.25">
      <c r="A5" s="1" t="s">
        <v>17</v>
      </c>
      <c r="C5" s="1" t="s">
        <v>18</v>
      </c>
      <c r="D5" s="6">
        <v>850</v>
      </c>
      <c r="E5" s="6">
        <v>0</v>
      </c>
      <c r="F5" s="7">
        <v>31840.63</v>
      </c>
      <c r="G5" s="6"/>
      <c r="H5" s="6">
        <v>31915.63</v>
      </c>
    </row>
    <row r="6" spans="1:8" ht="24.95" customHeight="1" x14ac:dyDescent="0.25">
      <c r="D6" s="6"/>
      <c r="E6" s="6"/>
      <c r="F6" s="7"/>
      <c r="G6" s="6"/>
      <c r="H6" s="6"/>
    </row>
    <row r="7" spans="1:8" ht="24.95" customHeight="1" x14ac:dyDescent="0.25">
      <c r="A7" s="1" t="s">
        <v>22</v>
      </c>
      <c r="C7" s="1" t="s">
        <v>18</v>
      </c>
      <c r="D7" s="6">
        <v>850</v>
      </c>
      <c r="E7" s="6">
        <v>0</v>
      </c>
      <c r="F7" s="7">
        <v>30226.560000000001</v>
      </c>
      <c r="G7" s="6"/>
      <c r="H7" s="6">
        <v>30301.56</v>
      </c>
    </row>
    <row r="8" spans="1:8" ht="24.95" customHeight="1" x14ac:dyDescent="0.25">
      <c r="D8" s="6"/>
      <c r="E8" s="6"/>
      <c r="F8" s="7"/>
      <c r="G8" s="6"/>
      <c r="H8" s="6"/>
    </row>
    <row r="9" spans="1:8" ht="24.95" customHeight="1" x14ac:dyDescent="0.25">
      <c r="A9" s="1" t="s">
        <v>74</v>
      </c>
      <c r="C9" s="1" t="s">
        <v>18</v>
      </c>
      <c r="D9" s="6">
        <v>750</v>
      </c>
      <c r="E9" s="6">
        <v>0</v>
      </c>
      <c r="F9" s="7">
        <v>26995</v>
      </c>
      <c r="G9" s="6"/>
      <c r="H9" s="6">
        <v>27070</v>
      </c>
    </row>
    <row r="10" spans="1:8" ht="24.95" customHeight="1" x14ac:dyDescent="0.25">
      <c r="D10" s="6"/>
      <c r="E10" s="6"/>
      <c r="F10" s="7"/>
      <c r="G10" s="6"/>
      <c r="H10" s="6"/>
    </row>
    <row r="11" spans="1:8" ht="24.95" customHeight="1" x14ac:dyDescent="0.25">
      <c r="A11" s="1" t="s">
        <v>49</v>
      </c>
      <c r="B11" s="10" t="s">
        <v>75</v>
      </c>
      <c r="C11" s="1" t="s">
        <v>44</v>
      </c>
      <c r="D11" s="6">
        <v>1350</v>
      </c>
      <c r="E11" s="6">
        <v>0</v>
      </c>
      <c r="F11" s="7">
        <v>50555.3</v>
      </c>
      <c r="G11" s="6"/>
      <c r="H11" s="6">
        <v>50630.3</v>
      </c>
    </row>
    <row r="12" spans="1:8" ht="24.95" customHeight="1" x14ac:dyDescent="0.25">
      <c r="D12" s="6"/>
      <c r="E12" s="6"/>
      <c r="F12" s="7"/>
      <c r="G12" s="6"/>
      <c r="H12" s="6"/>
    </row>
    <row r="13" spans="1:8" ht="24.95" customHeight="1" x14ac:dyDescent="0.25">
      <c r="A13" s="1" t="s">
        <v>36</v>
      </c>
      <c r="C13" s="1" t="s">
        <v>18</v>
      </c>
      <c r="D13" s="6">
        <v>650</v>
      </c>
      <c r="E13" s="6">
        <v>0</v>
      </c>
      <c r="F13" s="7">
        <v>23684.69</v>
      </c>
      <c r="G13" s="6"/>
      <c r="H13" s="6">
        <v>23759.69</v>
      </c>
    </row>
    <row r="14" spans="1:8" ht="24.95" customHeight="1" x14ac:dyDescent="0.25">
      <c r="D14" s="6"/>
      <c r="E14" s="6"/>
      <c r="F14" s="7"/>
      <c r="G14" s="6"/>
      <c r="H14" s="6"/>
    </row>
    <row r="15" spans="1:8" ht="24.95" customHeight="1" x14ac:dyDescent="0.25">
      <c r="A15" s="1" t="s">
        <v>43</v>
      </c>
      <c r="C15" s="1" t="s">
        <v>44</v>
      </c>
      <c r="D15" s="6">
        <v>1150</v>
      </c>
      <c r="E15" s="6">
        <v>0</v>
      </c>
      <c r="F15" s="7">
        <v>47876.63</v>
      </c>
      <c r="G15" s="6"/>
      <c r="H15" s="6">
        <v>47951.63</v>
      </c>
    </row>
    <row r="16" spans="1:8" ht="24.95" customHeight="1" x14ac:dyDescent="0.25">
      <c r="D16" s="6"/>
      <c r="E16" s="6"/>
      <c r="F16" s="6"/>
      <c r="G16" s="6"/>
      <c r="H16" s="6"/>
    </row>
    <row r="17" spans="1:8" ht="24.95" customHeight="1" x14ac:dyDescent="0.25">
      <c r="A17" s="1" t="s">
        <v>32</v>
      </c>
      <c r="C17" s="1" t="s">
        <v>28</v>
      </c>
      <c r="D17" s="6">
        <v>1050</v>
      </c>
      <c r="E17" s="6">
        <v>0</v>
      </c>
      <c r="F17" s="6">
        <v>44775.38</v>
      </c>
      <c r="G17" s="6"/>
      <c r="H17" s="6">
        <v>44850.38</v>
      </c>
    </row>
    <row r="18" spans="1:8" ht="24.95" customHeight="1" x14ac:dyDescent="0.25">
      <c r="A18" s="1" t="s">
        <v>32</v>
      </c>
      <c r="C18" s="1" t="s">
        <v>18</v>
      </c>
      <c r="D18" s="6">
        <v>850</v>
      </c>
      <c r="E18" s="6">
        <v>0</v>
      </c>
      <c r="F18" s="6">
        <v>32082.71</v>
      </c>
      <c r="G18" s="7">
        <f>SUM(F17:F18)</f>
        <v>76858.09</v>
      </c>
      <c r="H18" s="6">
        <v>32157.71</v>
      </c>
    </row>
    <row r="19" spans="1:8" ht="24.95" customHeight="1" x14ac:dyDescent="0.25">
      <c r="D19" s="6"/>
      <c r="E19" s="6"/>
      <c r="F19" s="6"/>
      <c r="G19" s="6"/>
      <c r="H19" s="6"/>
    </row>
    <row r="20" spans="1:8" ht="24.95" customHeight="1" x14ac:dyDescent="0.25">
      <c r="A20" s="1" t="s">
        <v>27</v>
      </c>
      <c r="C20" s="1" t="s">
        <v>28</v>
      </c>
      <c r="D20" s="6">
        <v>950</v>
      </c>
      <c r="E20" s="6">
        <v>0</v>
      </c>
      <c r="F20" s="7">
        <v>39857.5</v>
      </c>
      <c r="G20" s="6"/>
      <c r="H20" s="6">
        <v>39932.5</v>
      </c>
    </row>
    <row r="21" spans="1:8" x14ac:dyDescent="0.25">
      <c r="D21" s="6"/>
      <c r="E21" s="6"/>
      <c r="F21" s="6"/>
      <c r="G21" s="6"/>
      <c r="H21" s="6"/>
    </row>
    <row r="22" spans="1:8" x14ac:dyDescent="0.25">
      <c r="A22" s="8"/>
      <c r="B22" s="8"/>
      <c r="C22" s="8"/>
      <c r="D22" s="9">
        <f>SUM(D5:D20)</f>
        <v>8450</v>
      </c>
      <c r="E22" s="9">
        <f>SUM(E5:E20)</f>
        <v>0</v>
      </c>
      <c r="F22" s="9">
        <f>SUM(F5:F20)</f>
        <v>327894.40000000002</v>
      </c>
      <c r="G22" s="9"/>
      <c r="H22" s="9">
        <f>SUM(H5:H20)</f>
        <v>328569.40000000002</v>
      </c>
    </row>
  </sheetData>
  <mergeCells count="2">
    <mergeCell ref="A3:D3"/>
    <mergeCell ref="E3:H3"/>
  </mergeCells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Funding Worksheet - 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2025-06-10T18:26:17Z</cp:lastPrinted>
  <dcterms:created xsi:type="dcterms:W3CDTF">2025-06-10T18:14:33Z</dcterms:created>
  <dcterms:modified xsi:type="dcterms:W3CDTF">2025-06-10T18:45:20Z</dcterms:modified>
</cp:coreProperties>
</file>