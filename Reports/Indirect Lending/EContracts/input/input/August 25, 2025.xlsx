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1E02032C-70F9-4B27-B010-79D2CEE02C30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17" i="2"/>
  <c r="G14" i="2"/>
  <c r="G11" i="2"/>
  <c r="H32" i="2"/>
  <c r="F32" i="2"/>
  <c r="E32" i="2"/>
  <c r="D32" i="2"/>
  <c r="H20" i="1"/>
</calcChain>
</file>

<file path=xl/sharedStrings.xml><?xml version="1.0" encoding="utf-8"?>
<sst xmlns="http://schemas.openxmlformats.org/spreadsheetml/2006/main" count="217" uniqueCount="118">
  <si>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</si>
  <si>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</si>
  <si>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</si>
  <si>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</si>
  <si>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</si>
  <si>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</si>
  <si>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</si>
  <si>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</si>
  <si>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</si>
  <si>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</si>
  <si>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</si>
  <si>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</si>
  <si>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</si>
  <si>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</si>
  <si>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</si>
  <si>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DealerTrack</t>
  </si>
  <si>
    <t>E Contract</t>
  </si>
  <si>
    <t>HENDRICKSON, NADINE</t>
  </si>
  <si>
    <t>Mastria Kia</t>
  </si>
  <si>
    <t>Marlene Braganca</t>
  </si>
  <si>
    <t>GLOCKGGG@YAHOO.COM</t>
  </si>
  <si>
    <t>Lavallee</t>
  </si>
  <si>
    <t>KENNEALLY, LINWOOD</t>
  </si>
  <si>
    <t>Atlantic Subaru</t>
  </si>
  <si>
    <t>KENNEALLY02@GMAIL.COM</t>
  </si>
  <si>
    <t>WEAVER</t>
  </si>
  <si>
    <t>Route One</t>
  </si>
  <si>
    <t>BASS, LEV</t>
  </si>
  <si>
    <t>Grieco Toyota</t>
  </si>
  <si>
    <t>lev888@gmail.com</t>
  </si>
  <si>
    <t>Yugraku</t>
  </si>
  <si>
    <t>WILLCUTT, KATHLEEN</t>
  </si>
  <si>
    <t>Coastal Volkswagon</t>
  </si>
  <si>
    <t>Rachel Gorham</t>
  </si>
  <si>
    <t>KATHYWILLCUTT@YAHOO.COM</t>
  </si>
  <si>
    <t>SQUIRES</t>
  </si>
  <si>
    <t>DESMARAIS, AMANDA</t>
  </si>
  <si>
    <t>Mastria Mazda</t>
  </si>
  <si>
    <t>AMANDADES99@GMAIL.COM</t>
  </si>
  <si>
    <t>CHRISTINE</t>
  </si>
  <si>
    <t>MCGUIRE, JENNIFER</t>
  </si>
  <si>
    <t>T F Murphy Enterprises Inc</t>
  </si>
  <si>
    <t>jen100276@gmail.com</t>
  </si>
  <si>
    <t>Rosenstein</t>
  </si>
  <si>
    <t>COITO, DAVID</t>
  </si>
  <si>
    <t>Colonial South Chrysler Dodge</t>
  </si>
  <si>
    <t>dcoito01@gmail.com</t>
  </si>
  <si>
    <t>Bentley</t>
  </si>
  <si>
    <t>LAPLUME, MICHAEL</t>
  </si>
  <si>
    <t>Priority Automotive LLC</t>
  </si>
  <si>
    <t>PINBALLSALES1@COX.NET</t>
  </si>
  <si>
    <t>LETOILE</t>
  </si>
  <si>
    <t>QUINN, CHRISTOPHER</t>
  </si>
  <si>
    <t>QUINN, PATRICIA</t>
  </si>
  <si>
    <t>Lucchettis Service Center Inc</t>
  </si>
  <si>
    <t>BAQUINN99@GMAIL.COM</t>
  </si>
  <si>
    <t>BAYQUINN99@GMAIL.COM</t>
  </si>
  <si>
    <t>Kiley</t>
  </si>
  <si>
    <t>Percope</t>
  </si>
  <si>
    <t>KOWLSKI, STEPHEN</t>
  </si>
  <si>
    <t>KOWLSKI, JOANN</t>
  </si>
  <si>
    <t>Planet Subaru</t>
  </si>
  <si>
    <t>STEPHEN.KOWLSKI@COMCAST.NET</t>
  </si>
  <si>
    <t>Burch</t>
  </si>
  <si>
    <t>MCCLOUD</t>
  </si>
  <si>
    <t>151217249</t>
  </si>
  <si>
    <t>Paper</t>
  </si>
  <si>
    <t>DREW, DIANA</t>
  </si>
  <si>
    <t>DIANASKHJ@YAHOO.COM</t>
  </si>
  <si>
    <t>JEAN</t>
  </si>
  <si>
    <t>BRANCA, MICHAEL</t>
  </si>
  <si>
    <t>Paul Masse Buick GMC South, Inc</t>
  </si>
  <si>
    <t>MBRANCA2@VERIZON.NET</t>
  </si>
  <si>
    <t>MANSILILLO</t>
  </si>
  <si>
    <t>MANAR, ANDRE</t>
  </si>
  <si>
    <t>ASMITHERMAN1213@GMAIL.COM</t>
  </si>
  <si>
    <t>CLARK</t>
  </si>
  <si>
    <t>151217281</t>
  </si>
  <si>
    <t>BOTELHO, JEFFREY</t>
  </si>
  <si>
    <t>Tasca Automotive Group Rt 6 One Inc</t>
  </si>
  <si>
    <t>botelho13@comcast.net</t>
  </si>
  <si>
    <t>Pereira</t>
  </si>
  <si>
    <t>SMITH, PAUL</t>
  </si>
  <si>
    <t>PAULGSMITH11@YAHOO.COM</t>
  </si>
  <si>
    <t>SALAMONE</t>
  </si>
  <si>
    <t>151217372</t>
  </si>
  <si>
    <t>FLANAGAN, ARTHUR</t>
  </si>
  <si>
    <t>BKTAMBO@AOL.COM</t>
  </si>
  <si>
    <t>HORGAN</t>
  </si>
  <si>
    <t># 16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</si>
  <si>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</si>
  <si>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</si>
  <si>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</si>
  <si>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</si>
  <si>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</si>
  <si>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</si>
  <si>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Column2</t>
  </si>
  <si>
    <t>Funding Worksheet - Signoff Version</t>
  </si>
  <si>
    <t># 3</t>
  </si>
  <si>
    <t>Original Notes Delivered</t>
  </si>
  <si>
    <t>Delivered by:</t>
  </si>
  <si>
    <t>Received by:</t>
  </si>
  <si>
    <t>Date signed:</t>
  </si>
  <si>
    <t>5099-5689</t>
  </si>
  <si>
    <t>5900-6390</t>
  </si>
  <si>
    <t>151217017 E</t>
  </si>
  <si>
    <t>151217041 E</t>
  </si>
  <si>
    <t>151217067 E</t>
  </si>
  <si>
    <t>151217075 E</t>
  </si>
  <si>
    <t>151217091 E</t>
  </si>
  <si>
    <t>151217140 E</t>
  </si>
  <si>
    <t>151217166 E</t>
  </si>
  <si>
    <t>151217190 E</t>
  </si>
  <si>
    <t>151217223 E</t>
  </si>
  <si>
    <t>151217231 E</t>
  </si>
  <si>
    <t>151217265 E</t>
  </si>
  <si>
    <t>151217273 E</t>
  </si>
  <si>
    <t>151217322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</si>
</sst>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5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7" fontId="2" fillId="0" borderId="0" xfId="0" applyNumberFormat="1" applyFont="1"/>
    <xf numFmtId="7" fontId="3" fillId="0" borderId="0" xfId="0" applyNumberFormat="1" applyFont="1"/>
    <xf numFmtId="7" fontId="4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L20">
  <tableColumns count="12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A15A62-878C-4EB1-8806-0726212D1B7B}" name="Table_13" displayName="Table_13" ref="A3:H32" headerRowDxfId="19" dataDxfId="18" totalsRowDxfId="17">
  <tableColumns count="8">
    <tableColumn id="1" xr3:uid="{7A09AED5-5BEF-4265-911D-D4DEBAC876DC}" name="Dealer Name" dataDxfId="16"/>
    <tableColumn id="7" xr3:uid="{15BCED8B-CAFD-478A-A501-EFE0B3C57C54}" name="Column1" dataDxfId="15"/>
    <tableColumn id="2" xr3:uid="{6167D387-6D52-465F-9213-45EE99D8547F}" name="Funded by" dataDxfId="14"/>
    <tableColumn id="3" xr3:uid="{8F5AFA7E-A9D1-4DC8-8D53-D24BC054799C}" name="Dealer Flat" dataDxfId="13"/>
    <tableColumn id="4" xr3:uid="{0A34DFDA-3048-492C-8B42-8A09FC10C193}" name="Dealer Split" dataDxfId="12"/>
    <tableColumn id="5" xr3:uid="{42EC02D5-BD0B-4A45-8D70-7B267B955462}" name="Net to Dealer" dataDxfId="11"/>
    <tableColumn id="8" xr3:uid="{9A9575CB-6C11-45D2-95FD-09E693CB6C64}" name="Column2" dataDxfId="10"/>
    <tableColumn id="6" xr3:uid="{17A9E903-70AA-42FF-B789-B4BCE0AA78F1}" name="Contracted Amount Financed" dataDxfId="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367597-2B1B-4A71-B1EC-1F6601DDD43B}" name="Table_14" displayName="Table_14" ref="A3:F7" headerRowDxfId="8" dataDxfId="7" totalsRowDxfId="6">
  <tableColumns count="6">
    <tableColumn id="1" xr3:uid="{8CB20658-164A-4CE1-AF51-1A24269F2499}" name="Account Number" dataDxfId="5"/>
    <tableColumn id="2" xr3:uid="{E23F31EF-CFF2-46B3-8E97-31CF60662601}" name="Contract Type" dataDxfId="4"/>
    <tableColumn id="3" xr3:uid="{AC1F3347-CCEB-425B-9DFC-1A99740381FA}" name="Applicant Name" dataDxfId="3"/>
    <tableColumn id="4" xr3:uid="{7AD967B7-523B-41EB-8F90-BF33D46E6BF6}" name="Co-Applicant Name" dataDxfId="2"/>
    <tableColumn id="5" xr3:uid="{71B5882C-0741-4E74-8170-4B7F624EE25C}" name="Dealer Name" dataDxfId="1"/>
    <tableColumn id="6" xr3:uid="{43D53F76-3007-43AE-8B7B-13B270B3E3FA}" name="Business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"/>
  <sheetViews>
    <sheetView tabSelected="1" topLeftCell="B1" workbookViewId="0">
      <pane ySplit="3" topLeftCell="A12" activePane="bottomLeft" state="frozen"/>
      <selection pane="bottomLeft" activeCell="A2" sqref="A1:F2"/>
    </sheetView>
  </sheetViews>
  <sheetFormatPr defaultRowHeight="15" x14ac:dyDescent="0.25"/>
  <cols>
    <col min="1" max="1" width="13.85546875" customWidth="1"/>
    <col min="2" max="2" width="12.140625" bestFit="1" customWidth="1"/>
    <col min="3" max="3" width="14" bestFit="1" customWidth="1"/>
    <col min="4" max="4" width="22.85546875" bestFit="1" customWidth="1"/>
    <col min="5" max="5" width="18" customWidth="1"/>
    <col min="6" max="6" width="35.7109375" bestFit="1" customWidth="1"/>
    <col min="7" max="7" width="17.7109375" bestFit="1" customWidth="1"/>
    <col min="8" max="8" width="17.140625" bestFit="1" customWidth="1"/>
    <col min="9" max="9" width="33.7109375" bestFit="1" customWidth="1"/>
    <col min="10" max="10" width="25.5703125" bestFit="1" customWidth="1"/>
    <col min="11" max="11" width="14.28515625" customWidth="1"/>
    <col min="12" max="12" width="11" customWidth="1"/>
  </cols>
  <sheetData>
    <row r="1" spans="1:12" x14ac:dyDescent="0.25">
      <c r="K1" s="17">
        <v>45894</v>
      </c>
      <c r="L1" s="15"/>
    </row>
    <row r="2" spans="1:12" x14ac:dyDescent="0.25">
      <c r="A2" s="14" t="s">
        <v>0</v>
      </c>
      <c r="B2" s="15"/>
      <c r="C2" s="15"/>
      <c r="D2" s="15"/>
      <c r="E2" s="15"/>
      <c r="F2" s="15"/>
      <c r="G2" s="16" t="s">
        <v>1</v>
      </c>
      <c r="H2" s="15"/>
      <c r="I2" s="15"/>
      <c r="J2" s="15"/>
      <c r="K2" s="15"/>
      <c r="L2" s="15"/>
    </row>
    <row r="3" spans="1:12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 ht="33" customHeight="1" x14ac:dyDescent="0.25">
      <c r="A4" t="s">
        <v>105</v>
      </c>
      <c r="B4" t="s">
        <v>15</v>
      </c>
      <c r="C4" t="s">
        <v>16</v>
      </c>
      <c r="D4" t="s">
        <v>17</v>
      </c>
      <c r="F4" t="s">
        <v>18</v>
      </c>
      <c r="G4" t="s">
        <v>19</v>
      </c>
      <c r="H4" s="2">
        <v>24280</v>
      </c>
      <c r="I4" t="s">
        <v>20</v>
      </c>
      <c r="K4" t="s">
        <v>21</v>
      </c>
    </row>
    <row r="5" spans="1:12" ht="33" customHeight="1" x14ac:dyDescent="0.25">
      <c r="A5" t="s">
        <v>106</v>
      </c>
      <c r="B5" t="s">
        <v>15</v>
      </c>
      <c r="C5" t="s">
        <v>16</v>
      </c>
      <c r="D5" t="s">
        <v>22</v>
      </c>
      <c r="F5" t="s">
        <v>23</v>
      </c>
      <c r="G5" t="s">
        <v>19</v>
      </c>
      <c r="H5" s="2">
        <v>55973.06</v>
      </c>
      <c r="I5" t="s">
        <v>24</v>
      </c>
      <c r="K5" t="s">
        <v>25</v>
      </c>
    </row>
    <row r="6" spans="1:12" ht="33" customHeight="1" x14ac:dyDescent="0.25">
      <c r="A6" t="s">
        <v>107</v>
      </c>
      <c r="B6" t="s">
        <v>26</v>
      </c>
      <c r="C6" t="s">
        <v>16</v>
      </c>
      <c r="D6" t="s">
        <v>27</v>
      </c>
      <c r="F6" t="s">
        <v>28</v>
      </c>
      <c r="G6" t="s">
        <v>19</v>
      </c>
      <c r="H6" s="2">
        <v>23076</v>
      </c>
      <c r="I6" t="s">
        <v>29</v>
      </c>
      <c r="K6" t="s">
        <v>30</v>
      </c>
    </row>
    <row r="7" spans="1:12" ht="33" customHeight="1" x14ac:dyDescent="0.25">
      <c r="A7" t="s">
        <v>108</v>
      </c>
      <c r="B7" t="s">
        <v>15</v>
      </c>
      <c r="C7" t="s">
        <v>16</v>
      </c>
      <c r="D7" t="s">
        <v>31</v>
      </c>
      <c r="F7" t="s">
        <v>32</v>
      </c>
      <c r="G7" t="s">
        <v>33</v>
      </c>
      <c r="H7" s="2">
        <v>32580.73</v>
      </c>
      <c r="I7" t="s">
        <v>34</v>
      </c>
      <c r="K7" t="s">
        <v>35</v>
      </c>
    </row>
    <row r="8" spans="1:12" ht="33" customHeight="1" x14ac:dyDescent="0.25">
      <c r="A8" t="s">
        <v>109</v>
      </c>
      <c r="B8" t="s">
        <v>26</v>
      </c>
      <c r="C8" t="s">
        <v>16</v>
      </c>
      <c r="D8" t="s">
        <v>36</v>
      </c>
      <c r="F8" t="s">
        <v>37</v>
      </c>
      <c r="G8" t="s">
        <v>33</v>
      </c>
      <c r="H8" s="2">
        <v>25595.05</v>
      </c>
      <c r="I8" t="s">
        <v>38</v>
      </c>
      <c r="K8" t="s">
        <v>39</v>
      </c>
    </row>
    <row r="9" spans="1:12" ht="33" customHeight="1" x14ac:dyDescent="0.25">
      <c r="A9" t="s">
        <v>110</v>
      </c>
      <c r="B9" t="s">
        <v>26</v>
      </c>
      <c r="C9" t="s">
        <v>16</v>
      </c>
      <c r="D9" t="s">
        <v>40</v>
      </c>
      <c r="F9" t="s">
        <v>41</v>
      </c>
      <c r="G9" t="s">
        <v>19</v>
      </c>
      <c r="H9" s="2">
        <v>13381.25</v>
      </c>
      <c r="I9" t="s">
        <v>42</v>
      </c>
      <c r="K9" t="s">
        <v>43</v>
      </c>
    </row>
    <row r="10" spans="1:12" ht="33" customHeight="1" x14ac:dyDescent="0.25">
      <c r="A10" t="s">
        <v>111</v>
      </c>
      <c r="B10" t="s">
        <v>26</v>
      </c>
      <c r="C10" t="s">
        <v>16</v>
      </c>
      <c r="D10" t="s">
        <v>44</v>
      </c>
      <c r="F10" t="s">
        <v>45</v>
      </c>
      <c r="G10" t="s">
        <v>19</v>
      </c>
      <c r="H10" s="2">
        <v>43419.29</v>
      </c>
      <c r="I10" t="s">
        <v>46</v>
      </c>
      <c r="K10" t="s">
        <v>47</v>
      </c>
    </row>
    <row r="11" spans="1:12" ht="33" customHeight="1" x14ac:dyDescent="0.25">
      <c r="A11" t="s">
        <v>112</v>
      </c>
      <c r="B11" t="s">
        <v>15</v>
      </c>
      <c r="C11" t="s">
        <v>16</v>
      </c>
      <c r="D11" t="s">
        <v>48</v>
      </c>
      <c r="F11" t="s">
        <v>49</v>
      </c>
      <c r="G11" t="s">
        <v>19</v>
      </c>
      <c r="H11" s="2">
        <v>45681.45</v>
      </c>
      <c r="I11" t="s">
        <v>50</v>
      </c>
      <c r="K11" t="s">
        <v>51</v>
      </c>
    </row>
    <row r="12" spans="1:12" ht="33" customHeight="1" x14ac:dyDescent="0.25">
      <c r="A12" t="s">
        <v>113</v>
      </c>
      <c r="B12" t="s">
        <v>26</v>
      </c>
      <c r="C12" t="s">
        <v>16</v>
      </c>
      <c r="D12" t="s">
        <v>52</v>
      </c>
      <c r="E12" t="s">
        <v>53</v>
      </c>
      <c r="F12" t="s">
        <v>54</v>
      </c>
      <c r="G12" t="s">
        <v>19</v>
      </c>
      <c r="H12" s="2">
        <v>33009.75</v>
      </c>
      <c r="I12" t="s">
        <v>55</v>
      </c>
      <c r="J12" t="s">
        <v>56</v>
      </c>
      <c r="K12" t="s">
        <v>57</v>
      </c>
      <c r="L12" t="s">
        <v>58</v>
      </c>
    </row>
    <row r="13" spans="1:12" ht="33" customHeight="1" x14ac:dyDescent="0.25">
      <c r="A13" t="s">
        <v>114</v>
      </c>
      <c r="B13" t="s">
        <v>15</v>
      </c>
      <c r="C13" t="s">
        <v>16</v>
      </c>
      <c r="D13" t="s">
        <v>59</v>
      </c>
      <c r="E13" t="s">
        <v>60</v>
      </c>
      <c r="F13" t="s">
        <v>61</v>
      </c>
      <c r="G13" t="s">
        <v>19</v>
      </c>
      <c r="H13" s="2">
        <v>19677</v>
      </c>
      <c r="I13" t="s">
        <v>62</v>
      </c>
      <c r="K13" t="s">
        <v>63</v>
      </c>
      <c r="L13" t="s">
        <v>64</v>
      </c>
    </row>
    <row r="14" spans="1:12" ht="33" customHeight="1" x14ac:dyDescent="0.25">
      <c r="A14" t="s">
        <v>65</v>
      </c>
      <c r="B14" t="s">
        <v>15</v>
      </c>
      <c r="C14" t="s">
        <v>66</v>
      </c>
      <c r="D14" t="s">
        <v>67</v>
      </c>
      <c r="F14" t="s">
        <v>18</v>
      </c>
      <c r="G14" t="s">
        <v>33</v>
      </c>
      <c r="H14" s="2">
        <v>23567.05</v>
      </c>
      <c r="I14" t="s">
        <v>68</v>
      </c>
      <c r="K14" t="s">
        <v>69</v>
      </c>
    </row>
    <row r="15" spans="1:12" ht="33" customHeight="1" x14ac:dyDescent="0.25">
      <c r="A15" t="s">
        <v>115</v>
      </c>
      <c r="B15" t="s">
        <v>26</v>
      </c>
      <c r="C15" t="s">
        <v>16</v>
      </c>
      <c r="D15" t="s">
        <v>70</v>
      </c>
      <c r="F15" t="s">
        <v>71</v>
      </c>
      <c r="G15" t="s">
        <v>33</v>
      </c>
      <c r="H15" s="2">
        <v>20075</v>
      </c>
      <c r="I15" t="s">
        <v>72</v>
      </c>
      <c r="K15" t="s">
        <v>73</v>
      </c>
    </row>
    <row r="16" spans="1:12" ht="33" customHeight="1" x14ac:dyDescent="0.25">
      <c r="A16" t="s">
        <v>116</v>
      </c>
      <c r="B16" t="s">
        <v>26</v>
      </c>
      <c r="C16" t="s">
        <v>16</v>
      </c>
      <c r="D16" t="s">
        <v>74</v>
      </c>
      <c r="F16" t="s">
        <v>28</v>
      </c>
      <c r="G16" t="s">
        <v>33</v>
      </c>
      <c r="H16" s="2">
        <v>38630.589999999997</v>
      </c>
      <c r="I16" t="s">
        <v>75</v>
      </c>
      <c r="K16" t="s">
        <v>76</v>
      </c>
    </row>
    <row r="17" spans="1:12" ht="33" customHeight="1" x14ac:dyDescent="0.25">
      <c r="A17" t="s">
        <v>77</v>
      </c>
      <c r="B17" t="s">
        <v>26</v>
      </c>
      <c r="C17" t="s">
        <v>66</v>
      </c>
      <c r="D17" t="s">
        <v>78</v>
      </c>
      <c r="F17" t="s">
        <v>79</v>
      </c>
      <c r="G17" t="s">
        <v>19</v>
      </c>
      <c r="H17" s="2">
        <v>16240.56</v>
      </c>
      <c r="I17" t="s">
        <v>80</v>
      </c>
      <c r="K17" t="s">
        <v>81</v>
      </c>
    </row>
    <row r="18" spans="1:12" ht="33" customHeight="1" x14ac:dyDescent="0.25">
      <c r="A18" t="s">
        <v>117</v>
      </c>
      <c r="B18" t="s">
        <v>26</v>
      </c>
      <c r="C18" t="s">
        <v>16</v>
      </c>
      <c r="D18" t="s">
        <v>82</v>
      </c>
      <c r="F18" t="s">
        <v>54</v>
      </c>
      <c r="G18" t="s">
        <v>33</v>
      </c>
      <c r="H18" s="2">
        <v>43272.19</v>
      </c>
      <c r="I18" t="s">
        <v>83</v>
      </c>
      <c r="K18" t="s">
        <v>84</v>
      </c>
    </row>
    <row r="19" spans="1:12" ht="33" customHeight="1" x14ac:dyDescent="0.25">
      <c r="A19" t="s">
        <v>85</v>
      </c>
      <c r="B19" t="s">
        <v>26</v>
      </c>
      <c r="C19" t="s">
        <v>66</v>
      </c>
      <c r="D19" t="s">
        <v>86</v>
      </c>
      <c r="F19" t="s">
        <v>41</v>
      </c>
      <c r="G19" t="s">
        <v>33</v>
      </c>
      <c r="H19" s="2">
        <v>16738.990000000002</v>
      </c>
      <c r="I19" t="s">
        <v>87</v>
      </c>
      <c r="K19" t="s">
        <v>88</v>
      </c>
    </row>
    <row r="20" spans="1:12" x14ac:dyDescent="0.25">
      <c r="A20" s="1"/>
      <c r="B20" s="1"/>
      <c r="C20" s="1"/>
      <c r="D20" s="1" t="s">
        <v>89</v>
      </c>
      <c r="E20" s="1"/>
      <c r="F20" s="1"/>
      <c r="G20" s="1"/>
      <c r="H20" s="3">
        <f>SUM(H4:H19)</f>
        <v>475197.95999999996</v>
      </c>
      <c r="I20" s="1"/>
      <c r="J20" s="1"/>
      <c r="K20" s="1"/>
      <c r="L20" s="1"/>
    </row>
  </sheetData>
  <mergeCells count="3">
    <mergeCell ref="A2:F2"/>
    <mergeCell ref="G2:L2"/>
    <mergeCell ref="K1:L1"/>
  </mergeCells>
  <pageMargins left="0.7" right="0.7" top="0.75" bottom="0.75" header="0.3" footer="0.3"/>
  <pageSetup paperSize="5" scale="6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744D-0452-48F0-8D51-41216478F2C0}">
  <sheetPr>
    <pageSetUpPr fitToPage="1"/>
  </sheetPr>
  <dimension ref="A1:H32"/>
  <sheetViews>
    <sheetView topLeftCell="A12" workbookViewId="0">
      <selection activeCell="B24" sqref="B24"/>
    </sheetView>
  </sheetViews>
  <sheetFormatPr defaultRowHeight="15.75" x14ac:dyDescent="0.25"/>
  <cols>
    <col min="1" max="1" width="20.28515625" style="4" customWidth="1"/>
    <col min="2" max="2" width="17" style="11" customWidth="1"/>
    <col min="3" max="3" width="21.140625" style="4" customWidth="1"/>
    <col min="4" max="4" width="18.140625" style="4" customWidth="1"/>
    <col min="5" max="5" width="14.28515625" style="4" customWidth="1"/>
    <col min="6" max="7" width="13" style="4" customWidth="1"/>
    <col min="8" max="8" width="17.7109375" style="4" customWidth="1"/>
    <col min="9" max="16384" width="9.140625" style="4"/>
  </cols>
  <sheetData>
    <row r="1" spans="1:8" x14ac:dyDescent="0.25">
      <c r="E1" s="5"/>
      <c r="H1" s="5">
        <v>45894.999988425923</v>
      </c>
    </row>
    <row r="2" spans="1:8" x14ac:dyDescent="0.25">
      <c r="A2" s="18" t="s">
        <v>0</v>
      </c>
      <c r="B2" s="18"/>
      <c r="C2" s="19"/>
      <c r="D2" s="19"/>
      <c r="E2" s="20" t="s">
        <v>90</v>
      </c>
      <c r="F2" s="19"/>
      <c r="G2" s="19"/>
      <c r="H2" s="19"/>
    </row>
    <row r="3" spans="1:8" x14ac:dyDescent="0.25">
      <c r="A3" s="4" t="s">
        <v>7</v>
      </c>
      <c r="B3" s="11" t="s">
        <v>95</v>
      </c>
      <c r="C3" s="4" t="s">
        <v>8</v>
      </c>
      <c r="D3" s="4" t="s">
        <v>91</v>
      </c>
      <c r="E3" s="4" t="s">
        <v>92</v>
      </c>
      <c r="F3" s="4" t="s">
        <v>93</v>
      </c>
      <c r="G3" s="4" t="s">
        <v>96</v>
      </c>
      <c r="H3" s="4" t="s">
        <v>94</v>
      </c>
    </row>
    <row r="4" spans="1:8" ht="27" customHeight="1" x14ac:dyDescent="0.25">
      <c r="A4" s="4" t="s">
        <v>23</v>
      </c>
      <c r="C4" s="4" t="s">
        <v>19</v>
      </c>
      <c r="D4" s="8">
        <v>1350</v>
      </c>
      <c r="E4" s="8">
        <v>0</v>
      </c>
      <c r="F4" s="10">
        <v>55898.06</v>
      </c>
      <c r="G4" s="8"/>
      <c r="H4" s="8">
        <v>55973.06</v>
      </c>
    </row>
    <row r="5" spans="1:8" ht="27" customHeight="1" x14ac:dyDescent="0.25">
      <c r="D5" s="8"/>
      <c r="E5" s="8"/>
      <c r="F5" s="10"/>
      <c r="G5" s="8"/>
      <c r="H5" s="8"/>
    </row>
    <row r="6" spans="1:8" ht="27" customHeight="1" x14ac:dyDescent="0.25">
      <c r="A6" s="4" t="s">
        <v>32</v>
      </c>
      <c r="C6" s="4" t="s">
        <v>33</v>
      </c>
      <c r="D6" s="8">
        <v>850</v>
      </c>
      <c r="E6" s="8">
        <v>0</v>
      </c>
      <c r="F6" s="10">
        <v>32505.73</v>
      </c>
      <c r="G6" s="8"/>
      <c r="H6" s="8">
        <v>32580.73</v>
      </c>
    </row>
    <row r="7" spans="1:8" ht="27" customHeight="1" x14ac:dyDescent="0.25">
      <c r="D7" s="8"/>
      <c r="E7" s="8"/>
      <c r="F7" s="10"/>
      <c r="G7" s="8"/>
      <c r="H7" s="8"/>
    </row>
    <row r="8" spans="1:8" ht="27" customHeight="1" x14ac:dyDescent="0.25">
      <c r="A8" s="4" t="s">
        <v>45</v>
      </c>
      <c r="C8" s="4" t="s">
        <v>19</v>
      </c>
      <c r="D8" s="8">
        <v>1050</v>
      </c>
      <c r="E8" s="8">
        <v>0</v>
      </c>
      <c r="F8" s="10">
        <v>43344.29</v>
      </c>
      <c r="G8" s="8"/>
      <c r="H8" s="8">
        <v>43419.29</v>
      </c>
    </row>
    <row r="9" spans="1:8" ht="27" customHeight="1" x14ac:dyDescent="0.25">
      <c r="D9" s="8"/>
      <c r="E9" s="8"/>
      <c r="F9" s="8"/>
      <c r="G9" s="8"/>
      <c r="H9" s="8"/>
    </row>
    <row r="10" spans="1:8" ht="27" customHeight="1" x14ac:dyDescent="0.25">
      <c r="A10" s="4" t="s">
        <v>28</v>
      </c>
      <c r="C10" s="4" t="s">
        <v>19</v>
      </c>
      <c r="D10" s="8">
        <v>650</v>
      </c>
      <c r="E10" s="8">
        <v>0</v>
      </c>
      <c r="F10" s="8">
        <v>23001</v>
      </c>
      <c r="G10" s="8"/>
      <c r="H10" s="8">
        <v>23076</v>
      </c>
    </row>
    <row r="11" spans="1:8" ht="27" customHeight="1" x14ac:dyDescent="0.25">
      <c r="A11" s="4" t="s">
        <v>28</v>
      </c>
      <c r="C11" s="4" t="s">
        <v>33</v>
      </c>
      <c r="D11" s="8">
        <v>950</v>
      </c>
      <c r="E11" s="8">
        <v>0</v>
      </c>
      <c r="F11" s="8">
        <v>38555.589999999997</v>
      </c>
      <c r="G11" s="10">
        <f>SUM(F10:F11)</f>
        <v>61556.59</v>
      </c>
      <c r="H11" s="8">
        <v>38630.589999999997</v>
      </c>
    </row>
    <row r="12" spans="1:8" ht="27" customHeight="1" x14ac:dyDescent="0.25">
      <c r="D12" s="8"/>
      <c r="E12" s="8"/>
      <c r="F12" s="8"/>
      <c r="G12" s="8"/>
      <c r="H12" s="8"/>
    </row>
    <row r="13" spans="1:8" ht="27" customHeight="1" x14ac:dyDescent="0.25">
      <c r="A13" s="4" t="s">
        <v>54</v>
      </c>
      <c r="C13" s="4" t="s">
        <v>19</v>
      </c>
      <c r="D13" s="8">
        <v>850</v>
      </c>
      <c r="E13" s="8">
        <v>0</v>
      </c>
      <c r="F13" s="8">
        <v>32934.75</v>
      </c>
      <c r="G13" s="8"/>
      <c r="H13" s="8">
        <v>33009.75</v>
      </c>
    </row>
    <row r="14" spans="1:8" ht="27" customHeight="1" x14ac:dyDescent="0.25">
      <c r="A14" s="4" t="s">
        <v>54</v>
      </c>
      <c r="C14" s="4" t="s">
        <v>33</v>
      </c>
      <c r="D14" s="8">
        <v>1050</v>
      </c>
      <c r="E14" s="8">
        <v>0</v>
      </c>
      <c r="F14" s="8">
        <v>43197.19</v>
      </c>
      <c r="G14" s="10">
        <f>SUM(F13:F14)</f>
        <v>76131.94</v>
      </c>
      <c r="H14" s="8">
        <v>43272.19</v>
      </c>
    </row>
    <row r="15" spans="1:8" ht="27" customHeight="1" x14ac:dyDescent="0.25">
      <c r="D15" s="8"/>
      <c r="E15" s="8"/>
      <c r="F15" s="8"/>
      <c r="G15" s="8"/>
      <c r="H15" s="8"/>
    </row>
    <row r="16" spans="1:8" ht="27" customHeight="1" x14ac:dyDescent="0.25">
      <c r="A16" s="4" t="s">
        <v>18</v>
      </c>
      <c r="B16" s="13" t="s">
        <v>103</v>
      </c>
      <c r="C16" s="4" t="s">
        <v>19</v>
      </c>
      <c r="D16" s="8">
        <v>650</v>
      </c>
      <c r="E16" s="8">
        <v>0</v>
      </c>
      <c r="F16" s="8">
        <v>24205</v>
      </c>
      <c r="G16" s="8"/>
      <c r="H16" s="8">
        <v>24280</v>
      </c>
    </row>
    <row r="17" spans="1:8" ht="27" customHeight="1" x14ac:dyDescent="0.25">
      <c r="A17" s="4" t="s">
        <v>18</v>
      </c>
      <c r="C17" s="4" t="s">
        <v>33</v>
      </c>
      <c r="D17" s="8">
        <v>650</v>
      </c>
      <c r="E17" s="8">
        <v>0</v>
      </c>
      <c r="F17" s="8">
        <v>23492.05</v>
      </c>
      <c r="G17" s="10">
        <f>SUM(F16:F17)</f>
        <v>47697.05</v>
      </c>
      <c r="H17" s="8">
        <v>23567.05</v>
      </c>
    </row>
    <row r="18" spans="1:8" ht="27" customHeight="1" x14ac:dyDescent="0.25">
      <c r="D18" s="8"/>
      <c r="E18" s="8"/>
      <c r="F18" s="8"/>
      <c r="G18" s="8"/>
      <c r="H18" s="8"/>
    </row>
    <row r="19" spans="1:8" ht="27" customHeight="1" x14ac:dyDescent="0.25">
      <c r="A19" s="4" t="s">
        <v>37</v>
      </c>
      <c r="B19" s="13" t="s">
        <v>104</v>
      </c>
      <c r="C19" s="4" t="s">
        <v>33</v>
      </c>
      <c r="D19" s="8">
        <v>750</v>
      </c>
      <c r="E19" s="8">
        <v>0</v>
      </c>
      <c r="F19" s="10">
        <v>25520.05</v>
      </c>
      <c r="G19" s="8"/>
      <c r="H19" s="8">
        <v>25595.05</v>
      </c>
    </row>
    <row r="20" spans="1:8" ht="27" customHeight="1" x14ac:dyDescent="0.25">
      <c r="D20" s="8"/>
      <c r="E20" s="8"/>
      <c r="F20" s="10"/>
      <c r="G20" s="8"/>
      <c r="H20" s="8"/>
    </row>
    <row r="21" spans="1:8" ht="27" customHeight="1" x14ac:dyDescent="0.25">
      <c r="A21" s="4" t="s">
        <v>71</v>
      </c>
      <c r="C21" s="4" t="s">
        <v>33</v>
      </c>
      <c r="D21" s="8">
        <v>650</v>
      </c>
      <c r="E21" s="8">
        <v>0</v>
      </c>
      <c r="F21" s="10">
        <v>20000</v>
      </c>
      <c r="G21" s="8"/>
      <c r="H21" s="8">
        <v>20075</v>
      </c>
    </row>
    <row r="22" spans="1:8" ht="27" customHeight="1" x14ac:dyDescent="0.25">
      <c r="D22" s="8"/>
      <c r="E22" s="8"/>
      <c r="F22" s="10"/>
      <c r="G22" s="8"/>
      <c r="H22" s="8"/>
    </row>
    <row r="23" spans="1:8" ht="27" customHeight="1" x14ac:dyDescent="0.25">
      <c r="A23" s="4" t="s">
        <v>61</v>
      </c>
      <c r="C23" s="4" t="s">
        <v>19</v>
      </c>
      <c r="D23" s="8">
        <v>500</v>
      </c>
      <c r="E23" s="8">
        <v>0</v>
      </c>
      <c r="F23" s="10">
        <v>19602</v>
      </c>
      <c r="G23" s="8"/>
      <c r="H23" s="8">
        <v>19677</v>
      </c>
    </row>
    <row r="24" spans="1:8" ht="27" customHeight="1" x14ac:dyDescent="0.25">
      <c r="D24" s="8"/>
      <c r="E24" s="8"/>
      <c r="F24" s="10"/>
      <c r="G24" s="8"/>
      <c r="H24" s="8"/>
    </row>
    <row r="25" spans="1:8" ht="27" customHeight="1" x14ac:dyDescent="0.25">
      <c r="A25" s="4" t="s">
        <v>49</v>
      </c>
      <c r="C25" s="4" t="s">
        <v>19</v>
      </c>
      <c r="D25" s="8">
        <v>1150</v>
      </c>
      <c r="E25" s="8">
        <v>0</v>
      </c>
      <c r="F25" s="10">
        <v>45606.45</v>
      </c>
      <c r="G25" s="8"/>
      <c r="H25" s="8">
        <v>45681.45</v>
      </c>
    </row>
    <row r="26" spans="1:8" ht="27" customHeight="1" x14ac:dyDescent="0.25">
      <c r="D26" s="8"/>
      <c r="E26" s="8"/>
      <c r="F26" s="8"/>
      <c r="G26" s="8"/>
      <c r="H26" s="8"/>
    </row>
    <row r="27" spans="1:8" ht="27" customHeight="1" x14ac:dyDescent="0.25">
      <c r="A27" s="4" t="s">
        <v>41</v>
      </c>
      <c r="C27" s="4" t="s">
        <v>19</v>
      </c>
      <c r="D27" s="8">
        <v>300</v>
      </c>
      <c r="E27" s="8">
        <v>0</v>
      </c>
      <c r="F27" s="8">
        <v>13306.25</v>
      </c>
      <c r="G27" s="8"/>
      <c r="H27" s="8">
        <v>13381.25</v>
      </c>
    </row>
    <row r="28" spans="1:8" ht="27" customHeight="1" x14ac:dyDescent="0.25">
      <c r="A28" s="4" t="s">
        <v>41</v>
      </c>
      <c r="C28" s="4" t="s">
        <v>33</v>
      </c>
      <c r="D28" s="8">
        <v>500</v>
      </c>
      <c r="E28" s="8">
        <v>0</v>
      </c>
      <c r="F28" s="8">
        <v>16663.990000000002</v>
      </c>
      <c r="G28" s="10">
        <f>SUM(F27:F28)</f>
        <v>29970.240000000002</v>
      </c>
      <c r="H28" s="8">
        <v>16738.990000000002</v>
      </c>
    </row>
    <row r="29" spans="1:8" ht="27" customHeight="1" x14ac:dyDescent="0.25">
      <c r="D29" s="8"/>
      <c r="E29" s="8"/>
      <c r="F29" s="8"/>
      <c r="G29" s="8"/>
      <c r="H29" s="8"/>
    </row>
    <row r="30" spans="1:8" ht="27" customHeight="1" x14ac:dyDescent="0.25">
      <c r="A30" s="4" t="s">
        <v>79</v>
      </c>
      <c r="C30" s="4" t="s">
        <v>19</v>
      </c>
      <c r="D30" s="8">
        <v>500</v>
      </c>
      <c r="E30" s="8">
        <v>0</v>
      </c>
      <c r="F30" s="10">
        <v>16165.56</v>
      </c>
      <c r="G30" s="8"/>
      <c r="H30" s="8">
        <v>16240.56</v>
      </c>
    </row>
    <row r="31" spans="1:8" ht="17.25" customHeight="1" x14ac:dyDescent="0.25">
      <c r="D31" s="8"/>
      <c r="E31" s="8"/>
      <c r="F31" s="8"/>
      <c r="G31" s="8"/>
      <c r="H31" s="8"/>
    </row>
    <row r="32" spans="1:8" x14ac:dyDescent="0.25">
      <c r="A32" s="6"/>
      <c r="B32" s="12"/>
      <c r="C32" s="6"/>
      <c r="D32" s="9">
        <f>SUM(D4:D30)</f>
        <v>12400</v>
      </c>
      <c r="E32" s="9">
        <f>SUM(E4:E30)</f>
        <v>0</v>
      </c>
      <c r="F32" s="9">
        <f>SUM(F4:F30)</f>
        <v>473997.95999999996</v>
      </c>
      <c r="G32" s="9"/>
      <c r="H32" s="9">
        <f>SUM(H4:H30)</f>
        <v>475197.95999999996</v>
      </c>
    </row>
  </sheetData>
  <mergeCells count="2">
    <mergeCell ref="A2:D2"/>
    <mergeCell ref="E2:H2"/>
  </mergeCells>
  <pageMargins left="0.7" right="0.2" top="0.75" bottom="0.75" header="0.3" footer="0.3"/>
  <pageSetup scale="89" fitToHeight="0" orientation="landscape" r:id="rId1"/>
  <headerFooter>
    <oddFooter>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F7054-50CE-4609-8F59-CDDC46342893}">
  <sheetPr>
    <pageSetUpPr fitToPage="1"/>
  </sheetPr>
  <dimension ref="A1:F21"/>
  <sheetViews>
    <sheetView workbookViewId="0">
      <selection activeCell="E17" sqref="E17"/>
    </sheetView>
  </sheetViews>
  <sheetFormatPr defaultRowHeight="15.75" x14ac:dyDescent="0.25"/>
  <cols>
    <col min="1" max="1" width="11.42578125" style="4" customWidth="1"/>
    <col min="2" max="2" width="8" style="4" customWidth="1"/>
    <col min="3" max="3" width="19.42578125" style="4" customWidth="1"/>
    <col min="4" max="4" width="4.7109375" style="4" customWidth="1"/>
    <col min="5" max="5" width="17.85546875" style="4" customWidth="1"/>
    <col min="6" max="6" width="19" style="4" customWidth="1"/>
    <col min="7" max="16384" width="9.140625" style="4"/>
  </cols>
  <sheetData>
    <row r="1" spans="1:6" ht="24.95" customHeight="1" x14ac:dyDescent="0.25">
      <c r="A1" s="4" t="s">
        <v>99</v>
      </c>
      <c r="D1" s="5"/>
      <c r="F1" s="5">
        <v>45894.999988425923</v>
      </c>
    </row>
    <row r="2" spans="1:6" ht="24.95" customHeight="1" x14ac:dyDescent="0.25">
      <c r="A2" s="18" t="s">
        <v>0</v>
      </c>
      <c r="B2" s="19"/>
      <c r="C2" s="19"/>
      <c r="D2" s="20" t="s">
        <v>97</v>
      </c>
      <c r="E2" s="19"/>
      <c r="F2" s="19"/>
    </row>
    <row r="3" spans="1:6" ht="24.95" customHeight="1" x14ac:dyDescent="0.25">
      <c r="A3" s="4" t="s">
        <v>2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14</v>
      </c>
    </row>
    <row r="4" spans="1:6" ht="24.95" customHeight="1" x14ac:dyDescent="0.25">
      <c r="A4" s="4" t="s">
        <v>65</v>
      </c>
      <c r="B4" s="4" t="s">
        <v>66</v>
      </c>
      <c r="C4" s="4" t="s">
        <v>67</v>
      </c>
      <c r="E4" s="4" t="s">
        <v>18</v>
      </c>
    </row>
    <row r="5" spans="1:6" ht="24.95" customHeight="1" x14ac:dyDescent="0.25">
      <c r="A5" s="4" t="s">
        <v>77</v>
      </c>
      <c r="B5" s="4" t="s">
        <v>66</v>
      </c>
      <c r="C5" s="4" t="s">
        <v>78</v>
      </c>
      <c r="E5" s="4" t="s">
        <v>79</v>
      </c>
    </row>
    <row r="6" spans="1:6" ht="24.95" customHeight="1" x14ac:dyDescent="0.25">
      <c r="A6" s="4" t="s">
        <v>85</v>
      </c>
      <c r="B6" s="4" t="s">
        <v>66</v>
      </c>
      <c r="C6" s="4" t="s">
        <v>86</v>
      </c>
      <c r="E6" s="4" t="s">
        <v>41</v>
      </c>
    </row>
    <row r="7" spans="1:6" ht="24.95" customHeight="1" x14ac:dyDescent="0.25">
      <c r="A7" s="6"/>
      <c r="B7" s="6"/>
      <c r="C7" s="6" t="s">
        <v>98</v>
      </c>
      <c r="D7" s="6"/>
      <c r="E7" s="6"/>
      <c r="F7" s="6"/>
    </row>
    <row r="12" spans="1:6" x14ac:dyDescent="0.25">
      <c r="A12" s="4" t="s">
        <v>100</v>
      </c>
      <c r="B12" s="7"/>
      <c r="C12" s="7"/>
      <c r="D12" s="7"/>
      <c r="E12" s="7"/>
    </row>
    <row r="16" spans="1:6" x14ac:dyDescent="0.25">
      <c r="A16" s="4" t="s">
        <v>101</v>
      </c>
      <c r="B16" s="7"/>
      <c r="C16" s="7"/>
      <c r="D16" s="7"/>
      <c r="E16" s="7"/>
    </row>
    <row r="21" spans="1:5" x14ac:dyDescent="0.25">
      <c r="A21" s="4" t="s">
        <v>102</v>
      </c>
      <c r="B21" s="7"/>
      <c r="C21" s="7"/>
      <c r="D21" s="7"/>
      <c r="E21" s="7"/>
    </row>
  </sheetData>
  <mergeCells count="2">
    <mergeCell ref="A2:C2"/>
    <mergeCell ref="D2:F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2025-08-25T18:35:27Z</cp:lastPrinted>
  <dcterms:created xsi:type="dcterms:W3CDTF">2025-08-25T18:20:45Z</dcterms:created>
  <dcterms:modified xsi:type="dcterms:W3CDTF">2025-08-26T18:56:19Z</dcterms:modified>
</cp:coreProperties>
</file>