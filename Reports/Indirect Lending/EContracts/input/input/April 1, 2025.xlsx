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B053BACC-7AB8-4BB5-A519-036BA786305A}" xr6:coauthVersionLast="47" xr6:coauthVersionMax="47" xr10:uidLastSave="{00000000-0000-0000-0000-000000000000}"/>
  <bookViews>
    <workbookView xWindow="33330" yWindow="750" windowWidth="20580" windowHeight="1420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1" i="2"/>
  <c r="G16" i="2"/>
  <c r="G7" i="2"/>
  <c r="H40" i="2"/>
  <c r="F40" i="2"/>
  <c r="E40" i="2"/>
  <c r="D40" i="2"/>
  <c r="H26" i="1" l="1"/>
</calcChain>
</file>

<file path=xl/sharedStrings.xml><?xml version="1.0" encoding="utf-8"?>
<sst xmlns="http://schemas.openxmlformats.org/spreadsheetml/2006/main" count="268" uniqueCount="142">
  <si>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</si>
  <si>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</si>
  <si>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</si>
  <si>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</si>
  <si>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</si>
  <si>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</si>
  <si>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</si>
  <si>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</si>
  <si>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</si>
  <si>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</si>
  <si>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</si>
  <si>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</si>
  <si>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</si>
  <si>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</si>
  <si>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</si>
  <si>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</si>
  <si>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DAWSON, KYLE</t>
  </si>
  <si>
    <t>Grieco Hyundai</t>
  </si>
  <si>
    <t>Marlene Braganca</t>
  </si>
  <si>
    <t>KJDAWSON220@YAHHHHOO.COM</t>
  </si>
  <si>
    <t>Chace</t>
  </si>
  <si>
    <t>Route One</t>
  </si>
  <si>
    <t>Ghannam, Ramzi</t>
  </si>
  <si>
    <t>Hiller Co Inc</t>
  </si>
  <si>
    <t>ramzi123us@yahoo.com</t>
  </si>
  <si>
    <t>Fakhreddine</t>
  </si>
  <si>
    <t>CEPOUDY, SONEL</t>
  </si>
  <si>
    <t>Lucchettis Service Center Inc</t>
  </si>
  <si>
    <t>Rachel Gorham</t>
  </si>
  <si>
    <t>sonel7000@hotmail.com</t>
  </si>
  <si>
    <t>LAVANIE</t>
  </si>
  <si>
    <t>ILLIANO, MICHAEL</t>
  </si>
  <si>
    <t>Viti Mercedes</t>
  </si>
  <si>
    <t>MILLIANO@GMAIL.COM</t>
  </si>
  <si>
    <t>Distefano</t>
  </si>
  <si>
    <t>MITCHELL, EVAN</t>
  </si>
  <si>
    <t>Metro Honda</t>
  </si>
  <si>
    <t>HAM</t>
  </si>
  <si>
    <t>Essery, Wendy</t>
  </si>
  <si>
    <t>Mathieu Ford Sales, Inc</t>
  </si>
  <si>
    <t>wendy.essery@gmail.com</t>
  </si>
  <si>
    <t>Timson</t>
  </si>
  <si>
    <t>THOMSEN, CHERI</t>
  </si>
  <si>
    <t>Patriot Auto Group Inc d/b/a</t>
  </si>
  <si>
    <t>imhamrin@yahoo.com</t>
  </si>
  <si>
    <t>KENNEDY</t>
  </si>
  <si>
    <t>GREAVES, KEVIN</t>
  </si>
  <si>
    <t>Grieco Toyota</t>
  </si>
  <si>
    <t>MGREAVES@HORDCRYSTAL.COM</t>
  </si>
  <si>
    <t>ROBELLO</t>
  </si>
  <si>
    <t>LOVAASEN, JOHN</t>
  </si>
  <si>
    <t>LOVAASEN, BROOKE</t>
  </si>
  <si>
    <t>john.lovaasen@gmail.com</t>
  </si>
  <si>
    <t>BROOKELOVAASEN@GMAIL.COM</t>
  </si>
  <si>
    <t>HANKEY</t>
  </si>
  <si>
    <t>TURCOTTE</t>
  </si>
  <si>
    <t>SANTOS, WILLIAM</t>
  </si>
  <si>
    <t>Colonial South Chevrolet</t>
  </si>
  <si>
    <t>Silva</t>
  </si>
  <si>
    <t>DAIGNAULT, MELANIE</t>
  </si>
  <si>
    <t>Neli Oliveira</t>
  </si>
  <si>
    <t>Daignault.m@yahoo.com</t>
  </si>
  <si>
    <t>CAVACA</t>
  </si>
  <si>
    <t>FLYNN, THOMAS</t>
  </si>
  <si>
    <t>FLYNN, JULIANNE</t>
  </si>
  <si>
    <t>TFLYNN7@COMCAST.NET</t>
  </si>
  <si>
    <t>JULIANNEGYFLYNN@GAMIL.COM</t>
  </si>
  <si>
    <t>BALINT</t>
  </si>
  <si>
    <t>PUN</t>
  </si>
  <si>
    <t>PERRY, ROBIN</t>
  </si>
  <si>
    <t>ROJO24@COMCAST.NET</t>
  </si>
  <si>
    <t>HILL</t>
  </si>
  <si>
    <t>FAN, RU</t>
  </si>
  <si>
    <t>Jun</t>
  </si>
  <si>
    <t>MERCADO SANTIAGO, NORMA</t>
  </si>
  <si>
    <t>Santiago</t>
  </si>
  <si>
    <t>PELLETIER, ROBERT</t>
  </si>
  <si>
    <t>Anchor Subaru</t>
  </si>
  <si>
    <t>REPCO88@AOL.COM</t>
  </si>
  <si>
    <t>Lackre</t>
  </si>
  <si>
    <t>ISAAC, SHERRY</t>
  </si>
  <si>
    <t>NOLAN, SOPHIA</t>
  </si>
  <si>
    <t>AutoMax Preowned(Framingham)</t>
  </si>
  <si>
    <t>Nolan</t>
  </si>
  <si>
    <t>GRENZEBACK, KATHERINE</t>
  </si>
  <si>
    <t>kgrenzeback@gmail.com</t>
  </si>
  <si>
    <t>Lube</t>
  </si>
  <si>
    <t>BLAKESLEE, AMANDA</t>
  </si>
  <si>
    <t>GATULIS</t>
  </si>
  <si>
    <t>151162957</t>
  </si>
  <si>
    <t>Paper</t>
  </si>
  <si>
    <t>WALGREEN, JEFFREY</t>
  </si>
  <si>
    <t>First Chrysler Dodge Jeep</t>
  </si>
  <si>
    <t>JEFFREY.WALGREEN@GMAIL.COM</t>
  </si>
  <si>
    <t>Mccarty</t>
  </si>
  <si>
    <t>151162999</t>
  </si>
  <si>
    <t>BUMRUNGPANT, PUNYARIT</t>
  </si>
  <si>
    <t>RAH FALL RIVER VW, LLC</t>
  </si>
  <si>
    <t>TIM.PUNYA@GMAIL.COM</t>
  </si>
  <si>
    <t>WARAKSA</t>
  </si>
  <si>
    <t>PIRTLE, DAVID</t>
  </si>
  <si>
    <t>Priority Automotive LLC</t>
  </si>
  <si>
    <t>DPIRTLE@NEIEP.ORG</t>
  </si>
  <si>
    <t>DELPAPA</t>
  </si>
  <si>
    <t># 22</t>
  </si>
  <si>
    <t>151163020 E</t>
  </si>
  <si>
    <t>151162949 E</t>
  </si>
  <si>
    <t>151162519 E</t>
  </si>
  <si>
    <t>151162527 E</t>
  </si>
  <si>
    <t>151162585 E</t>
  </si>
  <si>
    <t>151162709 E</t>
  </si>
  <si>
    <t>151162733 E</t>
  </si>
  <si>
    <t>151162775 E</t>
  </si>
  <si>
    <t>151162783 E</t>
  </si>
  <si>
    <t>151162791 E</t>
  </si>
  <si>
    <t>151162808 E</t>
  </si>
  <si>
    <t>151162816 E</t>
  </si>
  <si>
    <t>151162824 E</t>
  </si>
  <si>
    <t>151162840 E</t>
  </si>
  <si>
    <t>151162858 E</t>
  </si>
  <si>
    <t>151162866 E</t>
  </si>
  <si>
    <t>151162874 E</t>
  </si>
  <si>
    <t>151162907 E</t>
  </si>
  <si>
    <t>151162915 E</t>
  </si>
  <si>
    <t>151162931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</si>
  <si>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</si>
  <si>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</si>
  <si>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</si>
  <si>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</si>
  <si>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</si>
  <si>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</si>
  <si>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</si>
  <si>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NE-AutoMax Preowned(Framingham)</t>
  </si>
  <si>
    <t>honda- Patriot Auto Group Inc d/b/a</t>
  </si>
  <si>
    <t>honda-Patriot Auto Group Inc d/b/a</t>
  </si>
  <si>
    <t>7436-2448</t>
  </si>
  <si>
    <t>Original Notes Delivered</t>
  </si>
  <si>
    <t>Funding Worksheet - Signoff Version</t>
  </si>
  <si>
    <t># 2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</si>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</sst>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[$-409]mmmm\ d\,\ yyyy;@"/>
    <numFmt numFmtId="167" formatCode="[$-F800]dddd\,\ mmmm\ dd\,\ yyyy"/>
  </numFmts>
  <fonts count="7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name val="Calibri"/>
    </font>
    <font>
      <sz val="14"/>
      <color indexed="8"/>
      <name val="Aptos Narrow"/>
      <family val="2"/>
      <scheme val="minor"/>
    </font>
    <font>
      <b/>
      <sz val="14"/>
      <name val="Calibri"/>
      <family val="2"/>
    </font>
    <font>
      <b/>
      <sz val="14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0" fillId="0" borderId="0" xfId="0" applyAlignment="1">
      <alignment wrapText="1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/>
    </xf>
    <xf numFmtId="7" fontId="4" fillId="0" borderId="0" xfId="0" applyNumberFormat="1" applyFont="1"/>
    <xf numFmtId="7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7" fontId="5" fillId="0" borderId="0" xfId="0" applyNumberFormat="1" applyFont="1"/>
    <xf numFmtId="167" fontId="0" fillId="0" borderId="0" xfId="0" applyNumberFormat="1"/>
    <xf numFmtId="0" fontId="0" fillId="0" borderId="1" xfId="0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6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ED02A9-02DF-4740-9456-ED9F96B4BD34}" name="Table_14" displayName="Table_14" ref="A3:H40" headerRowDxfId="2" dataDxfId="0" totalsRowDxfId="1">
  <sortState xmlns:xlrd2="http://schemas.microsoft.com/office/spreadsheetml/2017/richdata2" ref="A4:H40">
    <sortCondition ref="A4:A40"/>
  </sortState>
  <tableColumns count="8">
    <tableColumn id="1" xr3:uid="{3DADA926-EA94-41F1-9DF1-F1873BD62102}" name="Dealer Name" dataDxfId="10"/>
    <tableColumn id="7" xr3:uid="{44A37E53-07FC-4959-B3BE-23AF8C9EDCBE}" name="Column1" dataDxfId="9"/>
    <tableColumn id="2" xr3:uid="{4D48FBAF-A68F-4065-A410-83CB03BDD76A}" name="Funded by" dataDxfId="8"/>
    <tableColumn id="3" xr3:uid="{8E0FAC05-7468-4E49-BC6F-73ED47701D2B}" name="Dealer Flat" dataDxfId="7"/>
    <tableColumn id="4" xr3:uid="{4474A01E-B26A-4C49-9A7D-50B1EA772BA2}" name="Dealer Split" dataDxfId="6"/>
    <tableColumn id="5" xr3:uid="{5353686D-01A5-4F41-A197-219BB8C1F6E8}" name="Net to Dealer" dataDxfId="5"/>
    <tableColumn id="8" xr3:uid="{4E2A2759-7A2E-44CE-A133-83097C8C6B90}" name="Column2" dataDxfId="4"/>
    <tableColumn id="6" xr3:uid="{B5ED4691-CBB9-4610-A88E-43310EE0C446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4A9DE0-E803-497C-A989-DCE2AE87730F}" name="Table_16" displayName="Table_16" ref="A3:E7">
  <tableColumns count="5">
    <tableColumn id="1" xr3:uid="{BB6859A3-7176-4D2B-94F6-0625663E8208}" name="Account Number"/>
    <tableColumn id="2" xr3:uid="{F8D6DB4C-9AE3-4287-AC59-620B70A3D8B9}" name="Contract Type"/>
    <tableColumn id="3" xr3:uid="{E77F3A8D-7D97-4FDB-BE0C-222C21BFA5B3}" name="Applicant Name"/>
    <tableColumn id="4" xr3:uid="{350E79BD-D8A8-44B7-B95C-67A3C703FD9E}" name="Co-Applicant Name"/>
    <tableColumn id="5" xr3:uid="{72198DB2-C733-4C53-8F42-DD9A1D3C85CF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6"/>
  <sheetViews>
    <sheetView tabSelected="1" workbookViewId="0">
      <pane ySplit="3" topLeftCell="A4" activePane="bottomLeft" state="frozen"/>
      <selection pane="bottomLeft" activeCell="B1" sqref="B1"/>
    </sheetView>
  </sheetViews>
  <sheetFormatPr defaultRowHeight="15" x14ac:dyDescent="0.25"/>
  <cols>
    <col min="1" max="1" width="13.42578125" customWidth="1"/>
    <col min="2" max="2" width="12.140625" bestFit="1" customWidth="1"/>
    <col min="3" max="3" width="14" bestFit="1" customWidth="1"/>
    <col min="4" max="4" width="25.5703125" customWidth="1"/>
    <col min="5" max="5" width="19.85546875" bestFit="1" customWidth="1"/>
    <col min="6" max="6" width="31.85546875" bestFit="1" customWidth="1"/>
    <col min="7" max="7" width="17.7109375" bestFit="1" customWidth="1"/>
    <col min="8" max="8" width="17.140625" bestFit="1" customWidth="1"/>
    <col min="9" max="9" width="32.28515625" bestFit="1" customWidth="1"/>
    <col min="10" max="10" width="20.42578125" customWidth="1"/>
    <col min="11" max="12" width="12.85546875" bestFit="1" customWidth="1"/>
  </cols>
  <sheetData>
    <row r="1" spans="1:12" x14ac:dyDescent="0.25">
      <c r="A1" s="11">
        <v>45748</v>
      </c>
      <c r="K1" s="8">
        <v>45748</v>
      </c>
      <c r="L1" s="9"/>
    </row>
    <row r="2" spans="1:12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3" customHeight="1" x14ac:dyDescent="0.25">
      <c r="A4" t="s">
        <v>107</v>
      </c>
      <c r="B4" t="s">
        <v>14</v>
      </c>
      <c r="C4" t="s">
        <v>15</v>
      </c>
      <c r="D4" t="s">
        <v>16</v>
      </c>
      <c r="F4" t="s">
        <v>17</v>
      </c>
      <c r="G4" t="s">
        <v>18</v>
      </c>
      <c r="H4" s="2">
        <v>31962.38</v>
      </c>
      <c r="I4" t="s">
        <v>19</v>
      </c>
      <c r="K4" t="s">
        <v>20</v>
      </c>
    </row>
    <row r="5" spans="1:12" ht="33" customHeight="1" x14ac:dyDescent="0.25">
      <c r="A5" t="s">
        <v>108</v>
      </c>
      <c r="B5" t="s">
        <v>21</v>
      </c>
      <c r="C5" t="s">
        <v>15</v>
      </c>
      <c r="D5" t="s">
        <v>22</v>
      </c>
      <c r="F5" t="s">
        <v>23</v>
      </c>
      <c r="G5" t="s">
        <v>18</v>
      </c>
      <c r="H5" s="2">
        <v>53413.440000000002</v>
      </c>
      <c r="I5" t="s">
        <v>24</v>
      </c>
      <c r="K5" t="s">
        <v>25</v>
      </c>
    </row>
    <row r="6" spans="1:12" ht="33" customHeight="1" x14ac:dyDescent="0.25">
      <c r="A6" t="s">
        <v>109</v>
      </c>
      <c r="B6" t="s">
        <v>21</v>
      </c>
      <c r="C6" t="s">
        <v>15</v>
      </c>
      <c r="D6" t="s">
        <v>26</v>
      </c>
      <c r="F6" t="s">
        <v>27</v>
      </c>
      <c r="G6" t="s">
        <v>28</v>
      </c>
      <c r="H6" s="2">
        <v>20946.939999999999</v>
      </c>
      <c r="I6" t="s">
        <v>29</v>
      </c>
      <c r="K6" t="s">
        <v>30</v>
      </c>
    </row>
    <row r="7" spans="1:12" ht="33" customHeight="1" x14ac:dyDescent="0.25">
      <c r="A7" t="s">
        <v>110</v>
      </c>
      <c r="B7" t="s">
        <v>14</v>
      </c>
      <c r="C7" t="s">
        <v>15</v>
      </c>
      <c r="D7" t="s">
        <v>31</v>
      </c>
      <c r="F7" t="s">
        <v>32</v>
      </c>
      <c r="G7" t="s">
        <v>18</v>
      </c>
      <c r="H7" s="2">
        <v>35521.65</v>
      </c>
      <c r="I7" t="s">
        <v>33</v>
      </c>
      <c r="K7" t="s">
        <v>34</v>
      </c>
    </row>
    <row r="8" spans="1:12" ht="33" customHeight="1" x14ac:dyDescent="0.25">
      <c r="A8" t="s">
        <v>111</v>
      </c>
      <c r="B8" t="s">
        <v>14</v>
      </c>
      <c r="C8" t="s">
        <v>15</v>
      </c>
      <c r="D8" t="s">
        <v>35</v>
      </c>
      <c r="F8" t="s">
        <v>36</v>
      </c>
      <c r="G8" t="s">
        <v>18</v>
      </c>
      <c r="H8" s="2">
        <v>42424.9</v>
      </c>
      <c r="K8" t="s">
        <v>37</v>
      </c>
    </row>
    <row r="9" spans="1:12" ht="33" customHeight="1" x14ac:dyDescent="0.25">
      <c r="A9" t="s">
        <v>112</v>
      </c>
      <c r="B9" t="s">
        <v>21</v>
      </c>
      <c r="C9" t="s">
        <v>15</v>
      </c>
      <c r="D9" t="s">
        <v>38</v>
      </c>
      <c r="F9" t="s">
        <v>39</v>
      </c>
      <c r="G9" t="s">
        <v>18</v>
      </c>
      <c r="H9" s="2">
        <v>12328</v>
      </c>
      <c r="I9" t="s">
        <v>40</v>
      </c>
      <c r="K9" t="s">
        <v>41</v>
      </c>
    </row>
    <row r="10" spans="1:12" ht="33" customHeight="1" x14ac:dyDescent="0.25">
      <c r="A10" t="s">
        <v>113</v>
      </c>
      <c r="B10" t="s">
        <v>21</v>
      </c>
      <c r="C10" t="s">
        <v>15</v>
      </c>
      <c r="D10" t="s">
        <v>42</v>
      </c>
      <c r="F10" t="s">
        <v>43</v>
      </c>
      <c r="G10" t="s">
        <v>28</v>
      </c>
      <c r="H10" s="2">
        <v>28104.75</v>
      </c>
      <c r="I10" t="s">
        <v>44</v>
      </c>
      <c r="K10" t="s">
        <v>45</v>
      </c>
    </row>
    <row r="11" spans="1:12" ht="33" customHeight="1" x14ac:dyDescent="0.25">
      <c r="A11" t="s">
        <v>114</v>
      </c>
      <c r="B11" t="s">
        <v>21</v>
      </c>
      <c r="C11" t="s">
        <v>15</v>
      </c>
      <c r="D11" t="s">
        <v>46</v>
      </c>
      <c r="F11" t="s">
        <v>47</v>
      </c>
      <c r="G11" t="s">
        <v>28</v>
      </c>
      <c r="H11" s="2">
        <v>20958.98</v>
      </c>
      <c r="I11" t="s">
        <v>48</v>
      </c>
      <c r="K11" t="s">
        <v>49</v>
      </c>
    </row>
    <row r="12" spans="1:12" ht="33" customHeight="1" x14ac:dyDescent="0.25">
      <c r="A12" t="s">
        <v>115</v>
      </c>
      <c r="B12" t="s">
        <v>21</v>
      </c>
      <c r="C12" t="s">
        <v>15</v>
      </c>
      <c r="D12" t="s">
        <v>50</v>
      </c>
      <c r="E12" t="s">
        <v>51</v>
      </c>
      <c r="F12" t="s">
        <v>39</v>
      </c>
      <c r="G12" t="s">
        <v>28</v>
      </c>
      <c r="H12" s="2">
        <v>30519.25</v>
      </c>
      <c r="I12" t="s">
        <v>52</v>
      </c>
      <c r="J12" s="10" t="s">
        <v>53</v>
      </c>
      <c r="K12" t="s">
        <v>54</v>
      </c>
      <c r="L12" t="s">
        <v>55</v>
      </c>
    </row>
    <row r="13" spans="1:12" ht="33" customHeight="1" x14ac:dyDescent="0.25">
      <c r="A13" t="s">
        <v>116</v>
      </c>
      <c r="B13" t="s">
        <v>21</v>
      </c>
      <c r="C13" t="s">
        <v>15</v>
      </c>
      <c r="D13" t="s">
        <v>56</v>
      </c>
      <c r="F13" t="s">
        <v>57</v>
      </c>
      <c r="G13" t="s">
        <v>18</v>
      </c>
      <c r="H13" s="2">
        <v>37081.93</v>
      </c>
      <c r="J13" s="10"/>
      <c r="K13" t="s">
        <v>58</v>
      </c>
    </row>
    <row r="14" spans="1:12" ht="33" customHeight="1" x14ac:dyDescent="0.25">
      <c r="A14" t="s">
        <v>117</v>
      </c>
      <c r="B14" t="s">
        <v>21</v>
      </c>
      <c r="C14" t="s">
        <v>15</v>
      </c>
      <c r="D14" t="s">
        <v>59</v>
      </c>
      <c r="F14" t="s">
        <v>57</v>
      </c>
      <c r="G14" t="s">
        <v>60</v>
      </c>
      <c r="H14" s="2">
        <v>32933.35</v>
      </c>
      <c r="I14" t="s">
        <v>61</v>
      </c>
      <c r="J14" s="10"/>
      <c r="K14" t="s">
        <v>62</v>
      </c>
    </row>
    <row r="15" spans="1:12" ht="33" customHeight="1" x14ac:dyDescent="0.25">
      <c r="A15" t="s">
        <v>118</v>
      </c>
      <c r="B15" t="s">
        <v>21</v>
      </c>
      <c r="C15" t="s">
        <v>15</v>
      </c>
      <c r="D15" t="s">
        <v>63</v>
      </c>
      <c r="E15" t="s">
        <v>64</v>
      </c>
      <c r="F15" t="s">
        <v>27</v>
      </c>
      <c r="G15" t="s">
        <v>28</v>
      </c>
      <c r="H15" s="2">
        <v>10000</v>
      </c>
      <c r="I15" t="s">
        <v>65</v>
      </c>
      <c r="J15" s="10" t="s">
        <v>66</v>
      </c>
      <c r="K15" t="s">
        <v>67</v>
      </c>
      <c r="L15" t="s">
        <v>68</v>
      </c>
    </row>
    <row r="16" spans="1:12" ht="33" customHeight="1" x14ac:dyDescent="0.25">
      <c r="A16" t="s">
        <v>119</v>
      </c>
      <c r="B16" t="s">
        <v>21</v>
      </c>
      <c r="C16" t="s">
        <v>15</v>
      </c>
      <c r="D16" t="s">
        <v>69</v>
      </c>
      <c r="F16" t="s">
        <v>43</v>
      </c>
      <c r="G16" t="s">
        <v>28</v>
      </c>
      <c r="H16" s="2">
        <v>20717</v>
      </c>
      <c r="I16" t="s">
        <v>70</v>
      </c>
      <c r="K16" t="s">
        <v>71</v>
      </c>
    </row>
    <row r="17" spans="1:12" ht="33" customHeight="1" x14ac:dyDescent="0.25">
      <c r="A17" t="s">
        <v>120</v>
      </c>
      <c r="B17" t="s">
        <v>21</v>
      </c>
      <c r="C17" t="s">
        <v>15</v>
      </c>
      <c r="D17" t="s">
        <v>72</v>
      </c>
      <c r="F17" t="s">
        <v>47</v>
      </c>
      <c r="G17" t="s">
        <v>18</v>
      </c>
      <c r="H17" s="2">
        <v>44212.75</v>
      </c>
      <c r="K17" t="s">
        <v>73</v>
      </c>
    </row>
    <row r="18" spans="1:12" ht="33" customHeight="1" x14ac:dyDescent="0.25">
      <c r="A18" t="s">
        <v>121</v>
      </c>
      <c r="B18" t="s">
        <v>21</v>
      </c>
      <c r="C18" t="s">
        <v>15</v>
      </c>
      <c r="D18" t="s">
        <v>74</v>
      </c>
      <c r="F18" t="s">
        <v>47</v>
      </c>
      <c r="G18" t="s">
        <v>18</v>
      </c>
      <c r="H18" s="2">
        <v>31416.65</v>
      </c>
      <c r="K18" t="s">
        <v>75</v>
      </c>
    </row>
    <row r="19" spans="1:12" ht="33" customHeight="1" x14ac:dyDescent="0.25">
      <c r="A19" t="s">
        <v>122</v>
      </c>
      <c r="B19" t="s">
        <v>14</v>
      </c>
      <c r="C19" t="s">
        <v>15</v>
      </c>
      <c r="D19" t="s">
        <v>76</v>
      </c>
      <c r="F19" t="s">
        <v>77</v>
      </c>
      <c r="G19" t="s">
        <v>18</v>
      </c>
      <c r="H19" s="2">
        <v>33229.71</v>
      </c>
      <c r="I19" t="s">
        <v>78</v>
      </c>
      <c r="K19" t="s">
        <v>79</v>
      </c>
    </row>
    <row r="20" spans="1:12" ht="33" customHeight="1" x14ac:dyDescent="0.25">
      <c r="A20" t="s">
        <v>123</v>
      </c>
      <c r="B20" t="s">
        <v>14</v>
      </c>
      <c r="C20" t="s">
        <v>15</v>
      </c>
      <c r="D20" t="s">
        <v>80</v>
      </c>
      <c r="E20" t="s">
        <v>81</v>
      </c>
      <c r="F20" t="s">
        <v>82</v>
      </c>
      <c r="G20" t="s">
        <v>18</v>
      </c>
      <c r="H20" s="2">
        <v>8619.31</v>
      </c>
      <c r="K20" t="s">
        <v>83</v>
      </c>
      <c r="L20" t="s">
        <v>83</v>
      </c>
    </row>
    <row r="21" spans="1:12" ht="33" customHeight="1" x14ac:dyDescent="0.25">
      <c r="A21" t="s">
        <v>124</v>
      </c>
      <c r="B21" t="s">
        <v>21</v>
      </c>
      <c r="C21" t="s">
        <v>15</v>
      </c>
      <c r="D21" t="s">
        <v>84</v>
      </c>
      <c r="F21" t="s">
        <v>47</v>
      </c>
      <c r="G21" t="s">
        <v>18</v>
      </c>
      <c r="H21" s="2">
        <v>55049.56</v>
      </c>
      <c r="I21" t="s">
        <v>85</v>
      </c>
      <c r="K21" t="s">
        <v>86</v>
      </c>
    </row>
    <row r="22" spans="1:12" ht="33" customHeight="1" x14ac:dyDescent="0.25">
      <c r="A22" t="s">
        <v>106</v>
      </c>
      <c r="B22" t="s">
        <v>21</v>
      </c>
      <c r="C22" t="s">
        <v>15</v>
      </c>
      <c r="D22" t="s">
        <v>87</v>
      </c>
      <c r="F22" t="s">
        <v>27</v>
      </c>
      <c r="G22" t="s">
        <v>28</v>
      </c>
      <c r="H22" s="2">
        <v>12486.08</v>
      </c>
      <c r="K22" t="s">
        <v>88</v>
      </c>
    </row>
    <row r="23" spans="1:12" ht="33" customHeight="1" x14ac:dyDescent="0.25">
      <c r="A23" t="s">
        <v>89</v>
      </c>
      <c r="B23" t="s">
        <v>14</v>
      </c>
      <c r="C23" t="s">
        <v>90</v>
      </c>
      <c r="D23" t="s">
        <v>91</v>
      </c>
      <c r="F23" t="s">
        <v>92</v>
      </c>
      <c r="G23" t="s">
        <v>60</v>
      </c>
      <c r="H23" s="2">
        <v>26492.97</v>
      </c>
      <c r="I23" t="s">
        <v>93</v>
      </c>
      <c r="K23" t="s">
        <v>94</v>
      </c>
    </row>
    <row r="24" spans="1:12" ht="33" customHeight="1" x14ac:dyDescent="0.25">
      <c r="A24" t="s">
        <v>95</v>
      </c>
      <c r="B24" t="s">
        <v>14</v>
      </c>
      <c r="C24" t="s">
        <v>90</v>
      </c>
      <c r="D24" t="s">
        <v>96</v>
      </c>
      <c r="F24" t="s">
        <v>97</v>
      </c>
      <c r="G24" t="s">
        <v>60</v>
      </c>
      <c r="H24" s="2">
        <v>35945.19</v>
      </c>
      <c r="I24" t="s">
        <v>98</v>
      </c>
      <c r="K24" t="s">
        <v>99</v>
      </c>
    </row>
    <row r="25" spans="1:12" ht="33" customHeight="1" x14ac:dyDescent="0.25">
      <c r="A25" t="s">
        <v>105</v>
      </c>
      <c r="B25" t="s">
        <v>14</v>
      </c>
      <c r="C25" t="s">
        <v>15</v>
      </c>
      <c r="D25" t="s">
        <v>100</v>
      </c>
      <c r="F25" t="s">
        <v>101</v>
      </c>
      <c r="G25" t="s">
        <v>28</v>
      </c>
      <c r="H25" s="2">
        <v>42550.38</v>
      </c>
      <c r="I25" t="s">
        <v>102</v>
      </c>
      <c r="K25" t="s">
        <v>103</v>
      </c>
    </row>
    <row r="26" spans="1:12" x14ac:dyDescent="0.25">
      <c r="A26" s="1"/>
      <c r="B26" s="1"/>
      <c r="C26" s="1"/>
      <c r="D26" s="1" t="s">
        <v>104</v>
      </c>
      <c r="E26" s="1"/>
      <c r="F26" s="1"/>
      <c r="G26" s="1"/>
      <c r="H26" s="3">
        <f>SUM(H4:H25)</f>
        <v>666915.17000000004</v>
      </c>
      <c r="I26" s="1"/>
      <c r="J26" s="1"/>
      <c r="K26" s="1"/>
      <c r="L26" s="1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763C-B07A-4519-AA91-3BC2E93B138C}">
  <sheetPr>
    <pageSetUpPr fitToPage="1"/>
  </sheetPr>
  <dimension ref="A1:H40"/>
  <sheetViews>
    <sheetView topLeftCell="A24" workbookViewId="0">
      <selection activeCell="J9" sqref="J9"/>
    </sheetView>
  </sheetViews>
  <sheetFormatPr defaultRowHeight="18.75" x14ac:dyDescent="0.3"/>
  <cols>
    <col min="1" max="1" width="22.28515625" style="15" customWidth="1"/>
    <col min="2" max="2" width="14" style="16" customWidth="1"/>
    <col min="3" max="3" width="20.85546875" style="15" customWidth="1"/>
    <col min="4" max="4" width="22.140625" style="15" customWidth="1"/>
    <col min="5" max="5" width="20" style="15" customWidth="1"/>
    <col min="6" max="6" width="23" style="15" customWidth="1"/>
    <col min="7" max="7" width="17.42578125" style="15" customWidth="1"/>
    <col min="8" max="8" width="16.140625" style="15" customWidth="1"/>
    <col min="9" max="16384" width="9.140625" style="15"/>
  </cols>
  <sheetData>
    <row r="1" spans="1:8" x14ac:dyDescent="0.3">
      <c r="E1" s="17"/>
      <c r="H1" s="17">
        <v>45748.999988425923</v>
      </c>
    </row>
    <row r="2" spans="1:8" x14ac:dyDescent="0.3">
      <c r="A2" s="18" t="s">
        <v>0</v>
      </c>
      <c r="B2" s="18"/>
      <c r="C2" s="19"/>
      <c r="D2" s="19"/>
      <c r="E2" s="20" t="s">
        <v>125</v>
      </c>
      <c r="F2" s="19"/>
      <c r="G2" s="19"/>
      <c r="H2" s="19"/>
    </row>
    <row r="3" spans="1:8" x14ac:dyDescent="0.3">
      <c r="A3" s="15" t="s">
        <v>7</v>
      </c>
      <c r="B3" s="16" t="s">
        <v>130</v>
      </c>
      <c r="C3" s="15" t="s">
        <v>8</v>
      </c>
      <c r="D3" s="15" t="s">
        <v>126</v>
      </c>
      <c r="E3" s="15" t="s">
        <v>127</v>
      </c>
      <c r="F3" s="15" t="s">
        <v>128</v>
      </c>
      <c r="G3" s="15" t="s">
        <v>131</v>
      </c>
      <c r="H3" s="15" t="s">
        <v>129</v>
      </c>
    </row>
    <row r="4" spans="1:8" ht="27" customHeight="1" x14ac:dyDescent="0.3">
      <c r="A4" s="15" t="s">
        <v>77</v>
      </c>
      <c r="C4" s="15" t="s">
        <v>18</v>
      </c>
      <c r="D4" s="21">
        <v>850</v>
      </c>
      <c r="E4" s="21">
        <v>0</v>
      </c>
      <c r="F4" s="22">
        <v>33154.71</v>
      </c>
      <c r="G4" s="21"/>
      <c r="H4" s="21">
        <v>33229.71</v>
      </c>
    </row>
    <row r="5" spans="1:8" ht="27" customHeight="1" x14ac:dyDescent="0.3">
      <c r="D5" s="21"/>
      <c r="E5" s="21"/>
      <c r="F5" s="21"/>
      <c r="G5" s="21"/>
      <c r="H5" s="21"/>
    </row>
    <row r="6" spans="1:8" ht="27" customHeight="1" x14ac:dyDescent="0.3">
      <c r="A6" s="15" t="s">
        <v>57</v>
      </c>
      <c r="C6" s="15" t="s">
        <v>18</v>
      </c>
      <c r="D6" s="21">
        <v>950</v>
      </c>
      <c r="E6" s="21">
        <v>0</v>
      </c>
      <c r="F6" s="21">
        <v>37006.93</v>
      </c>
      <c r="G6" s="21"/>
      <c r="H6" s="21">
        <v>37081.93</v>
      </c>
    </row>
    <row r="7" spans="1:8" ht="27" customHeight="1" x14ac:dyDescent="0.3">
      <c r="A7" s="15" t="s">
        <v>57</v>
      </c>
      <c r="C7" s="15" t="s">
        <v>60</v>
      </c>
      <c r="D7" s="21">
        <v>850</v>
      </c>
      <c r="E7" s="21">
        <v>0</v>
      </c>
      <c r="F7" s="21">
        <v>32858.35</v>
      </c>
      <c r="G7" s="22">
        <f>SUM(F6:F7)</f>
        <v>69865.279999999999</v>
      </c>
      <c r="H7" s="21">
        <v>32933.35</v>
      </c>
    </row>
    <row r="8" spans="1:8" ht="27" customHeight="1" x14ac:dyDescent="0.3">
      <c r="D8" s="21"/>
      <c r="E8" s="21"/>
      <c r="F8" s="21"/>
      <c r="G8" s="21"/>
      <c r="H8" s="21"/>
    </row>
    <row r="9" spans="1:8" ht="27" customHeight="1" x14ac:dyDescent="0.3">
      <c r="A9" s="15" t="s">
        <v>92</v>
      </c>
      <c r="B9" s="23" t="s">
        <v>135</v>
      </c>
      <c r="C9" s="15" t="s">
        <v>60</v>
      </c>
      <c r="D9" s="21">
        <v>750</v>
      </c>
      <c r="E9" s="21">
        <v>0</v>
      </c>
      <c r="F9" s="22">
        <v>26417.97</v>
      </c>
      <c r="G9" s="21"/>
      <c r="H9" s="21">
        <v>26492.97</v>
      </c>
    </row>
    <row r="10" spans="1:8" ht="27" customHeight="1" x14ac:dyDescent="0.3">
      <c r="D10" s="21"/>
      <c r="E10" s="21"/>
      <c r="F10" s="22"/>
      <c r="G10" s="21"/>
      <c r="H10" s="21"/>
    </row>
    <row r="11" spans="1:8" ht="27" customHeight="1" x14ac:dyDescent="0.3">
      <c r="A11" s="15" t="s">
        <v>17</v>
      </c>
      <c r="C11" s="15" t="s">
        <v>18</v>
      </c>
      <c r="D11" s="21">
        <v>850</v>
      </c>
      <c r="E11" s="21">
        <v>0</v>
      </c>
      <c r="F11" s="22">
        <v>31887.38</v>
      </c>
      <c r="G11" s="21"/>
      <c r="H11" s="21">
        <v>31962.38</v>
      </c>
    </row>
    <row r="12" spans="1:8" ht="27" customHeight="1" x14ac:dyDescent="0.3">
      <c r="D12" s="21"/>
      <c r="E12" s="21"/>
      <c r="F12" s="21"/>
      <c r="G12" s="21"/>
      <c r="H12" s="21"/>
    </row>
    <row r="13" spans="1:8" ht="27" customHeight="1" x14ac:dyDescent="0.3">
      <c r="A13" s="15" t="s">
        <v>47</v>
      </c>
      <c r="C13" s="15" t="s">
        <v>18</v>
      </c>
      <c r="D13" s="21">
        <v>850</v>
      </c>
      <c r="E13" s="21">
        <v>0</v>
      </c>
      <c r="F13" s="21">
        <v>31341.65</v>
      </c>
      <c r="G13" s="21"/>
      <c r="H13" s="21">
        <v>31416.65</v>
      </c>
    </row>
    <row r="14" spans="1:8" ht="27" customHeight="1" x14ac:dyDescent="0.3">
      <c r="A14" s="15" t="s">
        <v>47</v>
      </c>
      <c r="C14" s="15" t="s">
        <v>18</v>
      </c>
      <c r="D14" s="21">
        <v>1050</v>
      </c>
      <c r="E14" s="21">
        <v>0</v>
      </c>
      <c r="F14" s="21">
        <v>44137.75</v>
      </c>
      <c r="G14" s="21"/>
      <c r="H14" s="21">
        <v>44212.75</v>
      </c>
    </row>
    <row r="15" spans="1:8" ht="27" customHeight="1" x14ac:dyDescent="0.3">
      <c r="A15" s="15" t="s">
        <v>47</v>
      </c>
      <c r="C15" s="15" t="s">
        <v>18</v>
      </c>
      <c r="D15" s="21">
        <v>1350</v>
      </c>
      <c r="E15" s="21">
        <v>0</v>
      </c>
      <c r="F15" s="21">
        <v>54974.559999999998</v>
      </c>
      <c r="G15" s="21"/>
      <c r="H15" s="21">
        <v>55049.56</v>
      </c>
    </row>
    <row r="16" spans="1:8" ht="27" customHeight="1" x14ac:dyDescent="0.3">
      <c r="A16" s="15" t="s">
        <v>47</v>
      </c>
      <c r="C16" s="15" t="s">
        <v>28</v>
      </c>
      <c r="D16" s="21">
        <v>650</v>
      </c>
      <c r="E16" s="21">
        <v>0</v>
      </c>
      <c r="F16" s="21">
        <v>20883.98</v>
      </c>
      <c r="G16" s="22">
        <f>SUM(F13:F16)</f>
        <v>151337.94</v>
      </c>
      <c r="H16" s="21">
        <v>20958.98</v>
      </c>
    </row>
    <row r="17" spans="1:8" ht="27" customHeight="1" x14ac:dyDescent="0.3">
      <c r="D17" s="21"/>
      <c r="E17" s="21"/>
      <c r="F17" s="21"/>
      <c r="G17" s="21"/>
      <c r="H17" s="21"/>
    </row>
    <row r="18" spans="1:8" ht="27" customHeight="1" x14ac:dyDescent="0.3">
      <c r="A18" s="15" t="s">
        <v>23</v>
      </c>
      <c r="C18" s="15" t="s">
        <v>18</v>
      </c>
      <c r="D18" s="21">
        <v>1350</v>
      </c>
      <c r="E18" s="21">
        <v>0</v>
      </c>
      <c r="F18" s="22">
        <v>53338.44</v>
      </c>
      <c r="G18" s="21"/>
      <c r="H18" s="21">
        <v>53413.440000000002</v>
      </c>
    </row>
    <row r="19" spans="1:8" ht="27" customHeight="1" x14ac:dyDescent="0.3">
      <c r="D19" s="21"/>
      <c r="E19" s="21"/>
      <c r="F19" s="21"/>
      <c r="G19" s="21"/>
      <c r="H19" s="21"/>
    </row>
    <row r="20" spans="1:8" ht="27" customHeight="1" x14ac:dyDescent="0.3">
      <c r="A20" s="15" t="s">
        <v>133</v>
      </c>
      <c r="C20" s="15" t="s">
        <v>28</v>
      </c>
      <c r="D20" s="21">
        <v>650</v>
      </c>
      <c r="E20" s="21">
        <v>0</v>
      </c>
      <c r="F20" s="21">
        <v>20642</v>
      </c>
      <c r="G20" s="21"/>
      <c r="H20" s="21">
        <v>20717</v>
      </c>
    </row>
    <row r="21" spans="1:8" ht="27" customHeight="1" x14ac:dyDescent="0.3">
      <c r="A21" s="15" t="s">
        <v>134</v>
      </c>
      <c r="C21" s="15" t="s">
        <v>28</v>
      </c>
      <c r="D21" s="21">
        <v>750</v>
      </c>
      <c r="E21" s="21">
        <v>0</v>
      </c>
      <c r="F21" s="21">
        <v>28029.75</v>
      </c>
      <c r="G21" s="22">
        <f>SUM(F20:F21)</f>
        <v>48671.75</v>
      </c>
      <c r="H21" s="21">
        <v>28104.75</v>
      </c>
    </row>
    <row r="22" spans="1:8" ht="27" customHeight="1" x14ac:dyDescent="0.3">
      <c r="D22" s="21"/>
      <c r="E22" s="21"/>
      <c r="F22" s="21"/>
      <c r="G22" s="21"/>
      <c r="H22" s="21"/>
    </row>
    <row r="23" spans="1:8" ht="27" customHeight="1" x14ac:dyDescent="0.3">
      <c r="A23" s="15" t="s">
        <v>27</v>
      </c>
      <c r="C23" s="15" t="s">
        <v>28</v>
      </c>
      <c r="D23" s="21">
        <v>300</v>
      </c>
      <c r="E23" s="21">
        <v>0</v>
      </c>
      <c r="F23" s="21">
        <v>12411.08</v>
      </c>
      <c r="G23" s="21"/>
      <c r="H23" s="21">
        <v>12486.08</v>
      </c>
    </row>
    <row r="24" spans="1:8" ht="27" customHeight="1" x14ac:dyDescent="0.3">
      <c r="A24" s="15" t="s">
        <v>27</v>
      </c>
      <c r="C24" s="15" t="s">
        <v>28</v>
      </c>
      <c r="D24" s="21">
        <v>650</v>
      </c>
      <c r="E24" s="21">
        <v>0</v>
      </c>
      <c r="F24" s="21">
        <v>20871.939999999999</v>
      </c>
      <c r="G24" s="21"/>
      <c r="H24" s="21">
        <v>20946.939999999999</v>
      </c>
    </row>
    <row r="25" spans="1:8" ht="27" customHeight="1" x14ac:dyDescent="0.3">
      <c r="A25" s="15" t="s">
        <v>27</v>
      </c>
      <c r="C25" s="15" t="s">
        <v>28</v>
      </c>
      <c r="D25" s="21">
        <v>300</v>
      </c>
      <c r="E25" s="21">
        <v>0</v>
      </c>
      <c r="F25" s="21">
        <v>9925</v>
      </c>
      <c r="G25" s="22">
        <f>SUM(F23:F25)</f>
        <v>43208.02</v>
      </c>
      <c r="H25" s="21">
        <v>10000</v>
      </c>
    </row>
    <row r="26" spans="1:8" ht="27" customHeight="1" x14ac:dyDescent="0.3">
      <c r="D26" s="21"/>
      <c r="E26" s="21"/>
      <c r="F26" s="21"/>
      <c r="G26" s="21"/>
      <c r="H26" s="21"/>
    </row>
    <row r="27" spans="1:8" ht="27" customHeight="1" x14ac:dyDescent="0.3">
      <c r="A27" s="15" t="s">
        <v>39</v>
      </c>
      <c r="C27" s="15" t="s">
        <v>18</v>
      </c>
      <c r="D27" s="21">
        <v>300</v>
      </c>
      <c r="E27" s="21">
        <v>0</v>
      </c>
      <c r="F27" s="21">
        <v>12253</v>
      </c>
      <c r="G27" s="21"/>
      <c r="H27" s="21">
        <v>12328</v>
      </c>
    </row>
    <row r="28" spans="1:8" ht="27" customHeight="1" x14ac:dyDescent="0.3">
      <c r="A28" s="15" t="s">
        <v>39</v>
      </c>
      <c r="C28" s="15" t="s">
        <v>28</v>
      </c>
      <c r="D28" s="21">
        <v>850</v>
      </c>
      <c r="E28" s="21">
        <v>0</v>
      </c>
      <c r="F28" s="21">
        <v>30444.25</v>
      </c>
      <c r="G28" s="22">
        <f>SUM(F27:F28)</f>
        <v>42697.25</v>
      </c>
      <c r="H28" s="21">
        <v>30519.25</v>
      </c>
    </row>
    <row r="29" spans="1:8" ht="27" customHeight="1" x14ac:dyDescent="0.3">
      <c r="D29" s="21"/>
      <c r="E29" s="21"/>
      <c r="F29" s="21"/>
      <c r="G29" s="21"/>
      <c r="H29" s="21"/>
    </row>
    <row r="30" spans="1:8" ht="27" customHeight="1" x14ac:dyDescent="0.3">
      <c r="A30" s="15" t="s">
        <v>36</v>
      </c>
      <c r="C30" s="15" t="s">
        <v>18</v>
      </c>
      <c r="D30" s="21">
        <v>1050</v>
      </c>
      <c r="E30" s="21">
        <v>0</v>
      </c>
      <c r="F30" s="22">
        <v>42349.9</v>
      </c>
      <c r="G30" s="21"/>
      <c r="H30" s="21">
        <v>42424.9</v>
      </c>
    </row>
    <row r="31" spans="1:8" ht="27" customHeight="1" x14ac:dyDescent="0.3">
      <c r="D31" s="21"/>
      <c r="E31" s="21"/>
      <c r="F31" s="22"/>
      <c r="G31" s="21"/>
      <c r="H31" s="21"/>
    </row>
    <row r="32" spans="1:8" ht="27" customHeight="1" x14ac:dyDescent="0.3">
      <c r="A32" s="15" t="s">
        <v>132</v>
      </c>
      <c r="C32" s="15" t="s">
        <v>18</v>
      </c>
      <c r="D32" s="21">
        <v>150</v>
      </c>
      <c r="E32" s="21">
        <v>0</v>
      </c>
      <c r="F32" s="22">
        <v>8544.31</v>
      </c>
      <c r="G32" s="21"/>
      <c r="H32" s="21">
        <v>8619.31</v>
      </c>
    </row>
    <row r="33" spans="1:8" ht="27" customHeight="1" x14ac:dyDescent="0.3">
      <c r="D33" s="21"/>
      <c r="E33" s="21"/>
      <c r="F33" s="22"/>
      <c r="G33" s="21"/>
      <c r="H33" s="21"/>
    </row>
    <row r="34" spans="1:8" ht="27" customHeight="1" x14ac:dyDescent="0.3">
      <c r="A34" s="15" t="s">
        <v>101</v>
      </c>
      <c r="C34" s="15" t="s">
        <v>28</v>
      </c>
      <c r="D34" s="21">
        <v>1050</v>
      </c>
      <c r="E34" s="21">
        <v>0</v>
      </c>
      <c r="F34" s="22">
        <v>42475.38</v>
      </c>
      <c r="G34" s="21"/>
      <c r="H34" s="21">
        <v>42550.38</v>
      </c>
    </row>
    <row r="35" spans="1:8" ht="27" customHeight="1" x14ac:dyDescent="0.3">
      <c r="D35" s="21"/>
      <c r="E35" s="21"/>
      <c r="F35" s="22"/>
      <c r="G35" s="21"/>
      <c r="H35" s="21"/>
    </row>
    <row r="36" spans="1:8" ht="27" customHeight="1" x14ac:dyDescent="0.3">
      <c r="A36" s="15" t="s">
        <v>97</v>
      </c>
      <c r="C36" s="15" t="s">
        <v>60</v>
      </c>
      <c r="D36" s="21">
        <v>950</v>
      </c>
      <c r="E36" s="21">
        <v>0</v>
      </c>
      <c r="F36" s="22">
        <v>35870.19</v>
      </c>
      <c r="G36" s="21"/>
      <c r="H36" s="21">
        <v>35945.19</v>
      </c>
    </row>
    <row r="37" spans="1:8" ht="27" customHeight="1" x14ac:dyDescent="0.3">
      <c r="D37" s="21"/>
      <c r="E37" s="21"/>
      <c r="F37" s="22"/>
      <c r="G37" s="21"/>
      <c r="H37" s="21"/>
    </row>
    <row r="38" spans="1:8" ht="27" customHeight="1" x14ac:dyDescent="0.3">
      <c r="A38" s="15" t="s">
        <v>32</v>
      </c>
      <c r="C38" s="15" t="s">
        <v>18</v>
      </c>
      <c r="D38" s="21">
        <v>950</v>
      </c>
      <c r="E38" s="21">
        <v>0</v>
      </c>
      <c r="F38" s="22">
        <v>35446.65</v>
      </c>
      <c r="G38" s="21"/>
      <c r="H38" s="21">
        <v>35521.65</v>
      </c>
    </row>
    <row r="39" spans="1:8" ht="20.25" customHeight="1" x14ac:dyDescent="0.3">
      <c r="D39" s="21"/>
      <c r="E39" s="21"/>
      <c r="F39" s="21"/>
      <c r="G39" s="21"/>
      <c r="H39" s="21"/>
    </row>
    <row r="40" spans="1:8" x14ac:dyDescent="0.3">
      <c r="A40" s="24"/>
      <c r="B40" s="25"/>
      <c r="C40" s="24"/>
      <c r="D40" s="26">
        <f>SUM(D4:D38)</f>
        <v>17450</v>
      </c>
      <c r="E40" s="26">
        <f>SUM(E4:E38)</f>
        <v>0</v>
      </c>
      <c r="F40" s="26">
        <f>SUM(F4:F38)</f>
        <v>665265.17000000004</v>
      </c>
      <c r="G40" s="26"/>
      <c r="H40" s="26">
        <f>SUM(H4:H38)</f>
        <v>666915.17000000004</v>
      </c>
    </row>
  </sheetData>
  <mergeCells count="2">
    <mergeCell ref="A2:D2"/>
    <mergeCell ref="E2:H2"/>
  </mergeCells>
  <pageMargins left="0.7" right="0.2" top="0.75" bottom="0.75" header="0.3" footer="0.3"/>
  <pageSetup scale="73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0C93-56B6-47A3-A4CA-AA1F478F3A18}">
  <dimension ref="A1:E22"/>
  <sheetViews>
    <sheetView workbookViewId="0">
      <selection activeCell="E24" sqref="E24"/>
    </sheetView>
  </sheetViews>
  <sheetFormatPr defaultRowHeight="15" x14ac:dyDescent="0.25"/>
  <cols>
    <col min="1" max="1" width="19.42578125" customWidth="1"/>
    <col min="2" max="2" width="12.28515625" customWidth="1"/>
    <col min="3" max="3" width="15.42578125" customWidth="1"/>
    <col min="4" max="4" width="17.140625" customWidth="1"/>
    <col min="5" max="5" width="34" customWidth="1"/>
  </cols>
  <sheetData>
    <row r="1" spans="1:5" x14ac:dyDescent="0.25">
      <c r="A1" t="s">
        <v>136</v>
      </c>
      <c r="D1" s="4"/>
      <c r="E1" s="27">
        <v>45748</v>
      </c>
    </row>
    <row r="2" spans="1:5" x14ac:dyDescent="0.25">
      <c r="A2" s="12" t="s">
        <v>0</v>
      </c>
      <c r="B2" s="6"/>
      <c r="C2" s="6"/>
      <c r="D2" s="13" t="s">
        <v>137</v>
      </c>
      <c r="E2" s="6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 t="s">
        <v>89</v>
      </c>
      <c r="B4" t="s">
        <v>90</v>
      </c>
      <c r="C4" t="s">
        <v>91</v>
      </c>
      <c r="E4" t="s">
        <v>92</v>
      </c>
    </row>
    <row r="5" spans="1:5" x14ac:dyDescent="0.25">
      <c r="A5" t="s">
        <v>95</v>
      </c>
      <c r="B5" t="s">
        <v>90</v>
      </c>
      <c r="C5" t="s">
        <v>96</v>
      </c>
      <c r="E5" t="s">
        <v>97</v>
      </c>
    </row>
    <row r="7" spans="1:5" x14ac:dyDescent="0.25">
      <c r="A7" s="14"/>
      <c r="B7" s="14"/>
      <c r="C7" s="14" t="s">
        <v>138</v>
      </c>
      <c r="D7" s="14"/>
      <c r="E7" s="14"/>
    </row>
    <row r="12" spans="1:5" x14ac:dyDescent="0.25">
      <c r="A12" t="s">
        <v>139</v>
      </c>
      <c r="B12" s="28"/>
      <c r="C12" s="28"/>
      <c r="D12" s="28"/>
    </row>
    <row r="17" spans="1:4" x14ac:dyDescent="0.25">
      <c r="A17" t="s">
        <v>140</v>
      </c>
      <c r="B17" s="28"/>
      <c r="C17" s="28"/>
      <c r="D17" s="28"/>
    </row>
    <row r="22" spans="1:4" x14ac:dyDescent="0.25">
      <c r="A22" t="s">
        <v>141</v>
      </c>
      <c r="B22" s="28"/>
      <c r="C22" s="28"/>
    </row>
  </sheetData>
  <mergeCells count="2">
    <mergeCell ref="A2:C2"/>
    <mergeCell ref="D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2025-04-01T18:43:07Z</cp:lastPrinted>
  <dcterms:created xsi:type="dcterms:W3CDTF">2025-04-01T18:28:51Z</dcterms:created>
  <dcterms:modified xsi:type="dcterms:W3CDTF">2025-04-01T19:09:02Z</dcterms:modified>
</cp:coreProperties>
</file>