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726DBF08-A60E-440F-A64D-FE5A917CA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2" i="1"/>
  <c r="H23" i="2"/>
  <c r="F35" i="1"/>
  <c r="H36" i="1"/>
  <c r="E36" i="1"/>
  <c r="D36" i="1"/>
  <c r="C36" i="1"/>
</calcChain>
</file>

<file path=xl/sharedStrings.xml><?xml version="1.0" encoding="utf-8"?>
<sst xmlns="http://schemas.openxmlformats.org/spreadsheetml/2006/main" count="251" uniqueCount="132">
  <si>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</si>
  <si>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</si>
  <si>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</si>
  <si>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</si>
  <si>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</si>
  <si>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</si>
  <si>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</si>
  <si>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</si>
  <si>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</si>
  <si>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</si>
  <si>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</si>
  <si>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Marlene Braganca</t>
  </si>
  <si>
    <t>Anchor Nissan</t>
  </si>
  <si>
    <t>Neli Oliveira</t>
  </si>
  <si>
    <t>Bailey's Motor Sales Inc</t>
  </si>
  <si>
    <t>Battles Nissan, LLC</t>
  </si>
  <si>
    <t>Bourne Enterprises Inc</t>
  </si>
  <si>
    <t>Mathieu Ford Sales, Inc</t>
  </si>
  <si>
    <t>Patriot Auto Group Inc d/b/a</t>
  </si>
  <si>
    <t>Planet Automotive Sales LLC</t>
  </si>
  <si>
    <t>Planet Subaru</t>
  </si>
  <si>
    <t>Priority Automotive LLC</t>
  </si>
  <si>
    <t>RAH FALL RIVER VW, LLC</t>
  </si>
  <si>
    <t>T F Murphy Enterprises Inc</t>
  </si>
  <si>
    <t>Tasca Ford</t>
  </si>
  <si>
    <t>Rachel Gorham</t>
  </si>
  <si>
    <t>Viti Mercedes</t>
  </si>
  <si>
    <t>Column1</t>
  </si>
  <si>
    <t>Column2</t>
  </si>
  <si>
    <t># 19</t>
  </si>
  <si>
    <t>RIEL</t>
  </si>
  <si>
    <t>MSALVAS047@GMAIL.COM</t>
  </si>
  <si>
    <t>SALVAS, MARK</t>
  </si>
  <si>
    <t>Paper</t>
  </si>
  <si>
    <t>Route One</t>
  </si>
  <si>
    <t>151243012</t>
  </si>
  <si>
    <t>HUTTON</t>
  </si>
  <si>
    <t>ADAM@KNEADDOUGHNUTS.COM</t>
  </si>
  <si>
    <t>LASTRINA, ADAM</t>
  </si>
  <si>
    <t>RI DOUGHNUT VENTURE GROUP LLC</t>
  </si>
  <si>
    <t>E Contract</t>
  </si>
  <si>
    <t>DealerTrack</t>
  </si>
  <si>
    <t>151243004E</t>
  </si>
  <si>
    <t>MCCARTHY</t>
  </si>
  <si>
    <t>K.ASSADJR@GMAIL.COM</t>
  </si>
  <si>
    <t>ASSAD, MARY</t>
  </si>
  <si>
    <t>151242973E</t>
  </si>
  <si>
    <t>Delucca</t>
  </si>
  <si>
    <t>DDENVER923@GMAIL.COM</t>
  </si>
  <si>
    <t>DENVER, DENISE</t>
  </si>
  <si>
    <t>151242965E</t>
  </si>
  <si>
    <t>LeBlanc</t>
  </si>
  <si>
    <t>EAFSTYLIST@YAHOO.COM</t>
  </si>
  <si>
    <t>CHEVALIER, ERICA</t>
  </si>
  <si>
    <t>151242957E</t>
  </si>
  <si>
    <t>QUINN</t>
  </si>
  <si>
    <t>FORREST</t>
  </si>
  <si>
    <t>HERIN041@GMAIL.COM</t>
  </si>
  <si>
    <t>MARKHEALY87@YAHOO.COM</t>
  </si>
  <si>
    <t>HEALY, ERIN</t>
  </si>
  <si>
    <t>HEALY, NANCY</t>
  </si>
  <si>
    <t>151242949E</t>
  </si>
  <si>
    <t>Tousignant</t>
  </si>
  <si>
    <t>RMCCORMACK@RWU.EDU</t>
  </si>
  <si>
    <t>MCCORMACK, RACHEL</t>
  </si>
  <si>
    <t>151242931E</t>
  </si>
  <si>
    <t>Bonin</t>
  </si>
  <si>
    <t>Nadeau</t>
  </si>
  <si>
    <t>PAMBOUCHER65@GMAIL.COM</t>
  </si>
  <si>
    <t>BOUCHER, PAMELA</t>
  </si>
  <si>
    <t>BOUCHER, PETER</t>
  </si>
  <si>
    <t>151242923E</t>
  </si>
  <si>
    <t>Davis</t>
  </si>
  <si>
    <t>SOCKRMOM31347@AOL.COM</t>
  </si>
  <si>
    <t>SANDLAND, JUDITH</t>
  </si>
  <si>
    <t>151242915E</t>
  </si>
  <si>
    <t>Kane</t>
  </si>
  <si>
    <t>bconnerton@msn.com</t>
  </si>
  <si>
    <t>CONNERTON, WILLIAM</t>
  </si>
  <si>
    <t>151242907E</t>
  </si>
  <si>
    <t>THEOTIKOS</t>
  </si>
  <si>
    <t>NIKCOL1800@GMAI.COM</t>
  </si>
  <si>
    <t>POLIZOS, NIKOLAOS</t>
  </si>
  <si>
    <t>151242890E</t>
  </si>
  <si>
    <t>Fraser</t>
  </si>
  <si>
    <t>RYAN, ELEANOR</t>
  </si>
  <si>
    <t>151242882E</t>
  </si>
  <si>
    <t>BRICK</t>
  </si>
  <si>
    <t>LYNNYBLACKWOOD@GMAIL.COM</t>
  </si>
  <si>
    <t>BLACKWOOD, LYNSWORTH</t>
  </si>
  <si>
    <t>151242866E</t>
  </si>
  <si>
    <t>BANNON</t>
  </si>
  <si>
    <t>KOJACK317@GMAIL.COM</t>
  </si>
  <si>
    <t>BURKE, PATRICK</t>
  </si>
  <si>
    <t>151242840</t>
  </si>
  <si>
    <t>Pavlock</t>
  </si>
  <si>
    <t>lcdel50@gmail.com</t>
  </si>
  <si>
    <t>Dellasanta, Lorraine</t>
  </si>
  <si>
    <t>151242832E</t>
  </si>
  <si>
    <t>CARUSO</t>
  </si>
  <si>
    <t>KPRAY01@GMAIL.COM</t>
  </si>
  <si>
    <t>PRAY, KEVIN</t>
  </si>
  <si>
    <t>151242824</t>
  </si>
  <si>
    <t>GONZALES</t>
  </si>
  <si>
    <t>stevemineo@comcast.net</t>
  </si>
  <si>
    <t>MINEO, STEVEN</t>
  </si>
  <si>
    <t>151242816E</t>
  </si>
  <si>
    <t>BLACK</t>
  </si>
  <si>
    <t>CORMIER</t>
  </si>
  <si>
    <t>BOUDREAU, AMY</t>
  </si>
  <si>
    <t>BOUDREAU, THOMAS</t>
  </si>
  <si>
    <t>151242767E</t>
  </si>
  <si>
    <t>Loras</t>
  </si>
  <si>
    <t>LUISAMED67@GMAIL.COM</t>
  </si>
  <si>
    <t>MEDEIROS, LUISA</t>
  </si>
  <si>
    <t>151242717E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</si>
  <si>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</si>
  <si>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</si>
  <si>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</si>
  <si>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</si>
  <si>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</si>
  <si>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</si>
  <si>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</si>
  <si>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</si>
  <si>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</si>
  <si>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</si>
  <si>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</si>
  <si>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</t>
  </si>
  <si>
    <t>Received By________________________________________________________________</t>
  </si>
  <si>
    <t>Delivered By________________________________________________________________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</si>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</sst>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</cellXfs>
  <cellStyles count="3">
    <cellStyle name="Normal" xfId="0" builtinId="0"/>
    <cellStyle name="Normal 2" xfId="1" xr:uid="{7756E39F-980B-46A9-9DD5-9333C71435A1}"/>
    <cellStyle name="Normal 3" xfId="2" xr:uid="{3F29DD93-65F4-4D4B-AF08-B67D9891B3B7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6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668DFAD9-4A4E-4D10-AB11-65A228CF63E1}" name="Column1" dataDxfId="24"/>
    <tableColumn id="8" xr3:uid="{2762BD33-AC53-4A87-95C3-FADC1891E12B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CE8A3-FE02-4153-BF3B-F06846CC3C49}" name="Table_13" displayName="Table_13" ref="A3:L23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D30CA0-9358-46C4-8E0F-5F3D38DEE642}" name="Table_14" displayName="Table_14" ref="A3:E7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workbookViewId="0">
      <pane ySplit="3" topLeftCell="A19" activePane="bottomLeft" state="frozen"/>
      <selection pane="bottomLeft" activeCell="M37" sqref="M37"/>
    </sheetView>
  </sheetViews>
  <sheetFormatPr defaultRowHeight="15" x14ac:dyDescent="0.25"/>
  <cols>
    <col min="1" max="1" width="27.28515625" bestFit="1" customWidth="1"/>
    <col min="2" max="2" width="17.7109375" bestFit="1" customWidth="1"/>
    <col min="3" max="3" width="11.140625" bestFit="1" customWidth="1"/>
    <col min="4" max="4" width="18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45964</v>
      </c>
      <c r="E1" t="s">
        <v>2</v>
      </c>
      <c r="H1" s="4">
        <v>45964.999988425923</v>
      </c>
    </row>
    <row r="2" spans="1:8" x14ac:dyDescent="0.25">
      <c r="A2" s="15" t="s">
        <v>0</v>
      </c>
      <c r="B2" s="16"/>
      <c r="C2" s="16"/>
      <c r="D2" s="17" t="s">
        <v>1</v>
      </c>
      <c r="E2" s="16"/>
      <c r="F2" s="16"/>
      <c r="G2" s="16"/>
      <c r="H2" s="1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27</v>
      </c>
      <c r="G3" t="s">
        <v>28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23785.06</v>
      </c>
      <c r="F4" s="2"/>
      <c r="G4" s="2"/>
      <c r="H4" s="2">
        <v>23860.06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500</v>
      </c>
      <c r="D6" s="2">
        <v>0</v>
      </c>
      <c r="E6" s="2">
        <v>15188.4</v>
      </c>
      <c r="F6" s="2"/>
      <c r="G6" s="2"/>
      <c r="H6" s="2">
        <v>15263.4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850</v>
      </c>
      <c r="D8" s="2">
        <v>0</v>
      </c>
      <c r="E8" s="2">
        <v>33520.449999999997</v>
      </c>
      <c r="F8" s="2"/>
      <c r="G8" s="2"/>
      <c r="H8" s="2">
        <v>33595.449999999997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750</v>
      </c>
      <c r="D10" s="2">
        <v>0</v>
      </c>
      <c r="E10" s="2">
        <v>26877</v>
      </c>
      <c r="F10" s="2"/>
      <c r="G10" s="2"/>
      <c r="H10" s="2">
        <v>26952</v>
      </c>
    </row>
    <row r="11" spans="1:8" x14ac:dyDescent="0.25">
      <c r="A11" t="s">
        <v>15</v>
      </c>
      <c r="B11" t="s">
        <v>11</v>
      </c>
      <c r="C11" s="2">
        <v>650</v>
      </c>
      <c r="D11" s="2">
        <v>0</v>
      </c>
      <c r="E11" s="2">
        <v>20630.38</v>
      </c>
      <c r="F11" s="2"/>
      <c r="G11" s="2"/>
      <c r="H11" s="2">
        <v>20705.38</v>
      </c>
    </row>
    <row r="12" spans="1:8" x14ac:dyDescent="0.25">
      <c r="A12" t="s">
        <v>15</v>
      </c>
      <c r="B12" t="s">
        <v>11</v>
      </c>
      <c r="C12" s="2">
        <v>650</v>
      </c>
      <c r="D12" s="2">
        <v>0</v>
      </c>
      <c r="E12" s="2">
        <v>23772.880000000001</v>
      </c>
      <c r="F12" s="2">
        <f>SUM(E10:E12)</f>
        <v>71280.260000000009</v>
      </c>
      <c r="G12" s="2"/>
      <c r="H12" s="2">
        <v>23847.88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13</v>
      </c>
      <c r="C14" s="2">
        <v>650</v>
      </c>
      <c r="D14" s="2">
        <v>0</v>
      </c>
      <c r="E14" s="2">
        <v>23590.38</v>
      </c>
      <c r="F14" s="2"/>
      <c r="G14" s="2"/>
      <c r="H14" s="2">
        <v>23665.38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11</v>
      </c>
      <c r="C16" s="2">
        <v>500</v>
      </c>
      <c r="D16" s="2">
        <v>0</v>
      </c>
      <c r="E16" s="2">
        <v>15957.06</v>
      </c>
      <c r="F16" s="2"/>
      <c r="G16" s="2"/>
      <c r="H16" s="2">
        <v>16032.06</v>
      </c>
    </row>
    <row r="17" spans="1:8" x14ac:dyDescent="0.25">
      <c r="A17" t="s">
        <v>17</v>
      </c>
      <c r="B17" t="s">
        <v>11</v>
      </c>
      <c r="C17" s="2">
        <v>500</v>
      </c>
      <c r="D17" s="2">
        <v>0</v>
      </c>
      <c r="E17" s="2">
        <v>17899</v>
      </c>
      <c r="F17" s="2">
        <f>SUM(E16:E17)</f>
        <v>33856.06</v>
      </c>
      <c r="G17" s="2"/>
      <c r="H17" s="2">
        <v>17974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13</v>
      </c>
      <c r="C19" s="2">
        <v>650</v>
      </c>
      <c r="D19" s="2">
        <v>0</v>
      </c>
      <c r="E19" s="2">
        <v>23742.31</v>
      </c>
      <c r="F19" s="2"/>
      <c r="G19" s="2"/>
      <c r="H19" s="2">
        <v>23817.31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13</v>
      </c>
      <c r="C21" s="2">
        <v>750</v>
      </c>
      <c r="D21" s="2">
        <v>0</v>
      </c>
      <c r="E21" s="2">
        <v>26451.279999999999</v>
      </c>
      <c r="F21" s="2"/>
      <c r="G21" s="2"/>
      <c r="H21" s="2">
        <v>26526.28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11</v>
      </c>
      <c r="C23" s="2">
        <v>500</v>
      </c>
      <c r="D23" s="2">
        <v>0</v>
      </c>
      <c r="E23" s="2">
        <v>15265.75</v>
      </c>
      <c r="F23" s="2"/>
      <c r="G23" s="2"/>
      <c r="H23" s="2">
        <v>15340.75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13</v>
      </c>
      <c r="C25" s="2">
        <v>500</v>
      </c>
      <c r="D25" s="2">
        <v>0</v>
      </c>
      <c r="E25" s="2">
        <v>16793.93</v>
      </c>
      <c r="F25" s="2"/>
      <c r="G25" s="2"/>
      <c r="H25" s="2">
        <v>16868.93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11</v>
      </c>
      <c r="C27" s="2">
        <v>500</v>
      </c>
      <c r="D27" s="2">
        <v>0</v>
      </c>
      <c r="E27" s="2">
        <v>17179.93</v>
      </c>
      <c r="F27" s="2"/>
      <c r="G27" s="2"/>
      <c r="H27" s="2">
        <v>17254.93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23</v>
      </c>
      <c r="B29" t="s">
        <v>11</v>
      </c>
      <c r="C29" s="2">
        <v>950</v>
      </c>
      <c r="D29" s="2">
        <v>0</v>
      </c>
      <c r="E29" s="2">
        <v>37090.120000000003</v>
      </c>
      <c r="F29" s="2"/>
      <c r="G29" s="2"/>
      <c r="H29" s="2">
        <v>37165.120000000003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24</v>
      </c>
      <c r="B31" t="s">
        <v>25</v>
      </c>
      <c r="C31" s="2">
        <v>1350</v>
      </c>
      <c r="D31" s="2">
        <v>0</v>
      </c>
      <c r="E31" s="2">
        <v>52171.519999999997</v>
      </c>
      <c r="F31" s="2"/>
      <c r="G31" s="2"/>
      <c r="H31" s="2">
        <v>52246.52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26</v>
      </c>
      <c r="B33" t="s">
        <v>11</v>
      </c>
      <c r="C33" s="2">
        <v>1500</v>
      </c>
      <c r="D33" s="2">
        <v>0</v>
      </c>
      <c r="E33" s="2">
        <v>87661.52</v>
      </c>
      <c r="F33" s="2"/>
      <c r="G33" s="2"/>
      <c r="H33" s="2">
        <v>87736.52</v>
      </c>
    </row>
    <row r="34" spans="1:8" x14ac:dyDescent="0.25">
      <c r="A34" t="s">
        <v>26</v>
      </c>
      <c r="B34" t="s">
        <v>11</v>
      </c>
      <c r="C34" s="2">
        <v>850</v>
      </c>
      <c r="D34" s="2">
        <v>0</v>
      </c>
      <c r="E34" s="2">
        <v>34323.800000000003</v>
      </c>
      <c r="F34" s="2"/>
      <c r="G34" s="2"/>
      <c r="H34" s="2">
        <v>34398.800000000003</v>
      </c>
    </row>
    <row r="35" spans="1:8" x14ac:dyDescent="0.25">
      <c r="A35" t="s">
        <v>26</v>
      </c>
      <c r="B35" t="s">
        <v>11</v>
      </c>
      <c r="C35" s="2">
        <v>650</v>
      </c>
      <c r="D35" s="2">
        <v>0</v>
      </c>
      <c r="E35" s="2">
        <v>21246</v>
      </c>
      <c r="F35" s="2">
        <f>SUM(E33:E35)</f>
        <v>143231.32</v>
      </c>
      <c r="G35" s="2"/>
      <c r="H35" s="2">
        <v>21321</v>
      </c>
    </row>
    <row r="36" spans="1:8" x14ac:dyDescent="0.25">
      <c r="A36" s="1"/>
      <c r="B36" s="1"/>
      <c r="C36" s="3">
        <f>SUM(C4:C35)</f>
        <v>13900</v>
      </c>
      <c r="D36" s="3">
        <f>SUM(D4:D35)</f>
        <v>0</v>
      </c>
      <c r="E36" s="3">
        <f>SUM(E4:E35)</f>
        <v>533146.77</v>
      </c>
      <c r="F36" s="3"/>
      <c r="G36" s="3"/>
      <c r="H36" s="3">
        <f>SUM(H4:H35)</f>
        <v>534571.77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9362-495B-4B0B-AE3C-076AB3D66082}">
  <sheetPr>
    <pageSetUpPr fitToPage="1"/>
  </sheetPr>
  <dimension ref="A1:M31"/>
  <sheetViews>
    <sheetView workbookViewId="0">
      <pane ySplit="3" topLeftCell="A12" activePane="bottomLeft" state="frozen"/>
      <selection pane="bottomLeft" activeCell="A4" sqref="A4:A22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6" style="5" bestFit="1" customWidth="1"/>
    <col min="5" max="5" width="18.7109375" style="5" bestFit="1" customWidth="1"/>
    <col min="6" max="6" width="27.28515625" style="5" bestFit="1" customWidth="1"/>
    <col min="7" max="7" width="17.7109375" style="5" bestFit="1" customWidth="1"/>
    <col min="8" max="8" width="17.140625" style="5" bestFit="1" customWidth="1"/>
    <col min="9" max="9" width="31.7109375" style="5" bestFit="1" customWidth="1"/>
    <col min="10" max="10" width="29" style="5" bestFit="1" customWidth="1"/>
    <col min="11" max="11" width="18.140625" style="5" bestFit="1" customWidth="1"/>
    <col min="12" max="12" width="12.85546875" style="5" bestFit="1" customWidth="1"/>
    <col min="13" max="16384" width="9.140625" style="5"/>
  </cols>
  <sheetData>
    <row r="1" spans="1:13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45964</v>
      </c>
      <c r="L1" s="6" t="s">
        <v>2</v>
      </c>
      <c r="M1" s="6"/>
    </row>
    <row r="2" spans="1:13" ht="35.1" customHeight="1" x14ac:dyDescent="0.25">
      <c r="A2" s="18" t="s">
        <v>0</v>
      </c>
      <c r="B2" s="19"/>
      <c r="C2" s="19"/>
      <c r="D2" s="19"/>
      <c r="E2" s="19"/>
      <c r="F2" s="19"/>
      <c r="G2" s="20" t="s">
        <v>126</v>
      </c>
      <c r="H2" s="19"/>
      <c r="I2" s="19"/>
      <c r="J2" s="19"/>
      <c r="K2" s="19"/>
      <c r="L2" s="19"/>
      <c r="M2" s="6"/>
    </row>
    <row r="3" spans="1:13" ht="35.1" customHeight="1" x14ac:dyDescent="0.25">
      <c r="A3" s="6" t="s">
        <v>125</v>
      </c>
      <c r="B3" s="6" t="s">
        <v>124</v>
      </c>
      <c r="C3" s="6" t="s">
        <v>123</v>
      </c>
      <c r="D3" s="6" t="s">
        <v>122</v>
      </c>
      <c r="E3" s="6" t="s">
        <v>121</v>
      </c>
      <c r="F3" s="6" t="s">
        <v>4</v>
      </c>
      <c r="G3" s="6" t="s">
        <v>5</v>
      </c>
      <c r="H3" s="6" t="s">
        <v>120</v>
      </c>
      <c r="I3" s="6" t="s">
        <v>119</v>
      </c>
      <c r="J3" s="6" t="s">
        <v>118</v>
      </c>
      <c r="K3" s="6" t="s">
        <v>117</v>
      </c>
      <c r="L3" s="6" t="s">
        <v>116</v>
      </c>
      <c r="M3" s="6"/>
    </row>
    <row r="4" spans="1:13" ht="35.1" customHeight="1" x14ac:dyDescent="0.25">
      <c r="A4" s="6" t="s">
        <v>115</v>
      </c>
      <c r="B4" s="6" t="s">
        <v>41</v>
      </c>
      <c r="C4" s="6" t="s">
        <v>40</v>
      </c>
      <c r="D4" s="6" t="s">
        <v>114</v>
      </c>
      <c r="E4" s="6"/>
      <c r="F4" s="6" t="s">
        <v>26</v>
      </c>
      <c r="G4" s="6" t="s">
        <v>11</v>
      </c>
      <c r="H4" s="8">
        <v>21321</v>
      </c>
      <c r="I4" s="6" t="s">
        <v>113</v>
      </c>
      <c r="J4" s="6"/>
      <c r="K4" s="6" t="s">
        <v>112</v>
      </c>
      <c r="L4" s="6"/>
      <c r="M4" s="6"/>
    </row>
    <row r="5" spans="1:13" ht="35.1" customHeight="1" x14ac:dyDescent="0.25">
      <c r="A5" s="6" t="s">
        <v>111</v>
      </c>
      <c r="B5" s="6" t="s">
        <v>34</v>
      </c>
      <c r="C5" s="6" t="s">
        <v>40</v>
      </c>
      <c r="D5" s="6" t="s">
        <v>110</v>
      </c>
      <c r="E5" s="6" t="s">
        <v>109</v>
      </c>
      <c r="F5" s="6" t="s">
        <v>17</v>
      </c>
      <c r="G5" s="6" t="s">
        <v>11</v>
      </c>
      <c r="H5" s="8">
        <v>16032.06</v>
      </c>
      <c r="I5" s="6"/>
      <c r="J5" s="6"/>
      <c r="K5" s="6" t="s">
        <v>108</v>
      </c>
      <c r="L5" s="6" t="s">
        <v>107</v>
      </c>
      <c r="M5" s="6"/>
    </row>
    <row r="6" spans="1:13" ht="35.1" customHeight="1" x14ac:dyDescent="0.25">
      <c r="A6" s="6" t="s">
        <v>106</v>
      </c>
      <c r="B6" s="6" t="s">
        <v>34</v>
      </c>
      <c r="C6" s="6" t="s">
        <v>40</v>
      </c>
      <c r="D6" s="6" t="s">
        <v>105</v>
      </c>
      <c r="E6" s="6"/>
      <c r="F6" s="6" t="s">
        <v>18</v>
      </c>
      <c r="G6" s="6" t="s">
        <v>13</v>
      </c>
      <c r="H6" s="8">
        <v>23817.31</v>
      </c>
      <c r="I6" s="6" t="s">
        <v>104</v>
      </c>
      <c r="J6" s="6"/>
      <c r="K6" s="6" t="s">
        <v>103</v>
      </c>
      <c r="L6" s="6"/>
      <c r="M6" s="6"/>
    </row>
    <row r="7" spans="1:13" ht="35.1" customHeight="1" x14ac:dyDescent="0.25">
      <c r="A7" s="6" t="s">
        <v>102</v>
      </c>
      <c r="B7" s="6" t="s">
        <v>41</v>
      </c>
      <c r="C7" s="6" t="s">
        <v>33</v>
      </c>
      <c r="D7" s="6" t="s">
        <v>101</v>
      </c>
      <c r="E7" s="6"/>
      <c r="F7" s="6" t="s">
        <v>16</v>
      </c>
      <c r="G7" s="6" t="s">
        <v>13</v>
      </c>
      <c r="H7" s="8">
        <v>23665.38</v>
      </c>
      <c r="I7" s="6" t="s">
        <v>100</v>
      </c>
      <c r="J7" s="6"/>
      <c r="K7" s="6" t="s">
        <v>99</v>
      </c>
      <c r="L7" s="6"/>
      <c r="M7" s="6"/>
    </row>
    <row r="8" spans="1:13" ht="35.1" customHeight="1" x14ac:dyDescent="0.25">
      <c r="A8" s="6" t="s">
        <v>98</v>
      </c>
      <c r="B8" s="6" t="s">
        <v>34</v>
      </c>
      <c r="C8" s="6" t="s">
        <v>40</v>
      </c>
      <c r="D8" s="6" t="s">
        <v>97</v>
      </c>
      <c r="E8" s="6"/>
      <c r="F8" s="6" t="s">
        <v>17</v>
      </c>
      <c r="G8" s="6" t="s">
        <v>11</v>
      </c>
      <c r="H8" s="8">
        <v>17974</v>
      </c>
      <c r="I8" s="6" t="s">
        <v>96</v>
      </c>
      <c r="J8" s="6"/>
      <c r="K8" s="6" t="s">
        <v>95</v>
      </c>
      <c r="L8" s="6"/>
      <c r="M8" s="6"/>
    </row>
    <row r="9" spans="1:13" ht="35.1" customHeight="1" x14ac:dyDescent="0.25">
      <c r="A9" s="6" t="s">
        <v>94</v>
      </c>
      <c r="B9" s="6" t="s">
        <v>41</v>
      </c>
      <c r="C9" s="6" t="s">
        <v>33</v>
      </c>
      <c r="D9" s="6" t="s">
        <v>93</v>
      </c>
      <c r="E9" s="6"/>
      <c r="F9" s="6" t="s">
        <v>19</v>
      </c>
      <c r="G9" s="6" t="s">
        <v>13</v>
      </c>
      <c r="H9" s="8">
        <v>26526.28</v>
      </c>
      <c r="I9" s="6" t="s">
        <v>92</v>
      </c>
      <c r="J9" s="6"/>
      <c r="K9" s="6" t="s">
        <v>91</v>
      </c>
      <c r="L9" s="6"/>
      <c r="M9" s="6"/>
    </row>
    <row r="10" spans="1:13" ht="35.1" customHeight="1" x14ac:dyDescent="0.25">
      <c r="A10" s="6" t="s">
        <v>90</v>
      </c>
      <c r="B10" s="6" t="s">
        <v>34</v>
      </c>
      <c r="C10" s="6" t="s">
        <v>40</v>
      </c>
      <c r="D10" s="6" t="s">
        <v>89</v>
      </c>
      <c r="E10" s="6"/>
      <c r="F10" s="6" t="s">
        <v>23</v>
      </c>
      <c r="G10" s="6" t="s">
        <v>11</v>
      </c>
      <c r="H10" s="8">
        <v>37165.120000000003</v>
      </c>
      <c r="I10" s="6" t="s">
        <v>88</v>
      </c>
      <c r="J10" s="6"/>
      <c r="K10" s="6" t="s">
        <v>87</v>
      </c>
      <c r="L10" s="6"/>
      <c r="M10" s="6"/>
    </row>
    <row r="11" spans="1:13" ht="35.1" customHeight="1" x14ac:dyDescent="0.25">
      <c r="A11" s="6" t="s">
        <v>86</v>
      </c>
      <c r="B11" s="6" t="s">
        <v>41</v>
      </c>
      <c r="C11" s="6" t="s">
        <v>40</v>
      </c>
      <c r="D11" s="6" t="s">
        <v>85</v>
      </c>
      <c r="E11" s="6"/>
      <c r="F11" s="6" t="s">
        <v>22</v>
      </c>
      <c r="G11" s="6" t="s">
        <v>11</v>
      </c>
      <c r="H11" s="8">
        <v>17254.93</v>
      </c>
      <c r="I11" s="6"/>
      <c r="J11" s="6"/>
      <c r="K11" s="6" t="s">
        <v>84</v>
      </c>
      <c r="L11" s="6"/>
      <c r="M11" s="6"/>
    </row>
    <row r="12" spans="1:13" ht="35.1" customHeight="1" x14ac:dyDescent="0.25">
      <c r="A12" s="6" t="s">
        <v>83</v>
      </c>
      <c r="B12" s="6" t="s">
        <v>41</v>
      </c>
      <c r="C12" s="6" t="s">
        <v>40</v>
      </c>
      <c r="D12" s="6" t="s">
        <v>82</v>
      </c>
      <c r="E12" s="6"/>
      <c r="F12" s="6" t="s">
        <v>20</v>
      </c>
      <c r="G12" s="6" t="s">
        <v>11</v>
      </c>
      <c r="H12" s="8">
        <v>15340.75</v>
      </c>
      <c r="I12" s="6" t="s">
        <v>81</v>
      </c>
      <c r="J12" s="6"/>
      <c r="K12" s="6" t="s">
        <v>80</v>
      </c>
      <c r="L12" s="6"/>
      <c r="M12" s="6"/>
    </row>
    <row r="13" spans="1:13" ht="35.1" customHeight="1" x14ac:dyDescent="0.25">
      <c r="A13" s="6" t="s">
        <v>79</v>
      </c>
      <c r="B13" s="6" t="s">
        <v>34</v>
      </c>
      <c r="C13" s="6" t="s">
        <v>40</v>
      </c>
      <c r="D13" s="6" t="s">
        <v>78</v>
      </c>
      <c r="E13" s="6"/>
      <c r="F13" s="6" t="s">
        <v>14</v>
      </c>
      <c r="G13" s="6" t="s">
        <v>11</v>
      </c>
      <c r="H13" s="8">
        <v>33595.449999999997</v>
      </c>
      <c r="I13" s="6" t="s">
        <v>77</v>
      </c>
      <c r="J13" s="6"/>
      <c r="K13" s="6" t="s">
        <v>76</v>
      </c>
      <c r="L13" s="6"/>
      <c r="M13" s="6"/>
    </row>
    <row r="14" spans="1:13" ht="35.1" customHeight="1" x14ac:dyDescent="0.25">
      <c r="A14" s="6" t="s">
        <v>75</v>
      </c>
      <c r="B14" s="6" t="s">
        <v>34</v>
      </c>
      <c r="C14" s="6" t="s">
        <v>40</v>
      </c>
      <c r="D14" s="6" t="s">
        <v>74</v>
      </c>
      <c r="E14" s="6"/>
      <c r="F14" s="6" t="s">
        <v>10</v>
      </c>
      <c r="G14" s="6" t="s">
        <v>11</v>
      </c>
      <c r="H14" s="8">
        <v>23860.06</v>
      </c>
      <c r="I14" s="6" t="s">
        <v>73</v>
      </c>
      <c r="J14" s="6"/>
      <c r="K14" s="6" t="s">
        <v>72</v>
      </c>
      <c r="L14" s="6"/>
      <c r="M14" s="6"/>
    </row>
    <row r="15" spans="1:13" ht="35.1" customHeight="1" x14ac:dyDescent="0.25">
      <c r="A15" s="6" t="s">
        <v>71</v>
      </c>
      <c r="B15" s="6" t="s">
        <v>41</v>
      </c>
      <c r="C15" s="6" t="s">
        <v>40</v>
      </c>
      <c r="D15" s="6" t="s">
        <v>70</v>
      </c>
      <c r="E15" s="6" t="s">
        <v>69</v>
      </c>
      <c r="F15" s="6" t="s">
        <v>26</v>
      </c>
      <c r="G15" s="6" t="s">
        <v>11</v>
      </c>
      <c r="H15" s="8">
        <v>87736.52</v>
      </c>
      <c r="I15" s="6" t="s">
        <v>68</v>
      </c>
      <c r="J15" s="6" t="s">
        <v>68</v>
      </c>
      <c r="K15" s="6" t="s">
        <v>67</v>
      </c>
      <c r="L15" s="6" t="s">
        <v>66</v>
      </c>
      <c r="M15" s="6"/>
    </row>
    <row r="16" spans="1:13" ht="35.1" customHeight="1" x14ac:dyDescent="0.25">
      <c r="A16" s="6" t="s">
        <v>65</v>
      </c>
      <c r="B16" s="6" t="s">
        <v>41</v>
      </c>
      <c r="C16" s="6" t="s">
        <v>40</v>
      </c>
      <c r="D16" s="6" t="s">
        <v>64</v>
      </c>
      <c r="E16" s="6"/>
      <c r="F16" s="6" t="s">
        <v>15</v>
      </c>
      <c r="G16" s="6" t="s">
        <v>11</v>
      </c>
      <c r="H16" s="8">
        <v>23847.88</v>
      </c>
      <c r="I16" s="6" t="s">
        <v>63</v>
      </c>
      <c r="J16" s="6"/>
      <c r="K16" s="6" t="s">
        <v>62</v>
      </c>
      <c r="L16" s="6"/>
      <c r="M16" s="6"/>
    </row>
    <row r="17" spans="1:13" ht="35.1" customHeight="1" x14ac:dyDescent="0.25">
      <c r="A17" s="6" t="s">
        <v>61</v>
      </c>
      <c r="B17" s="6" t="s">
        <v>41</v>
      </c>
      <c r="C17" s="6" t="s">
        <v>40</v>
      </c>
      <c r="D17" s="6" t="s">
        <v>60</v>
      </c>
      <c r="E17" s="6" t="s">
        <v>59</v>
      </c>
      <c r="F17" s="6" t="s">
        <v>12</v>
      </c>
      <c r="G17" s="6" t="s">
        <v>13</v>
      </c>
      <c r="H17" s="8">
        <v>15263.4</v>
      </c>
      <c r="I17" s="6" t="s">
        <v>58</v>
      </c>
      <c r="J17" s="6" t="s">
        <v>57</v>
      </c>
      <c r="K17" s="6" t="s">
        <v>56</v>
      </c>
      <c r="L17" s="6" t="s">
        <v>55</v>
      </c>
      <c r="M17" s="6"/>
    </row>
    <row r="18" spans="1:13" ht="35.1" customHeight="1" x14ac:dyDescent="0.25">
      <c r="A18" s="6" t="s">
        <v>54</v>
      </c>
      <c r="B18" s="6" t="s">
        <v>41</v>
      </c>
      <c r="C18" s="6" t="s">
        <v>40</v>
      </c>
      <c r="D18" s="6" t="s">
        <v>53</v>
      </c>
      <c r="E18" s="6"/>
      <c r="F18" s="6" t="s">
        <v>26</v>
      </c>
      <c r="G18" s="6" t="s">
        <v>11</v>
      </c>
      <c r="H18" s="8">
        <v>34398.800000000003</v>
      </c>
      <c r="I18" s="6" t="s">
        <v>52</v>
      </c>
      <c r="J18" s="6"/>
      <c r="K18" s="6" t="s">
        <v>51</v>
      </c>
      <c r="L18" s="6"/>
      <c r="M18" s="6"/>
    </row>
    <row r="19" spans="1:13" ht="35.1" customHeight="1" x14ac:dyDescent="0.25">
      <c r="A19" s="6" t="s">
        <v>50</v>
      </c>
      <c r="B19" s="6" t="s">
        <v>41</v>
      </c>
      <c r="C19" s="6" t="s">
        <v>40</v>
      </c>
      <c r="D19" s="6" t="s">
        <v>49</v>
      </c>
      <c r="E19" s="6"/>
      <c r="F19" s="6" t="s">
        <v>15</v>
      </c>
      <c r="G19" s="6" t="s">
        <v>11</v>
      </c>
      <c r="H19" s="8">
        <v>20705.38</v>
      </c>
      <c r="I19" s="6" t="s">
        <v>48</v>
      </c>
      <c r="J19" s="6"/>
      <c r="K19" s="6" t="s">
        <v>47</v>
      </c>
      <c r="L19" s="6"/>
      <c r="M19" s="6"/>
    </row>
    <row r="20" spans="1:13" ht="35.1" customHeight="1" x14ac:dyDescent="0.25">
      <c r="A20" s="6" t="s">
        <v>46</v>
      </c>
      <c r="B20" s="6" t="s">
        <v>41</v>
      </c>
      <c r="C20" s="6" t="s">
        <v>40</v>
      </c>
      <c r="D20" s="6" t="s">
        <v>45</v>
      </c>
      <c r="E20" s="6"/>
      <c r="F20" s="6" t="s">
        <v>15</v>
      </c>
      <c r="G20" s="6" t="s">
        <v>11</v>
      </c>
      <c r="H20" s="8">
        <v>26952</v>
      </c>
      <c r="I20" s="6" t="s">
        <v>44</v>
      </c>
      <c r="J20" s="6"/>
      <c r="K20" s="6" t="s">
        <v>43</v>
      </c>
      <c r="L20" s="6"/>
      <c r="M20" s="6"/>
    </row>
    <row r="21" spans="1:13" ht="35.1" customHeight="1" x14ac:dyDescent="0.25">
      <c r="A21" s="6" t="s">
        <v>42</v>
      </c>
      <c r="B21" s="6" t="s">
        <v>41</v>
      </c>
      <c r="C21" s="6" t="s">
        <v>40</v>
      </c>
      <c r="D21" s="6" t="s">
        <v>39</v>
      </c>
      <c r="E21" s="6" t="s">
        <v>38</v>
      </c>
      <c r="F21" s="6" t="s">
        <v>21</v>
      </c>
      <c r="G21" s="6" t="s">
        <v>13</v>
      </c>
      <c r="H21" s="8">
        <v>16868.93</v>
      </c>
      <c r="I21" s="6" t="s">
        <v>37</v>
      </c>
      <c r="J21" s="6"/>
      <c r="K21" s="6" t="s">
        <v>36</v>
      </c>
      <c r="L21" s="6"/>
      <c r="M21" s="6"/>
    </row>
    <row r="22" spans="1:13" ht="35.1" customHeight="1" x14ac:dyDescent="0.25">
      <c r="A22" s="6" t="s">
        <v>35</v>
      </c>
      <c r="B22" s="6" t="s">
        <v>34</v>
      </c>
      <c r="C22" s="6" t="s">
        <v>33</v>
      </c>
      <c r="D22" s="6" t="s">
        <v>32</v>
      </c>
      <c r="E22" s="6"/>
      <c r="F22" s="6" t="s">
        <v>24</v>
      </c>
      <c r="G22" s="6" t="s">
        <v>25</v>
      </c>
      <c r="H22" s="8">
        <v>52246.52</v>
      </c>
      <c r="I22" s="6" t="s">
        <v>31</v>
      </c>
      <c r="J22" s="6"/>
      <c r="K22" s="6" t="s">
        <v>30</v>
      </c>
      <c r="L22" s="6"/>
      <c r="M22" s="6"/>
    </row>
    <row r="23" spans="1:13" ht="35.1" customHeight="1" x14ac:dyDescent="0.25">
      <c r="A23" s="9"/>
      <c r="B23" s="9"/>
      <c r="C23" s="9"/>
      <c r="D23" s="9" t="s">
        <v>29</v>
      </c>
      <c r="E23" s="9"/>
      <c r="F23" s="9"/>
      <c r="G23" s="9"/>
      <c r="H23" s="10">
        <f>SUM(H4:H22)</f>
        <v>534571.77</v>
      </c>
      <c r="I23" s="9"/>
      <c r="J23" s="9"/>
      <c r="K23" s="9"/>
      <c r="L23" s="9"/>
      <c r="M23" s="6"/>
    </row>
    <row r="24" spans="1:13" ht="35.1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35.1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35.1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35.1" customHeight="1" x14ac:dyDescent="0.25"/>
    <row r="28" spans="1:13" ht="35.1" customHeight="1" x14ac:dyDescent="0.25"/>
    <row r="29" spans="1:13" ht="35.1" customHeight="1" x14ac:dyDescent="0.25"/>
    <row r="30" spans="1:13" ht="35.1" customHeight="1" x14ac:dyDescent="0.25"/>
    <row r="31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B377-DB55-4BD9-8704-11860BFEF467}">
  <sheetPr>
    <pageSetUpPr fitToPage="1"/>
  </sheetPr>
  <dimension ref="A1:G29"/>
  <sheetViews>
    <sheetView workbookViewId="0">
      <pane ySplit="3" topLeftCell="A4" activePane="bottomLeft" state="frozen"/>
      <selection pane="bottomLeft" activeCell="C21" sqref="C21"/>
    </sheetView>
  </sheetViews>
  <sheetFormatPr defaultRowHeight="15" x14ac:dyDescent="0.25"/>
  <cols>
    <col min="1" max="1" width="16.42578125" style="11" bestFit="1" customWidth="1"/>
    <col min="2" max="2" width="14" style="11" bestFit="1" customWidth="1"/>
    <col min="3" max="3" width="26" style="11" bestFit="1" customWidth="1"/>
    <col min="4" max="4" width="18.7109375" style="11" bestFit="1" customWidth="1"/>
    <col min="5" max="5" width="27.28515625" style="11" bestFit="1" customWidth="1"/>
    <col min="6" max="16384" width="9.140625" style="11"/>
  </cols>
  <sheetData>
    <row r="1" spans="1:7" x14ac:dyDescent="0.25">
      <c r="A1" s="12"/>
      <c r="B1" s="12"/>
      <c r="C1" s="12" t="s">
        <v>3</v>
      </c>
      <c r="D1" s="13">
        <v>45964</v>
      </c>
      <c r="E1" s="12" t="s">
        <v>2</v>
      </c>
      <c r="F1" s="12"/>
      <c r="G1" s="12"/>
    </row>
    <row r="2" spans="1:7" x14ac:dyDescent="0.25">
      <c r="A2" s="21" t="s">
        <v>0</v>
      </c>
      <c r="B2" s="22"/>
      <c r="C2" s="22"/>
      <c r="D2" s="23" t="s">
        <v>131</v>
      </c>
      <c r="E2" s="22"/>
      <c r="F2" s="12"/>
      <c r="G2" s="12"/>
    </row>
    <row r="3" spans="1:7" x14ac:dyDescent="0.25">
      <c r="A3" s="12" t="s">
        <v>125</v>
      </c>
      <c r="B3" s="12" t="s">
        <v>123</v>
      </c>
      <c r="C3" s="12" t="s">
        <v>122</v>
      </c>
      <c r="D3" s="12" t="s">
        <v>121</v>
      </c>
      <c r="E3" s="12" t="s">
        <v>4</v>
      </c>
      <c r="F3" s="12"/>
      <c r="G3" s="12"/>
    </row>
    <row r="4" spans="1:7" x14ac:dyDescent="0.25">
      <c r="A4" s="12" t="s">
        <v>102</v>
      </c>
      <c r="B4" s="12" t="s">
        <v>33</v>
      </c>
      <c r="C4" s="12" t="s">
        <v>101</v>
      </c>
      <c r="D4" s="12"/>
      <c r="E4" s="12" t="s">
        <v>16</v>
      </c>
      <c r="F4" s="12"/>
      <c r="G4" s="12"/>
    </row>
    <row r="5" spans="1:7" x14ac:dyDescent="0.25">
      <c r="A5" s="12" t="s">
        <v>94</v>
      </c>
      <c r="B5" s="12" t="s">
        <v>33</v>
      </c>
      <c r="C5" s="12" t="s">
        <v>93</v>
      </c>
      <c r="D5" s="12"/>
      <c r="E5" s="12" t="s">
        <v>19</v>
      </c>
      <c r="F5" s="12"/>
      <c r="G5" s="12"/>
    </row>
    <row r="6" spans="1:7" x14ac:dyDescent="0.25">
      <c r="A6" s="12" t="s">
        <v>35</v>
      </c>
      <c r="B6" s="12" t="s">
        <v>33</v>
      </c>
      <c r="C6" s="12" t="s">
        <v>32</v>
      </c>
      <c r="D6" s="12"/>
      <c r="E6" s="12" t="s">
        <v>24</v>
      </c>
      <c r="F6" s="12"/>
      <c r="G6" s="12"/>
    </row>
    <row r="7" spans="1:7" x14ac:dyDescent="0.25">
      <c r="A7" s="14"/>
      <c r="B7" s="14"/>
      <c r="C7" s="14" t="s">
        <v>130</v>
      </c>
      <c r="D7" s="14"/>
      <c r="E7" s="14"/>
      <c r="F7" s="12"/>
      <c r="G7" s="12"/>
    </row>
    <row r="8" spans="1:7" x14ac:dyDescent="0.25">
      <c r="A8" s="12"/>
      <c r="B8" s="12"/>
      <c r="C8" s="12"/>
      <c r="D8" s="12"/>
      <c r="E8" s="12"/>
      <c r="F8" s="12"/>
      <c r="G8" s="12"/>
    </row>
    <row r="9" spans="1:7" x14ac:dyDescent="0.25">
      <c r="A9" s="12"/>
      <c r="B9" s="12"/>
      <c r="C9" s="12"/>
      <c r="D9" s="12"/>
      <c r="E9" s="12"/>
      <c r="F9" s="12"/>
      <c r="G9" s="12"/>
    </row>
    <row r="10" spans="1:7" x14ac:dyDescent="0.25">
      <c r="A10" s="12" t="s">
        <v>129</v>
      </c>
      <c r="B10" s="12"/>
      <c r="C10" s="12"/>
      <c r="D10" s="12"/>
      <c r="E10" s="12"/>
      <c r="F10" s="12"/>
      <c r="G10" s="12"/>
    </row>
    <row r="11" spans="1:7" x14ac:dyDescent="0.25">
      <c r="A11" s="12"/>
      <c r="B11" s="12"/>
      <c r="C11" s="12"/>
      <c r="D11" s="12"/>
      <c r="E11" s="12"/>
      <c r="F11" s="12"/>
      <c r="G11" s="12"/>
    </row>
    <row r="12" spans="1:7" x14ac:dyDescent="0.25">
      <c r="A12" s="12"/>
      <c r="B12" s="12"/>
      <c r="C12" s="12"/>
      <c r="D12" s="12"/>
      <c r="E12" s="12"/>
      <c r="F12" s="12"/>
      <c r="G12" s="12"/>
    </row>
    <row r="13" spans="1:7" x14ac:dyDescent="0.25">
      <c r="A13" s="12" t="s">
        <v>128</v>
      </c>
      <c r="B13" s="12"/>
      <c r="C13" s="12"/>
      <c r="D13" s="12"/>
      <c r="E13" s="12"/>
      <c r="F13" s="12"/>
      <c r="G13" s="12"/>
    </row>
    <row r="14" spans="1:7" x14ac:dyDescent="0.25">
      <c r="A14" s="12"/>
      <c r="B14" s="12"/>
      <c r="C14" s="12"/>
      <c r="D14" s="12"/>
      <c r="E14" s="12"/>
      <c r="F14" s="12"/>
      <c r="G14" s="12"/>
    </row>
    <row r="15" spans="1:7" x14ac:dyDescent="0.25">
      <c r="A15" s="12"/>
      <c r="B15" s="12"/>
      <c r="C15" s="12"/>
      <c r="D15" s="12"/>
      <c r="E15" s="12"/>
      <c r="F15" s="12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 t="s">
        <v>127</v>
      </c>
      <c r="B17" s="12"/>
      <c r="C17" s="12"/>
      <c r="D17" s="12"/>
      <c r="E17" s="12"/>
      <c r="F17" s="12"/>
      <c r="G17" s="12"/>
    </row>
    <row r="18" spans="1:7" x14ac:dyDescent="0.25">
      <c r="A18" s="12"/>
      <c r="B18" s="12"/>
      <c r="C18" s="12"/>
      <c r="D18" s="12"/>
      <c r="E18" s="12"/>
      <c r="F18" s="12"/>
      <c r="G18" s="12"/>
    </row>
    <row r="19" spans="1:7" x14ac:dyDescent="0.25">
      <c r="A19" s="12"/>
      <c r="B19" s="12"/>
      <c r="C19" s="12"/>
      <c r="D19" s="12"/>
      <c r="E19" s="12"/>
      <c r="F19" s="12"/>
      <c r="G19" s="12"/>
    </row>
    <row r="20" spans="1:7" x14ac:dyDescent="0.25">
      <c r="A20" s="12"/>
      <c r="B20" s="12"/>
      <c r="C20" s="12"/>
      <c r="D20" s="12"/>
      <c r="E20" s="12"/>
      <c r="F20" s="12"/>
      <c r="G20" s="12"/>
    </row>
    <row r="21" spans="1:7" x14ac:dyDescent="0.25">
      <c r="A21" s="12"/>
      <c r="B21" s="12"/>
      <c r="C21" s="12"/>
      <c r="D21" s="12"/>
      <c r="E21" s="12"/>
      <c r="F21" s="12"/>
      <c r="G21" s="12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2"/>
      <c r="C24" s="12"/>
      <c r="D24" s="12"/>
      <c r="E24" s="12"/>
      <c r="F24" s="12"/>
      <c r="G24" s="12"/>
    </row>
    <row r="25" spans="1:7" x14ac:dyDescent="0.25">
      <c r="A25" s="12"/>
      <c r="B25" s="12"/>
      <c r="C25" s="12"/>
      <c r="D25" s="12"/>
      <c r="E25" s="12"/>
      <c r="F25" s="12"/>
      <c r="G25" s="12"/>
    </row>
    <row r="26" spans="1:7" x14ac:dyDescent="0.25">
      <c r="A26" s="12"/>
      <c r="B26" s="12"/>
      <c r="C26" s="12"/>
      <c r="D26" s="12"/>
      <c r="E26" s="12"/>
      <c r="F26" s="12"/>
      <c r="G26" s="12"/>
    </row>
    <row r="27" spans="1:7" x14ac:dyDescent="0.25">
      <c r="A27" s="12"/>
      <c r="B27" s="12"/>
      <c r="C27" s="12"/>
      <c r="D27" s="12"/>
      <c r="E27" s="12"/>
      <c r="F27" s="12"/>
      <c r="G27" s="12"/>
    </row>
    <row r="28" spans="1:7" x14ac:dyDescent="0.25">
      <c r="A28" s="12"/>
      <c r="B28" s="12"/>
      <c r="C28" s="12"/>
      <c r="D28" s="12"/>
      <c r="E28" s="12"/>
      <c r="F28" s="12"/>
      <c r="G28" s="12"/>
    </row>
    <row r="29" spans="1:7" x14ac:dyDescent="0.25">
      <c r="A29" s="12"/>
      <c r="B29" s="12"/>
      <c r="C29" s="12"/>
      <c r="D29" s="12"/>
      <c r="E29" s="12"/>
      <c r="F29" s="12"/>
      <c r="G29" s="12"/>
    </row>
  </sheetData>
  <mergeCells count="2">
    <mergeCell ref="A2:C2"/>
    <mergeCell ref="D2:E2"/>
  </mergeCells>
  <pageMargins left="0.7" right="0.7" top="0.75" bottom="0.75" header="0.3" footer="0.3"/>
  <pageSetup scale="8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2025-11-03T19:29:45Z</cp:lastPrinted>
  <dcterms:created xsi:type="dcterms:W3CDTF">2025-11-03T19:20:23Z</dcterms:created>
  <dcterms:modified xsi:type="dcterms:W3CDTF">2025-11-03T19:57:21Z</dcterms:modified>
</cp:coreProperties>
</file>