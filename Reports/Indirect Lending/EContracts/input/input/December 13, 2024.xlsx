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714889BD-D2AE-4419-BF84-DC38453DB1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2" l="1"/>
  <c r="F9" i="1"/>
  <c r="H16" i="1" l="1"/>
  <c r="E16" i="1"/>
  <c r="D16" i="1"/>
  <c r="C16" i="1"/>
</calcChain>
</file>

<file path=xl/sharedStrings.xml><?xml version="1.0" encoding="utf-8"?>
<sst xmlns="http://schemas.openxmlformats.org/spreadsheetml/2006/main" count="124" uniqueCount="70">
  <si>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</si>
  <si>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</si>
  <si>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</si>
  <si>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</si>
  <si>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</si>
  <si>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</si>
  <si>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</si>
  <si>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</si>
  <si>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</si>
  <si>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</si>
  <si>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Battles Nissan, LLC</t>
  </si>
  <si>
    <t>Neli Oliveira</t>
  </si>
  <si>
    <t>Gesner Auto Inc</t>
  </si>
  <si>
    <t>Rachel Gorham</t>
  </si>
  <si>
    <t>Grieco Toyota</t>
  </si>
  <si>
    <t>Marlene Braganca</t>
  </si>
  <si>
    <t>Herb Chambers Lincoln</t>
  </si>
  <si>
    <t>Planet Automotive Sales LLC</t>
  </si>
  <si>
    <t>Planet Subaru</t>
  </si>
  <si>
    <t>Column1</t>
  </si>
  <si>
    <t>Column2</t>
  </si>
  <si>
    <t># 7</t>
  </si>
  <si>
    <t>BERUBE</t>
  </si>
  <si>
    <t>susan.maguire9@gmail.com</t>
  </si>
  <si>
    <t>MAGUIRE, SUSAN</t>
  </si>
  <si>
    <t>E Contract</t>
  </si>
  <si>
    <t>Route One</t>
  </si>
  <si>
    <t>151127977e</t>
  </si>
  <si>
    <t>BENSON</t>
  </si>
  <si>
    <t>MJGSW@VERIZON.NET</t>
  </si>
  <si>
    <t>GANDLER, MARK</t>
  </si>
  <si>
    <t>Paper</t>
  </si>
  <si>
    <t>DealerTrack</t>
  </si>
  <si>
    <t>151127852</t>
  </si>
  <si>
    <t>Tia</t>
  </si>
  <si>
    <t>FURTADO, HIDIAMINE</t>
  </si>
  <si>
    <t>151127836e</t>
  </si>
  <si>
    <t>FARRELL</t>
  </si>
  <si>
    <t>BPAULO1@MSN.COM</t>
  </si>
  <si>
    <t>PAULO, WILLIAM</t>
  </si>
  <si>
    <t>151127787</t>
  </si>
  <si>
    <t>Kane</t>
  </si>
  <si>
    <t>KVIAU@YAHOO.COM</t>
  </si>
  <si>
    <t>VIAU, KEVIN</t>
  </si>
  <si>
    <t>151127761e</t>
  </si>
  <si>
    <t>BONNETTE</t>
  </si>
  <si>
    <t>MEVERTUCCI@GMAIL.COM</t>
  </si>
  <si>
    <t>VERTUCCI, MATTHEW</t>
  </si>
  <si>
    <t>151127737</t>
  </si>
  <si>
    <t>COHEN</t>
  </si>
  <si>
    <t>RONALDBRATT@CAPITOLDEBATE.COM</t>
  </si>
  <si>
    <t>BRATT, RONALD</t>
  </si>
  <si>
    <t>151127703e</t>
  </si>
  <si>
    <t>Business Name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</si>
  <si>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</si>
  <si>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</si>
  <si>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</si>
  <si>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</si>
  <si>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</si>
  <si>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</si>
  <si>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</si>
  <si>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</si>
  <si>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</si>
  <si>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</si>
  <si>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</si>
  <si>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Date Signed______________________________________________</t>
  </si>
  <si>
    <t>Received By_____________________________________________________</t>
  </si>
  <si>
    <t>Delivered By______________________________________________________</t>
  </si>
  <si>
    <t># 3</t>
  </si>
  <si>
    <t>Funding Worksheet - Signoff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</si>
</sst>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7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</cellXfs>
  <cellStyles count="2">
    <cellStyle name="Normal" xfId="0" builtinId="0"/>
    <cellStyle name="Normal 2" xfId="1" xr:uid="{B8871D23-FF1D-488A-AF85-EC4BF72D8C58}"/>
  </cellStyles>
  <dxfs count="26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16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EFF012F6-45C2-43B7-A58C-D18CDD7068C1}" name="Column1" dataDxfId="24"/>
    <tableColumn id="8" xr3:uid="{98CDCC0F-43AE-476F-89FB-0AD9847AB812}" name="Column2" dataDxfId="25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EEEE26-7E94-4A50-A913-8DE58A90F947}" name="Table_13" displayName="Table_13" ref="A3:M11" headerRowDxfId="10" dataDxfId="8" totalsRowDxfId="9">
  <tableColumns count="13">
    <tableColumn id="1" xr3:uid="{00000000-0010-0000-0000-000001000000}" name="Account Number" dataDxfId="23"/>
    <tableColumn id="2" xr3:uid="{00000000-0010-0000-0000-000002000000}" name="Portal" dataDxfId="22"/>
    <tableColumn id="3" xr3:uid="{00000000-0010-0000-0000-000003000000}" name="Contract Type" dataDxfId="21"/>
    <tableColumn id="4" xr3:uid="{00000000-0010-0000-0000-000004000000}" name="Applicant Name" dataDxfId="20"/>
    <tableColumn id="5" xr3:uid="{00000000-0010-0000-0000-000005000000}" name="Co-Applicant Name" dataDxfId="19"/>
    <tableColumn id="6" xr3:uid="{00000000-0010-0000-0000-000006000000}" name="Dealer Name" dataDxfId="18"/>
    <tableColumn id="7" xr3:uid="{00000000-0010-0000-0000-000007000000}" name="Funded by" dataDxfId="17"/>
    <tableColumn id="8" xr3:uid="{00000000-0010-0000-0000-000008000000}" name="Amount Financed" dataDxfId="16"/>
    <tableColumn id="9" xr3:uid="{00000000-0010-0000-0000-000009000000}" name="Applicant Email" dataDxfId="15"/>
    <tableColumn id="10" xr3:uid="{00000000-0010-0000-0000-00000A000000}" name="Co-Applicant Email" dataDxfId="14"/>
    <tableColumn id="11" xr3:uid="{00000000-0010-0000-0000-00000B000000}" name="App MMN" dataDxfId="13"/>
    <tableColumn id="12" xr3:uid="{00000000-0010-0000-0000-00000C000000}" name="Co-App MMN" dataDxfId="12"/>
    <tableColumn id="13" xr3:uid="{00000000-0010-0000-0000-00000D000000}" name="Business Name" dataDxfId="1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14C770-FEFD-474D-80DA-B40ABD5B9274}" name="Table_14" displayName="Table_14" ref="A3:E7" headerRowDxfId="2" dataDxfId="0" totalsRowDxfId="1">
  <tableColumns count="5">
    <tableColumn id="1" xr3:uid="{00000000-0010-0000-0000-000001000000}" name="Account Number" dataDxfId="7"/>
    <tableColumn id="2" xr3:uid="{00000000-0010-0000-0000-000002000000}" name="Contract Type" dataDxfId="6"/>
    <tableColumn id="3" xr3:uid="{00000000-0010-0000-0000-000003000000}" name="Applicant Name" dataDxfId="5"/>
    <tableColumn id="4" xr3:uid="{00000000-0010-0000-0000-000004000000}" name="Co-Applicant Name" dataDxfId="4"/>
    <tableColumn id="5" xr3:uid="{00000000-0010-0000-0000-000005000000}" name="Dealer Nam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6"/>
  <sheetViews>
    <sheetView tabSelected="1" workbookViewId="0">
      <pane ySplit="3" topLeftCell="A4" activePane="bottomLeft" state="frozen"/>
      <selection pane="bottomLeft" activeCell="C24" sqref="C24"/>
    </sheetView>
  </sheetViews>
  <sheetFormatPr defaultRowHeight="15" x14ac:dyDescent="0.25"/>
  <cols>
    <col min="1" max="1" width="27.28515625" bestFit="1" customWidth="1"/>
    <col min="2" max="2" width="17.7109375" bestFit="1" customWidth="1"/>
    <col min="3" max="3" width="11.140625" bestFit="1" customWidth="1"/>
    <col min="4" max="4" width="19.2851562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45639</v>
      </c>
      <c r="E1" t="s">
        <v>2</v>
      </c>
      <c r="H1" s="4">
        <v>45639.999988425923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19</v>
      </c>
      <c r="G3" t="s">
        <v>20</v>
      </c>
      <c r="H3" t="s">
        <v>9</v>
      </c>
    </row>
    <row r="4" spans="1:8" x14ac:dyDescent="0.25">
      <c r="A4" t="s">
        <v>10</v>
      </c>
      <c r="B4" t="s">
        <v>11</v>
      </c>
      <c r="C4" s="2">
        <v>450</v>
      </c>
      <c r="D4" s="2">
        <v>0</v>
      </c>
      <c r="E4" s="2">
        <v>21464.81</v>
      </c>
      <c r="F4" s="2"/>
      <c r="G4" s="2"/>
      <c r="H4" s="2">
        <v>21539.81</v>
      </c>
    </row>
    <row r="5" spans="1:8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13</v>
      </c>
      <c r="C6" s="2">
        <v>350</v>
      </c>
      <c r="D6" s="2">
        <v>0</v>
      </c>
      <c r="E6" s="2">
        <v>17430</v>
      </c>
      <c r="F6" s="2"/>
      <c r="G6" s="2"/>
      <c r="H6" s="2">
        <v>17505</v>
      </c>
    </row>
    <row r="7" spans="1:8" x14ac:dyDescent="0.25">
      <c r="C7" s="2"/>
      <c r="D7" s="2"/>
      <c r="E7" s="2"/>
      <c r="F7" s="2"/>
      <c r="G7" s="2"/>
      <c r="H7" s="2"/>
    </row>
    <row r="8" spans="1:8" x14ac:dyDescent="0.25">
      <c r="A8" t="s">
        <v>14</v>
      </c>
      <c r="B8" t="s">
        <v>15</v>
      </c>
      <c r="C8" s="2">
        <v>650</v>
      </c>
      <c r="D8" s="2">
        <v>0</v>
      </c>
      <c r="E8" s="2">
        <v>38274.9</v>
      </c>
      <c r="F8" s="2"/>
      <c r="G8" s="2"/>
      <c r="H8" s="2">
        <v>38349.9</v>
      </c>
    </row>
    <row r="9" spans="1:8" x14ac:dyDescent="0.25">
      <c r="A9" t="s">
        <v>14</v>
      </c>
      <c r="B9" t="s">
        <v>15</v>
      </c>
      <c r="C9" s="2">
        <v>650</v>
      </c>
      <c r="D9" s="2">
        <v>0</v>
      </c>
      <c r="E9" s="2">
        <v>35944.129999999997</v>
      </c>
      <c r="F9" s="2">
        <f>SUM(E8:E9)</f>
        <v>74219.03</v>
      </c>
      <c r="G9" s="2"/>
      <c r="H9" s="2">
        <v>36019.129999999997</v>
      </c>
    </row>
    <row r="10" spans="1:8" x14ac:dyDescent="0.25">
      <c r="C10" s="2"/>
      <c r="D10" s="2"/>
      <c r="E10" s="2"/>
      <c r="F10" s="2"/>
      <c r="G10" s="2"/>
      <c r="H10" s="2"/>
    </row>
    <row r="11" spans="1:8" x14ac:dyDescent="0.25">
      <c r="A11" t="s">
        <v>16</v>
      </c>
      <c r="B11" t="s">
        <v>13</v>
      </c>
      <c r="C11" s="2">
        <v>1200</v>
      </c>
      <c r="D11" s="2">
        <v>0</v>
      </c>
      <c r="E11" s="2">
        <v>77404.740000000005</v>
      </c>
      <c r="F11" s="2"/>
      <c r="G11" s="2"/>
      <c r="H11" s="2">
        <v>77479.740000000005</v>
      </c>
    </row>
    <row r="12" spans="1:8" x14ac:dyDescent="0.25">
      <c r="C12" s="2"/>
      <c r="D12" s="2"/>
      <c r="E12" s="2"/>
      <c r="F12" s="2"/>
      <c r="G12" s="2"/>
      <c r="H12" s="2"/>
    </row>
    <row r="13" spans="1:8" x14ac:dyDescent="0.25">
      <c r="A13" t="s">
        <v>17</v>
      </c>
      <c r="B13" t="s">
        <v>13</v>
      </c>
      <c r="C13" s="2">
        <v>500</v>
      </c>
      <c r="D13" s="2">
        <v>0</v>
      </c>
      <c r="E13" s="2">
        <v>28264.84</v>
      </c>
      <c r="F13" s="2"/>
      <c r="G13" s="2"/>
      <c r="H13" s="2">
        <v>28339.84</v>
      </c>
    </row>
    <row r="14" spans="1:8" x14ac:dyDescent="0.25">
      <c r="C14" s="2"/>
      <c r="D14" s="2"/>
      <c r="E14" s="2"/>
      <c r="F14" s="2"/>
      <c r="G14" s="2"/>
      <c r="H14" s="2"/>
    </row>
    <row r="15" spans="1:8" x14ac:dyDescent="0.25">
      <c r="A15" t="s">
        <v>18</v>
      </c>
      <c r="B15" t="s">
        <v>15</v>
      </c>
      <c r="C15" s="2">
        <v>350</v>
      </c>
      <c r="D15" s="2">
        <v>0</v>
      </c>
      <c r="E15" s="2">
        <v>17639.12</v>
      </c>
      <c r="F15" s="2"/>
      <c r="G15" s="2"/>
      <c r="H15" s="2">
        <v>17714.12</v>
      </c>
    </row>
    <row r="16" spans="1:8" x14ac:dyDescent="0.25">
      <c r="A16" s="1"/>
      <c r="B16" s="1"/>
      <c r="C16" s="3">
        <f>SUM(C4:C15)</f>
        <v>4150</v>
      </c>
      <c r="D16" s="3">
        <f>SUM(D4:D15)</f>
        <v>0</v>
      </c>
      <c r="E16" s="3">
        <f>SUM(E4:E15)</f>
        <v>236422.54</v>
      </c>
      <c r="F16" s="3"/>
      <c r="G16" s="3"/>
      <c r="H16" s="3">
        <f>SUM(H4:H15)</f>
        <v>236947.54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E5F7B-36B6-46A7-BBE0-180615F650B7}">
  <sheetPr>
    <pageSetUpPr fitToPage="1"/>
  </sheetPr>
  <dimension ref="A1:N15"/>
  <sheetViews>
    <sheetView workbookViewId="0">
      <pane ySplit="3" topLeftCell="A4" activePane="bottomLeft" state="frozen"/>
      <selection pane="bottomLeft" activeCell="A4" sqref="A4:A10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20.85546875" style="8" bestFit="1" customWidth="1"/>
    <col min="5" max="5" width="18.7109375" style="8" bestFit="1" customWidth="1"/>
    <col min="6" max="6" width="27.28515625" style="8" bestFit="1" customWidth="1"/>
    <col min="7" max="7" width="17.7109375" style="8" bestFit="1" customWidth="1"/>
    <col min="8" max="8" width="17.140625" style="8" bestFit="1" customWidth="1"/>
    <col min="9" max="9" width="36.7109375" style="8" bestFit="1" customWidth="1"/>
    <col min="10" max="10" width="18.42578125" style="8" bestFit="1" customWidth="1"/>
    <col min="11" max="11" width="19.28515625" style="8" bestFit="1" customWidth="1"/>
    <col min="12" max="12" width="12.85546875" style="8" bestFit="1" customWidth="1"/>
    <col min="13" max="13" width="19.28515625" style="8" bestFit="1" customWidth="1"/>
    <col min="14" max="16384" width="9.140625" style="8"/>
  </cols>
  <sheetData>
    <row r="1" spans="1:14" ht="30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45639</v>
      </c>
      <c r="L1" s="9" t="s">
        <v>2</v>
      </c>
      <c r="M1" s="10">
        <v>45639.999988425923</v>
      </c>
      <c r="N1" s="9"/>
    </row>
    <row r="2" spans="1:14" ht="30" customHeight="1" x14ac:dyDescent="0.25">
      <c r="A2" s="11" t="s">
        <v>0</v>
      </c>
      <c r="B2" s="12"/>
      <c r="C2" s="12"/>
      <c r="D2" s="12"/>
      <c r="E2" s="12"/>
      <c r="F2" s="12"/>
      <c r="G2" s="13" t="s">
        <v>64</v>
      </c>
      <c r="H2" s="12"/>
      <c r="I2" s="12"/>
      <c r="J2" s="12"/>
      <c r="K2" s="12"/>
      <c r="L2" s="12"/>
      <c r="M2" s="12"/>
      <c r="N2" s="9"/>
    </row>
    <row r="3" spans="1:14" ht="30" customHeight="1" x14ac:dyDescent="0.25">
      <c r="A3" s="9" t="s">
        <v>63</v>
      </c>
      <c r="B3" s="9" t="s">
        <v>62</v>
      </c>
      <c r="C3" s="9" t="s">
        <v>61</v>
      </c>
      <c r="D3" s="9" t="s">
        <v>60</v>
      </c>
      <c r="E3" s="9" t="s">
        <v>59</v>
      </c>
      <c r="F3" s="9" t="s">
        <v>4</v>
      </c>
      <c r="G3" s="9" t="s">
        <v>5</v>
      </c>
      <c r="H3" s="9" t="s">
        <v>58</v>
      </c>
      <c r="I3" s="9" t="s">
        <v>57</v>
      </c>
      <c r="J3" s="9" t="s">
        <v>56</v>
      </c>
      <c r="K3" s="9" t="s">
        <v>55</v>
      </c>
      <c r="L3" s="9" t="s">
        <v>54</v>
      </c>
      <c r="M3" s="9" t="s">
        <v>53</v>
      </c>
      <c r="N3" s="9"/>
    </row>
    <row r="4" spans="1:14" ht="30" customHeight="1" x14ac:dyDescent="0.25">
      <c r="A4" s="9" t="s">
        <v>52</v>
      </c>
      <c r="B4" s="9" t="s">
        <v>32</v>
      </c>
      <c r="C4" s="9" t="s">
        <v>25</v>
      </c>
      <c r="D4" s="9" t="s">
        <v>51</v>
      </c>
      <c r="E4" s="9"/>
      <c r="F4" s="9" t="s">
        <v>18</v>
      </c>
      <c r="G4" s="9" t="s">
        <v>15</v>
      </c>
      <c r="H4" s="14">
        <v>17714.12</v>
      </c>
      <c r="I4" s="9" t="s">
        <v>50</v>
      </c>
      <c r="J4" s="9"/>
      <c r="K4" s="9" t="s">
        <v>49</v>
      </c>
      <c r="L4" s="9"/>
      <c r="M4" s="9"/>
      <c r="N4" s="9"/>
    </row>
    <row r="5" spans="1:14" ht="30" customHeight="1" x14ac:dyDescent="0.25">
      <c r="A5" s="9" t="s">
        <v>48</v>
      </c>
      <c r="B5" s="9" t="s">
        <v>32</v>
      </c>
      <c r="C5" s="9" t="s">
        <v>31</v>
      </c>
      <c r="D5" s="9" t="s">
        <v>47</v>
      </c>
      <c r="E5" s="9"/>
      <c r="F5" s="9" t="s">
        <v>12</v>
      </c>
      <c r="G5" s="9" t="s">
        <v>13</v>
      </c>
      <c r="H5" s="14">
        <v>17505</v>
      </c>
      <c r="I5" s="9" t="s">
        <v>46</v>
      </c>
      <c r="J5" s="9"/>
      <c r="K5" s="9" t="s">
        <v>45</v>
      </c>
      <c r="L5" s="9"/>
      <c r="M5" s="9"/>
      <c r="N5" s="9"/>
    </row>
    <row r="6" spans="1:14" ht="30" customHeight="1" x14ac:dyDescent="0.25">
      <c r="A6" s="9" t="s">
        <v>44</v>
      </c>
      <c r="B6" s="9" t="s">
        <v>26</v>
      </c>
      <c r="C6" s="9" t="s">
        <v>25</v>
      </c>
      <c r="D6" s="9" t="s">
        <v>43</v>
      </c>
      <c r="E6" s="9"/>
      <c r="F6" s="9" t="s">
        <v>14</v>
      </c>
      <c r="G6" s="9" t="s">
        <v>15</v>
      </c>
      <c r="H6" s="14">
        <v>36019.129999999997</v>
      </c>
      <c r="I6" s="9" t="s">
        <v>42</v>
      </c>
      <c r="J6" s="9"/>
      <c r="K6" s="9" t="s">
        <v>41</v>
      </c>
      <c r="L6" s="9"/>
      <c r="M6" s="9"/>
      <c r="N6" s="9"/>
    </row>
    <row r="7" spans="1:14" ht="30" customHeight="1" x14ac:dyDescent="0.25">
      <c r="A7" s="9" t="s">
        <v>40</v>
      </c>
      <c r="B7" s="9" t="s">
        <v>32</v>
      </c>
      <c r="C7" s="9" t="s">
        <v>31</v>
      </c>
      <c r="D7" s="9" t="s">
        <v>39</v>
      </c>
      <c r="E7" s="9"/>
      <c r="F7" s="9" t="s">
        <v>10</v>
      </c>
      <c r="G7" s="9" t="s">
        <v>11</v>
      </c>
      <c r="H7" s="14">
        <v>21539.81</v>
      </c>
      <c r="I7" s="9" t="s">
        <v>38</v>
      </c>
      <c r="J7" s="9"/>
      <c r="K7" s="9" t="s">
        <v>37</v>
      </c>
      <c r="L7" s="9"/>
      <c r="M7" s="9"/>
      <c r="N7" s="9"/>
    </row>
    <row r="8" spans="1:14" ht="30" customHeight="1" x14ac:dyDescent="0.25">
      <c r="A8" s="9" t="s">
        <v>36</v>
      </c>
      <c r="B8" s="9" t="s">
        <v>26</v>
      </c>
      <c r="C8" s="9" t="s">
        <v>25</v>
      </c>
      <c r="D8" s="9" t="s">
        <v>35</v>
      </c>
      <c r="E8" s="9"/>
      <c r="F8" s="9" t="s">
        <v>14</v>
      </c>
      <c r="G8" s="9" t="s">
        <v>15</v>
      </c>
      <c r="H8" s="14">
        <v>38349.9</v>
      </c>
      <c r="I8" s="9"/>
      <c r="J8" s="9"/>
      <c r="K8" s="9" t="s">
        <v>34</v>
      </c>
      <c r="L8" s="9"/>
      <c r="M8" s="9"/>
      <c r="N8" s="9"/>
    </row>
    <row r="9" spans="1:14" ht="30" customHeight="1" x14ac:dyDescent="0.25">
      <c r="A9" s="9" t="s">
        <v>33</v>
      </c>
      <c r="B9" s="9" t="s">
        <v>32</v>
      </c>
      <c r="C9" s="9" t="s">
        <v>31</v>
      </c>
      <c r="D9" s="9" t="s">
        <v>30</v>
      </c>
      <c r="E9" s="9"/>
      <c r="F9" s="9" t="s">
        <v>17</v>
      </c>
      <c r="G9" s="9" t="s">
        <v>13</v>
      </c>
      <c r="H9" s="14">
        <v>28339.84</v>
      </c>
      <c r="I9" s="9" t="s">
        <v>29</v>
      </c>
      <c r="J9" s="9"/>
      <c r="K9" s="9" t="s">
        <v>28</v>
      </c>
      <c r="L9" s="9"/>
      <c r="M9" s="9"/>
      <c r="N9" s="9"/>
    </row>
    <row r="10" spans="1:14" ht="30" customHeight="1" x14ac:dyDescent="0.25">
      <c r="A10" s="9" t="s">
        <v>27</v>
      </c>
      <c r="B10" s="9" t="s">
        <v>26</v>
      </c>
      <c r="C10" s="9" t="s">
        <v>25</v>
      </c>
      <c r="D10" s="9" t="s">
        <v>24</v>
      </c>
      <c r="E10" s="9"/>
      <c r="F10" s="9" t="s">
        <v>16</v>
      </c>
      <c r="G10" s="9" t="s">
        <v>13</v>
      </c>
      <c r="H10" s="14">
        <v>77479.740000000005</v>
      </c>
      <c r="I10" s="9" t="s">
        <v>23</v>
      </c>
      <c r="J10" s="9"/>
      <c r="K10" s="9" t="s">
        <v>22</v>
      </c>
      <c r="L10" s="9"/>
      <c r="M10" s="9"/>
      <c r="N10" s="9"/>
    </row>
    <row r="11" spans="1:14" ht="30" customHeight="1" x14ac:dyDescent="0.25">
      <c r="A11" s="15"/>
      <c r="B11" s="15"/>
      <c r="C11" s="15"/>
      <c r="D11" s="15" t="s">
        <v>21</v>
      </c>
      <c r="E11" s="15"/>
      <c r="F11" s="15"/>
      <c r="G11" s="15"/>
      <c r="H11" s="16">
        <f>SUM(H4:H10)</f>
        <v>236947.53999999998</v>
      </c>
      <c r="I11" s="15"/>
      <c r="J11" s="15"/>
      <c r="K11" s="15"/>
      <c r="L11" s="15"/>
      <c r="M11" s="15"/>
      <c r="N11" s="9"/>
    </row>
    <row r="12" spans="1:14" ht="30" customHeight="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spans="1:14" ht="30" customHeight="1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spans="1:14" ht="30" customHeight="1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spans="1:14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</row>
  </sheetData>
  <mergeCells count="2">
    <mergeCell ref="A2:F2"/>
    <mergeCell ref="G2:M2"/>
  </mergeCells>
  <pageMargins left="0.7" right="0.7" top="0.75" bottom="0.75" header="0.3" footer="0.3"/>
  <pageSetup paperSize="5" scale="64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1346F-45F4-4AEE-9EF6-BB37B3D07316}">
  <sheetPr>
    <pageSetUpPr fitToPage="1"/>
  </sheetPr>
  <dimension ref="A1:E27"/>
  <sheetViews>
    <sheetView workbookViewId="0">
      <pane ySplit="3" topLeftCell="A4" activePane="bottomLeft" state="frozen"/>
      <selection pane="bottomLeft" activeCell="E27" sqref="A1:E27"/>
    </sheetView>
  </sheetViews>
  <sheetFormatPr defaultRowHeight="15" x14ac:dyDescent="0.25"/>
  <cols>
    <col min="1" max="1" width="16.42578125" style="8" bestFit="1" customWidth="1"/>
    <col min="2" max="2" width="14" style="8" bestFit="1" customWidth="1"/>
    <col min="3" max="3" width="20.85546875" style="8" bestFit="1" customWidth="1"/>
    <col min="4" max="4" width="19.28515625" style="8" bestFit="1" customWidth="1"/>
    <col min="5" max="5" width="27.28515625" style="8" bestFit="1" customWidth="1"/>
    <col min="6" max="16384" width="9.140625" style="8"/>
  </cols>
  <sheetData>
    <row r="1" spans="1:5" x14ac:dyDescent="0.25">
      <c r="A1" s="9"/>
      <c r="B1" s="9"/>
      <c r="C1" s="9" t="s">
        <v>3</v>
      </c>
      <c r="D1" s="10">
        <v>45639</v>
      </c>
      <c r="E1" s="9" t="s">
        <v>2</v>
      </c>
    </row>
    <row r="2" spans="1:5" x14ac:dyDescent="0.25">
      <c r="A2" s="11" t="s">
        <v>0</v>
      </c>
      <c r="B2" s="12"/>
      <c r="C2" s="12"/>
      <c r="D2" s="13" t="s">
        <v>69</v>
      </c>
      <c r="E2" s="12"/>
    </row>
    <row r="3" spans="1:5" x14ac:dyDescent="0.25">
      <c r="A3" s="9" t="s">
        <v>63</v>
      </c>
      <c r="B3" s="9" t="s">
        <v>61</v>
      </c>
      <c r="C3" s="9" t="s">
        <v>60</v>
      </c>
      <c r="D3" s="9" t="s">
        <v>59</v>
      </c>
      <c r="E3" s="9" t="s">
        <v>4</v>
      </c>
    </row>
    <row r="4" spans="1:5" x14ac:dyDescent="0.25">
      <c r="A4" s="9" t="s">
        <v>48</v>
      </c>
      <c r="B4" s="9" t="s">
        <v>31</v>
      </c>
      <c r="C4" s="9" t="s">
        <v>47</v>
      </c>
      <c r="D4" s="9"/>
      <c r="E4" s="9" t="s">
        <v>12</v>
      </c>
    </row>
    <row r="5" spans="1:5" x14ac:dyDescent="0.25">
      <c r="A5" s="9" t="s">
        <v>40</v>
      </c>
      <c r="B5" s="9" t="s">
        <v>31</v>
      </c>
      <c r="C5" s="9" t="s">
        <v>39</v>
      </c>
      <c r="D5" s="9"/>
      <c r="E5" s="9" t="s">
        <v>10</v>
      </c>
    </row>
    <row r="6" spans="1:5" x14ac:dyDescent="0.25">
      <c r="A6" s="9" t="s">
        <v>33</v>
      </c>
      <c r="B6" s="9" t="s">
        <v>31</v>
      </c>
      <c r="C6" s="9" t="s">
        <v>30</v>
      </c>
      <c r="D6" s="9"/>
      <c r="E6" s="9" t="s">
        <v>17</v>
      </c>
    </row>
    <row r="7" spans="1:5" x14ac:dyDescent="0.25">
      <c r="A7" s="15"/>
      <c r="B7" s="15"/>
      <c r="C7" s="15" t="s">
        <v>68</v>
      </c>
      <c r="D7" s="15"/>
      <c r="E7" s="15"/>
    </row>
    <row r="8" spans="1:5" x14ac:dyDescent="0.25">
      <c r="A8" s="9"/>
      <c r="B8" s="9"/>
      <c r="C8" s="9"/>
      <c r="D8" s="9"/>
      <c r="E8" s="9"/>
    </row>
    <row r="9" spans="1:5" x14ac:dyDescent="0.25">
      <c r="A9" s="9"/>
      <c r="B9" s="9"/>
      <c r="C9" s="9"/>
      <c r="D9" s="9"/>
      <c r="E9" s="9"/>
    </row>
    <row r="10" spans="1:5" x14ac:dyDescent="0.25">
      <c r="A10" s="9"/>
      <c r="B10" s="9"/>
      <c r="C10" s="9"/>
      <c r="D10" s="9"/>
      <c r="E10" s="9"/>
    </row>
    <row r="11" spans="1:5" x14ac:dyDescent="0.25">
      <c r="A11" s="9" t="s">
        <v>67</v>
      </c>
      <c r="B11" s="9"/>
      <c r="C11" s="9"/>
      <c r="D11" s="9"/>
      <c r="E11" s="9"/>
    </row>
    <row r="12" spans="1:5" x14ac:dyDescent="0.25">
      <c r="A12" s="9"/>
      <c r="B12" s="9"/>
      <c r="C12" s="9"/>
      <c r="D12" s="9"/>
      <c r="E12" s="9"/>
    </row>
    <row r="13" spans="1:5" x14ac:dyDescent="0.25">
      <c r="A13" s="9"/>
      <c r="B13" s="9"/>
      <c r="C13" s="9"/>
      <c r="D13" s="9"/>
      <c r="E13" s="9"/>
    </row>
    <row r="14" spans="1:5" x14ac:dyDescent="0.25">
      <c r="A14" s="9" t="s">
        <v>66</v>
      </c>
      <c r="B14" s="9"/>
      <c r="C14" s="9"/>
      <c r="D14" s="9"/>
      <c r="E14" s="9"/>
    </row>
    <row r="15" spans="1:5" x14ac:dyDescent="0.25">
      <c r="A15" s="9"/>
      <c r="B15" s="9"/>
      <c r="C15" s="9"/>
      <c r="D15" s="9"/>
      <c r="E15" s="9"/>
    </row>
    <row r="16" spans="1:5" x14ac:dyDescent="0.25">
      <c r="A16" s="9"/>
      <c r="B16" s="9"/>
      <c r="C16" s="9"/>
      <c r="D16" s="9"/>
      <c r="E16" s="9"/>
    </row>
    <row r="17" spans="1:5" x14ac:dyDescent="0.25">
      <c r="A17" s="9"/>
      <c r="B17" s="9"/>
      <c r="C17" s="9"/>
      <c r="D17" s="9"/>
      <c r="E17" s="9"/>
    </row>
    <row r="18" spans="1:5" x14ac:dyDescent="0.25">
      <c r="A18" s="9" t="s">
        <v>65</v>
      </c>
      <c r="B18" s="9"/>
      <c r="C18" s="9"/>
      <c r="D18" s="9"/>
      <c r="E18" s="9"/>
    </row>
    <row r="19" spans="1:5" x14ac:dyDescent="0.25">
      <c r="A19" s="9"/>
      <c r="B19" s="9"/>
      <c r="C19" s="9"/>
      <c r="D19" s="9"/>
      <c r="E19" s="9"/>
    </row>
    <row r="20" spans="1:5" x14ac:dyDescent="0.25">
      <c r="A20" s="9"/>
      <c r="B20" s="9"/>
      <c r="C20" s="9"/>
      <c r="D20" s="9"/>
      <c r="E20" s="9"/>
    </row>
    <row r="21" spans="1:5" x14ac:dyDescent="0.25">
      <c r="A21" s="9"/>
      <c r="B21" s="9"/>
      <c r="C21" s="9"/>
      <c r="D21" s="9"/>
      <c r="E21" s="9"/>
    </row>
    <row r="22" spans="1:5" x14ac:dyDescent="0.25">
      <c r="A22" s="9"/>
      <c r="B22" s="9"/>
      <c r="C22" s="9"/>
      <c r="D22" s="9"/>
      <c r="E22" s="9"/>
    </row>
    <row r="23" spans="1:5" x14ac:dyDescent="0.25">
      <c r="A23" s="9"/>
      <c r="B23" s="9"/>
      <c r="C23" s="9"/>
      <c r="D23" s="9"/>
      <c r="E23" s="9"/>
    </row>
    <row r="24" spans="1:5" x14ac:dyDescent="0.25">
      <c r="A24" s="9"/>
      <c r="B24" s="9"/>
      <c r="C24" s="9"/>
      <c r="D24" s="9"/>
      <c r="E24" s="9"/>
    </row>
    <row r="25" spans="1:5" x14ac:dyDescent="0.25">
      <c r="A25" s="9"/>
      <c r="B25" s="9"/>
      <c r="C25" s="9"/>
      <c r="D25" s="9"/>
      <c r="E25" s="9"/>
    </row>
    <row r="26" spans="1:5" x14ac:dyDescent="0.25">
      <c r="A26" s="9"/>
      <c r="B26" s="9"/>
      <c r="C26" s="9"/>
      <c r="D26" s="9"/>
      <c r="E26" s="9"/>
    </row>
    <row r="27" spans="1:5" x14ac:dyDescent="0.25">
      <c r="A27" s="9"/>
      <c r="B27" s="9"/>
      <c r="C27" s="9"/>
      <c r="D27" s="9"/>
      <c r="E27" s="9"/>
    </row>
  </sheetData>
  <mergeCells count="2">
    <mergeCell ref="A2:C2"/>
    <mergeCell ref="D2:E2"/>
  </mergeCells>
  <pageMargins left="0.7" right="0.7" top="0.75" bottom="0.75" header="0.3" footer="0.3"/>
  <pageSetup scale="92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2024-12-13T19:23:13Z</cp:lastPrinted>
  <dcterms:created xsi:type="dcterms:W3CDTF">2024-12-13T19:02:28Z</dcterms:created>
  <dcterms:modified xsi:type="dcterms:W3CDTF">2024-12-13T19:25:50Z</dcterms:modified>
</cp:coreProperties>
</file>