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B0F609BD-FFF1-4774-B305-A53C87046AB2}" xr6:coauthVersionLast="47" xr6:coauthVersionMax="47" xr10:uidLastSave="{00000000-0000-0000-0000-000000000000}"/>
  <bookViews>
    <workbookView xWindow="29865" yWindow="240" windowWidth="19860" windowHeight="13980" activeTab="1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2" l="1"/>
  <c r="F18" i="2"/>
  <c r="E18" i="2"/>
  <c r="D18" i="2"/>
  <c r="H11" i="1"/>
</calcChain>
</file>

<file path=xl/sharedStrings.xml><?xml version="1.0" encoding="utf-8"?>
<sst xmlns="http://schemas.openxmlformats.org/spreadsheetml/2006/main" count="93" uniqueCount="61">
  <si>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</si>
  <si>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</si>
  <si>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</si>
  <si>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</si>
  <si>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</si>
  <si>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</si>
  <si>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</si>
  <si>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</si>
  <si>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</si>
  <si>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</si>
  <si>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</si>
  <si>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</si>
  <si>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</si>
  <si>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Route One</t>
  </si>
  <si>
    <t>E Contract</t>
  </si>
  <si>
    <t>DOYLE, TINA</t>
  </si>
  <si>
    <t>Mathieu Ford Sales, Inc</t>
  </si>
  <si>
    <t>Rachel Gorham</t>
  </si>
  <si>
    <t>BRADNUM</t>
  </si>
  <si>
    <t>DealerTrack</t>
  </si>
  <si>
    <t>JENSEN, IAN</t>
  </si>
  <si>
    <t>Metro Honda</t>
  </si>
  <si>
    <t>Neli Oliveira</t>
  </si>
  <si>
    <t>WRIGHT</t>
  </si>
  <si>
    <t>LAFLEUR, JEFFREY</t>
  </si>
  <si>
    <t>Mastria Buick Pontiac</t>
  </si>
  <si>
    <t>JEFFMAYCRAN@GMAIL.COM</t>
  </si>
  <si>
    <t>ALEGI</t>
  </si>
  <si>
    <t>MAYFLOWER CRANBERRIES LLC</t>
  </si>
  <si>
    <t>Rice, Zachary</t>
  </si>
  <si>
    <t>Alden Buick Pontiac GMC</t>
  </si>
  <si>
    <t>Kotiadis</t>
  </si>
  <si>
    <t>THAYER, TERRI-LYNN</t>
  </si>
  <si>
    <t>Viti Mercedes</t>
  </si>
  <si>
    <t>Marlene Braganca</t>
  </si>
  <si>
    <t>TERRI-LYNN.THAYER@GARTNER.COM</t>
  </si>
  <si>
    <t>Hathaway</t>
  </si>
  <si>
    <t>DESROSIERS, GERARD</t>
  </si>
  <si>
    <t>Paul Masse Buick GMC South, Inc</t>
  </si>
  <si>
    <t>jerrydesro@gmail.com</t>
  </si>
  <si>
    <t>DACOSTA</t>
  </si>
  <si>
    <t>PERRY, PAUL</t>
  </si>
  <si>
    <t>Grieco Hyundai</t>
  </si>
  <si>
    <t>EZUBIA383@GMAIL.COM</t>
  </si>
  <si>
    <t>Monteiro</t>
  </si>
  <si>
    <t># 7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</si>
  <si>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</si>
  <si>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</si>
  <si>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</si>
  <si>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</si>
  <si>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</si>
  <si>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</si>
  <si>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</si>
  <si>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4453-2150</t>
  </si>
  <si>
    <t>151193879 E</t>
  </si>
  <si>
    <t>151193928 E</t>
  </si>
  <si>
    <t>151193978 E</t>
  </si>
  <si>
    <t>151194025 E</t>
  </si>
  <si>
    <t>151194132 E</t>
  </si>
  <si>
    <t>151194207 E</t>
  </si>
  <si>
    <t>151194215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</si>
</sst>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9" formatCode="[$-F800]dddd\,\ mmmm\ dd\,\ yyyy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/>
    <xf numFmtId="7" fontId="3" fillId="0" borderId="0" xfId="0" applyNumberFormat="1" applyFont="1"/>
    <xf numFmtId="169" fontId="0" fillId="0" borderId="0" xfId="0" applyNumberFormat="1" applyAlignment="1"/>
    <xf numFmtId="0" fontId="0" fillId="0" borderId="0" xfId="0" applyAlignment="1">
      <alignment wrapText="1"/>
    </xf>
    <xf numFmtId="7" fontId="4" fillId="0" borderId="0" xfId="0" applyNumberFormat="1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1">
  <tableColumns count="11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F87D4B-5A50-497E-8284-EA92CAF21AEA}" name="Table_14" displayName="Table_14" ref="A3:H18" headerRowDxfId="2" dataDxfId="0" totalsRowDxfId="1">
  <tableColumns count="8">
    <tableColumn id="1" xr3:uid="{9FBBEF20-FA96-46E8-B7A8-2D141823B399}" name="Dealer Name" dataDxfId="10"/>
    <tableColumn id="7" xr3:uid="{CBD2FB66-AFC9-445D-A341-FD2246E547DD}" name="Column1" dataDxfId="9"/>
    <tableColumn id="2" xr3:uid="{7F95EF77-EB5F-4F05-8155-9AFD1518AA3B}" name="Funded by" dataDxfId="8"/>
    <tableColumn id="3" xr3:uid="{D0ED6488-34F9-400D-8A82-3A438FFDD7D0}" name="Dealer Flat" dataDxfId="7"/>
    <tableColumn id="4" xr3:uid="{5EF7E038-4C87-4E0F-9916-194EE0AD4006}" name="Dealer Split" dataDxfId="6"/>
    <tableColumn id="5" xr3:uid="{CCBFCCE5-5DB8-49CA-B2BC-3901DB5EA346}" name="Net to Dealer" dataDxfId="5"/>
    <tableColumn id="8" xr3:uid="{0CB97379-A22C-4D49-B633-07ED420F930A}" name="Column2" dataDxfId="4"/>
    <tableColumn id="6" xr3:uid="{62976867-5652-49E0-B274-D3196D9D1642}" name="Contracted Amount Financed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opLeftCell="B1" zoomScaleNormal="100" workbookViewId="0">
      <pane ySplit="3" topLeftCell="A4" activePane="bottomLeft" state="frozen"/>
      <selection pane="bottomLeft" activeCell="H11" sqref="H11"/>
    </sheetView>
  </sheetViews>
  <sheetFormatPr defaultRowHeight="15" x14ac:dyDescent="0.25"/>
  <cols>
    <col min="1" max="1" width="12.7109375" customWidth="1"/>
    <col min="2" max="2" width="12.140625" bestFit="1" customWidth="1"/>
    <col min="3" max="3" width="14" bestFit="1" customWidth="1"/>
    <col min="4" max="4" width="21.7109375" bestFit="1" customWidth="1"/>
    <col min="5" max="5" width="16.28515625" customWidth="1"/>
    <col min="6" max="6" width="31.5703125" bestFit="1" customWidth="1"/>
    <col min="7" max="7" width="17.7109375" bestFit="1" customWidth="1"/>
    <col min="8" max="8" width="17.140625" bestFit="1" customWidth="1"/>
    <col min="9" max="9" width="27.140625" customWidth="1"/>
    <col min="10" max="10" width="8.7109375" customWidth="1"/>
    <col min="11" max="11" width="16.85546875" customWidth="1"/>
  </cols>
  <sheetData>
    <row r="1" spans="1:11" x14ac:dyDescent="0.25">
      <c r="J1" s="16">
        <v>45826</v>
      </c>
      <c r="K1" s="16"/>
    </row>
    <row r="2" spans="1:11" x14ac:dyDescent="0.25">
      <c r="A2" s="4" t="s">
        <v>0</v>
      </c>
      <c r="B2" s="5"/>
      <c r="C2" s="5"/>
      <c r="D2" s="5"/>
      <c r="E2" s="5"/>
      <c r="F2" s="5"/>
      <c r="G2" s="6" t="s">
        <v>1</v>
      </c>
      <c r="H2" s="5"/>
      <c r="I2" s="5"/>
      <c r="J2" s="5"/>
      <c r="K2" s="5"/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ht="33" customHeight="1" x14ac:dyDescent="0.25">
      <c r="A4" t="s">
        <v>54</v>
      </c>
      <c r="B4" t="s">
        <v>13</v>
      </c>
      <c r="C4" t="s">
        <v>14</v>
      </c>
      <c r="D4" t="s">
        <v>15</v>
      </c>
      <c r="F4" t="s">
        <v>16</v>
      </c>
      <c r="G4" t="s">
        <v>17</v>
      </c>
      <c r="H4" s="2">
        <v>29113.56</v>
      </c>
      <c r="K4" t="s">
        <v>18</v>
      </c>
    </row>
    <row r="5" spans="1:11" ht="33" customHeight="1" x14ac:dyDescent="0.25">
      <c r="A5" t="s">
        <v>55</v>
      </c>
      <c r="B5" t="s">
        <v>19</v>
      </c>
      <c r="C5" t="s">
        <v>14</v>
      </c>
      <c r="D5" t="s">
        <v>20</v>
      </c>
      <c r="F5" t="s">
        <v>21</v>
      </c>
      <c r="G5" t="s">
        <v>22</v>
      </c>
      <c r="H5" s="2">
        <v>24984.9</v>
      </c>
      <c r="K5" t="s">
        <v>23</v>
      </c>
    </row>
    <row r="6" spans="1:11" ht="33" customHeight="1" x14ac:dyDescent="0.25">
      <c r="A6" t="s">
        <v>56</v>
      </c>
      <c r="B6" t="s">
        <v>13</v>
      </c>
      <c r="C6" t="s">
        <v>14</v>
      </c>
      <c r="D6" t="s">
        <v>24</v>
      </c>
      <c r="E6" s="17" t="s">
        <v>28</v>
      </c>
      <c r="F6" t="s">
        <v>25</v>
      </c>
      <c r="G6" t="s">
        <v>22</v>
      </c>
      <c r="H6" s="2">
        <v>29670.11</v>
      </c>
      <c r="I6" t="s">
        <v>26</v>
      </c>
      <c r="K6" t="s">
        <v>27</v>
      </c>
    </row>
    <row r="7" spans="1:11" ht="33" customHeight="1" x14ac:dyDescent="0.25">
      <c r="A7" t="s">
        <v>57</v>
      </c>
      <c r="B7" t="s">
        <v>13</v>
      </c>
      <c r="C7" t="s">
        <v>14</v>
      </c>
      <c r="D7" t="s">
        <v>29</v>
      </c>
      <c r="F7" t="s">
        <v>30</v>
      </c>
      <c r="G7" t="s">
        <v>22</v>
      </c>
      <c r="H7" s="2">
        <v>55288.5</v>
      </c>
      <c r="K7" t="s">
        <v>31</v>
      </c>
    </row>
    <row r="8" spans="1:11" ht="33" customHeight="1" x14ac:dyDescent="0.25">
      <c r="A8" t="s">
        <v>58</v>
      </c>
      <c r="B8" t="s">
        <v>19</v>
      </c>
      <c r="C8" t="s">
        <v>14</v>
      </c>
      <c r="D8" t="s">
        <v>32</v>
      </c>
      <c r="F8" t="s">
        <v>33</v>
      </c>
      <c r="G8" t="s">
        <v>34</v>
      </c>
      <c r="H8" s="2">
        <v>30000</v>
      </c>
      <c r="I8" t="s">
        <v>35</v>
      </c>
      <c r="K8" t="s">
        <v>36</v>
      </c>
    </row>
    <row r="9" spans="1:11" ht="33" customHeight="1" x14ac:dyDescent="0.25">
      <c r="A9" t="s">
        <v>59</v>
      </c>
      <c r="B9" t="s">
        <v>13</v>
      </c>
      <c r="C9" t="s">
        <v>14</v>
      </c>
      <c r="D9" t="s">
        <v>37</v>
      </c>
      <c r="F9" t="s">
        <v>38</v>
      </c>
      <c r="G9" t="s">
        <v>22</v>
      </c>
      <c r="H9" s="2">
        <v>36775.660000000003</v>
      </c>
      <c r="I9" t="s">
        <v>39</v>
      </c>
      <c r="K9" t="s">
        <v>40</v>
      </c>
    </row>
    <row r="10" spans="1:11" ht="33" customHeight="1" x14ac:dyDescent="0.25">
      <c r="A10" t="s">
        <v>60</v>
      </c>
      <c r="B10" t="s">
        <v>19</v>
      </c>
      <c r="C10" t="s">
        <v>14</v>
      </c>
      <c r="D10" t="s">
        <v>41</v>
      </c>
      <c r="F10" t="s">
        <v>42</v>
      </c>
      <c r="G10" t="s">
        <v>34</v>
      </c>
      <c r="H10" s="2">
        <v>31406.57</v>
      </c>
      <c r="I10" t="s">
        <v>43</v>
      </c>
      <c r="K10" t="s">
        <v>44</v>
      </c>
    </row>
    <row r="11" spans="1:11" x14ac:dyDescent="0.25">
      <c r="A11" s="1"/>
      <c r="B11" s="1"/>
      <c r="C11" s="1"/>
      <c r="D11" s="1" t="s">
        <v>45</v>
      </c>
      <c r="E11" s="1"/>
      <c r="F11" s="1"/>
      <c r="G11" s="1"/>
      <c r="H11" s="3">
        <f>SUM(H4:H10)</f>
        <v>237239.30000000002</v>
      </c>
      <c r="I11" s="1"/>
      <c r="J11" s="1"/>
      <c r="K11" s="1"/>
    </row>
  </sheetData>
  <mergeCells count="3">
    <mergeCell ref="A2:F2"/>
    <mergeCell ref="G2:K2"/>
    <mergeCell ref="J1:K1"/>
  </mergeCells>
  <pageMargins left="0.7" right="0.2" top="0.75" bottom="0.75" header="0.3" footer="0.3"/>
  <pageSetup paperSize="5" scale="8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2EAF-34CE-44FB-A7A9-E743205F66FE}">
  <sheetPr>
    <pageSetUpPr fitToPage="1"/>
  </sheetPr>
  <dimension ref="A1:H18"/>
  <sheetViews>
    <sheetView tabSelected="1" topLeftCell="A3" workbookViewId="0">
      <selection activeCell="C17" sqref="C17"/>
    </sheetView>
  </sheetViews>
  <sheetFormatPr defaultRowHeight="15.75" x14ac:dyDescent="0.25"/>
  <cols>
    <col min="1" max="1" width="17.28515625" style="7" customWidth="1"/>
    <col min="2" max="2" width="14.7109375" style="7" customWidth="1"/>
    <col min="3" max="3" width="18.42578125" style="7" customWidth="1"/>
    <col min="4" max="6" width="17.42578125" style="7" customWidth="1"/>
    <col min="7" max="7" width="12.28515625" style="7" customWidth="1"/>
    <col min="8" max="8" width="17.42578125" style="7" customWidth="1"/>
    <col min="9" max="16384" width="9.140625" style="7"/>
  </cols>
  <sheetData>
    <row r="1" spans="1:8" x14ac:dyDescent="0.25">
      <c r="E1" s="8"/>
      <c r="H1" s="8">
        <v>45826.999988425923</v>
      </c>
    </row>
    <row r="2" spans="1:8" x14ac:dyDescent="0.25">
      <c r="A2" s="9" t="s">
        <v>0</v>
      </c>
      <c r="B2" s="9"/>
      <c r="C2" s="10"/>
      <c r="D2" s="10"/>
      <c r="E2" s="11" t="s">
        <v>46</v>
      </c>
      <c r="F2" s="10"/>
      <c r="G2" s="10"/>
      <c r="H2" s="10"/>
    </row>
    <row r="3" spans="1:8" x14ac:dyDescent="0.25">
      <c r="A3" s="7" t="s">
        <v>7</v>
      </c>
      <c r="B3" s="7" t="s">
        <v>51</v>
      </c>
      <c r="C3" s="7" t="s">
        <v>8</v>
      </c>
      <c r="D3" s="7" t="s">
        <v>47</v>
      </c>
      <c r="E3" s="7" t="s">
        <v>48</v>
      </c>
      <c r="F3" s="7" t="s">
        <v>49</v>
      </c>
      <c r="G3" s="7" t="s">
        <v>52</v>
      </c>
      <c r="H3" s="7" t="s">
        <v>50</v>
      </c>
    </row>
    <row r="4" spans="1:8" ht="27" customHeight="1" x14ac:dyDescent="0.25">
      <c r="A4" s="7" t="s">
        <v>30</v>
      </c>
      <c r="C4" s="7" t="s">
        <v>22</v>
      </c>
      <c r="D4" s="12">
        <v>1350</v>
      </c>
      <c r="E4" s="12">
        <v>0</v>
      </c>
      <c r="F4" s="18">
        <v>55213.5</v>
      </c>
      <c r="G4" s="12"/>
      <c r="H4" s="12">
        <v>55288.5</v>
      </c>
    </row>
    <row r="5" spans="1:8" ht="27" customHeight="1" x14ac:dyDescent="0.25">
      <c r="D5" s="12"/>
      <c r="E5" s="12"/>
      <c r="F5" s="18"/>
      <c r="G5" s="12"/>
      <c r="H5" s="12"/>
    </row>
    <row r="6" spans="1:8" ht="27" customHeight="1" x14ac:dyDescent="0.25">
      <c r="A6" s="7" t="s">
        <v>42</v>
      </c>
      <c r="C6" s="7" t="s">
        <v>34</v>
      </c>
      <c r="D6" s="12">
        <v>850</v>
      </c>
      <c r="E6" s="12">
        <v>0</v>
      </c>
      <c r="F6" s="18">
        <v>31331.57</v>
      </c>
      <c r="G6" s="12"/>
      <c r="H6" s="12">
        <v>31406.57</v>
      </c>
    </row>
    <row r="7" spans="1:8" ht="27" customHeight="1" x14ac:dyDescent="0.25">
      <c r="D7" s="12"/>
      <c r="E7" s="12"/>
      <c r="F7" s="18"/>
      <c r="G7" s="12"/>
      <c r="H7" s="12"/>
    </row>
    <row r="8" spans="1:8" ht="27" customHeight="1" x14ac:dyDescent="0.25">
      <c r="A8" s="7" t="s">
        <v>25</v>
      </c>
      <c r="B8" s="13" t="s">
        <v>53</v>
      </c>
      <c r="C8" s="7" t="s">
        <v>22</v>
      </c>
      <c r="D8" s="12">
        <v>750</v>
      </c>
      <c r="E8" s="12">
        <v>0</v>
      </c>
      <c r="F8" s="18">
        <v>29595.11</v>
      </c>
      <c r="G8" s="12"/>
      <c r="H8" s="12">
        <v>29670.11</v>
      </c>
    </row>
    <row r="9" spans="1:8" ht="27" customHeight="1" x14ac:dyDescent="0.25">
      <c r="B9" s="13"/>
      <c r="D9" s="12"/>
      <c r="E9" s="12"/>
      <c r="F9" s="18"/>
      <c r="G9" s="12"/>
      <c r="H9" s="12"/>
    </row>
    <row r="10" spans="1:8" ht="27" customHeight="1" x14ac:dyDescent="0.25">
      <c r="A10" s="7" t="s">
        <v>16</v>
      </c>
      <c r="C10" s="7" t="s">
        <v>17</v>
      </c>
      <c r="D10" s="12">
        <v>750</v>
      </c>
      <c r="E10" s="12">
        <v>0</v>
      </c>
      <c r="F10" s="18">
        <v>29038.560000000001</v>
      </c>
      <c r="G10" s="12"/>
      <c r="H10" s="12">
        <v>29113.56</v>
      </c>
    </row>
    <row r="11" spans="1:8" ht="27" customHeight="1" x14ac:dyDescent="0.25">
      <c r="D11" s="12"/>
      <c r="E11" s="12"/>
      <c r="F11" s="18"/>
      <c r="G11" s="12"/>
      <c r="H11" s="12"/>
    </row>
    <row r="12" spans="1:8" ht="27" customHeight="1" x14ac:dyDescent="0.25">
      <c r="A12" s="7" t="s">
        <v>21</v>
      </c>
      <c r="C12" s="7" t="s">
        <v>22</v>
      </c>
      <c r="D12" s="12">
        <v>650</v>
      </c>
      <c r="E12" s="12">
        <v>0</v>
      </c>
      <c r="F12" s="18">
        <v>24909.9</v>
      </c>
      <c r="G12" s="12"/>
      <c r="H12" s="12">
        <v>24984.9</v>
      </c>
    </row>
    <row r="13" spans="1:8" ht="27" customHeight="1" x14ac:dyDescent="0.25">
      <c r="D13" s="12"/>
      <c r="E13" s="12"/>
      <c r="F13" s="18"/>
      <c r="G13" s="12"/>
      <c r="H13" s="12"/>
    </row>
    <row r="14" spans="1:8" ht="27" customHeight="1" x14ac:dyDescent="0.25">
      <c r="A14" s="7" t="s">
        <v>38</v>
      </c>
      <c r="C14" s="7" t="s">
        <v>22</v>
      </c>
      <c r="D14" s="12">
        <v>950</v>
      </c>
      <c r="E14" s="12">
        <v>0</v>
      </c>
      <c r="F14" s="18">
        <v>36700.660000000003</v>
      </c>
      <c r="G14" s="12"/>
      <c r="H14" s="12">
        <v>36775.660000000003</v>
      </c>
    </row>
    <row r="15" spans="1:8" ht="27" customHeight="1" x14ac:dyDescent="0.25">
      <c r="D15" s="12"/>
      <c r="E15" s="12"/>
      <c r="F15" s="18"/>
      <c r="G15" s="12"/>
      <c r="H15" s="12"/>
    </row>
    <row r="16" spans="1:8" ht="27" customHeight="1" x14ac:dyDescent="0.25">
      <c r="A16" s="7" t="s">
        <v>33</v>
      </c>
      <c r="C16" s="7" t="s">
        <v>34</v>
      </c>
      <c r="D16" s="12">
        <v>850</v>
      </c>
      <c r="E16" s="12">
        <v>0</v>
      </c>
      <c r="F16" s="18">
        <v>29925</v>
      </c>
      <c r="G16" s="12"/>
      <c r="H16" s="12">
        <v>30000</v>
      </c>
    </row>
    <row r="17" spans="1:8" ht="27" customHeight="1" x14ac:dyDescent="0.25">
      <c r="D17" s="12"/>
      <c r="E17" s="12"/>
      <c r="F17" s="12"/>
      <c r="G17" s="12"/>
      <c r="H17" s="12"/>
    </row>
    <row r="18" spans="1:8" x14ac:dyDescent="0.25">
      <c r="A18" s="14"/>
      <c r="B18" s="14"/>
      <c r="C18" s="14"/>
      <c r="D18" s="15">
        <f>SUM(D4:D16)</f>
        <v>6150</v>
      </c>
      <c r="E18" s="15">
        <f>SUM(E4:E16)</f>
        <v>0</v>
      </c>
      <c r="F18" s="15">
        <f>SUM(F4:F16)</f>
        <v>236714.30000000002</v>
      </c>
      <c r="G18" s="15"/>
      <c r="H18" s="15">
        <f>SUM(H4:H16)</f>
        <v>237239.30000000002</v>
      </c>
    </row>
  </sheetData>
  <mergeCells count="2">
    <mergeCell ref="A2:D2"/>
    <mergeCell ref="E2:H2"/>
  </mergeCells>
  <pageMargins left="0.7" right="0.7" top="0.75" bottom="0.75" header="0.3" footer="0.3"/>
  <pageSetup scale="8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2025-06-18T17:51:19Z</cp:lastPrinted>
  <dcterms:created xsi:type="dcterms:W3CDTF">2025-06-18T17:36:10Z</dcterms:created>
  <dcterms:modified xsi:type="dcterms:W3CDTF">2025-06-18T18:05:37Z</dcterms:modified>
</cp:coreProperties>
</file>