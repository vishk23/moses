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9B270FB3-B457-41CF-A3C8-EE65D62ED0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F9" i="1"/>
  <c r="G10" i="1"/>
  <c r="E10" i="1"/>
  <c r="D10" i="1"/>
  <c r="C10" i="1"/>
</calcChain>
</file>

<file path=xl/sharedStrings.xml><?xml version="1.0" encoding="utf-8"?>
<sst xmlns="http://schemas.openxmlformats.org/spreadsheetml/2006/main" count="69" uniqueCount="47">
  <si>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</si>
  <si>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</si>
  <si>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</si>
  <si>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</si>
  <si>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</si>
  <si>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</si>
  <si>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</si>
  <si>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</si>
  <si>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</si>
  <si>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</si>
  <si>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Patriot Auto Group Inc d/b/a</t>
  </si>
  <si>
    <t>Neli Oliveira</t>
  </si>
  <si>
    <t>T F Murphy Enterprises Inc</t>
  </si>
  <si>
    <t>Wareham Ford</t>
  </si>
  <si>
    <t>Rachel Gorham</t>
  </si>
  <si>
    <t>Column1</t>
  </si>
  <si>
    <t># 4</t>
  </si>
  <si>
    <t>HYNES</t>
  </si>
  <si>
    <t>sineadblais@gmail.com</t>
  </si>
  <si>
    <t>BINDER, JAMES</t>
  </si>
  <si>
    <t>E Contract</t>
  </si>
  <si>
    <t>Route One</t>
  </si>
  <si>
    <t>151137546e</t>
  </si>
  <si>
    <t>MARGOLIS</t>
  </si>
  <si>
    <t>jennomelia@gmail.com</t>
  </si>
  <si>
    <t>CUMMINGS, JENNIFER</t>
  </si>
  <si>
    <t>151137520e</t>
  </si>
  <si>
    <t>STELLAR</t>
  </si>
  <si>
    <t>RZELSKI@AOL.COM</t>
  </si>
  <si>
    <t>ZELSKI, RICHARD</t>
  </si>
  <si>
    <t>151137405e</t>
  </si>
  <si>
    <t>BOARDMAN</t>
  </si>
  <si>
    <t>sthiggins@comcast.net</t>
  </si>
  <si>
    <t>HIGGINS, STEVEN</t>
  </si>
  <si>
    <t>151137398e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</si>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</sst>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7" fontId="3" fillId="0" borderId="0" xfId="0" applyNumberFormat="1" applyFont="1"/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4" fillId="0" borderId="0" xfId="1" applyFont="1" applyFill="1" applyAlignment="1">
      <alignment horizontal="left"/>
    </xf>
    <xf numFmtId="0" fontId="2" fillId="0" borderId="0" xfId="1" applyFill="1"/>
    <xf numFmtId="0" fontId="4" fillId="0" borderId="0" xfId="1" applyFont="1" applyFill="1" applyAlignment="1">
      <alignment horizontal="right"/>
    </xf>
    <xf numFmtId="7" fontId="2" fillId="0" borderId="0" xfId="1" applyNumberFormat="1" applyFill="1"/>
    <xf numFmtId="0" fontId="4" fillId="0" borderId="0" xfId="1" applyFont="1" applyFill="1"/>
    <xf numFmtId="7" fontId="4" fillId="0" borderId="0" xfId="1" applyNumberFormat="1" applyFont="1" applyFill="1"/>
  </cellXfs>
  <cellStyles count="2">
    <cellStyle name="Normal" xfId="0" builtinId="0"/>
    <cellStyle name="Normal 2" xfId="1" xr:uid="{090A4D5A-C1E2-4DB3-B746-62AE1FD657E5}"/>
  </cellStyles>
  <dxfs count="1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G10">
  <tableColumns count="7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15DA7B1C-BFE7-4F81-8F6C-26BBFB71E5C1}" name="Column1" dataDxfId="16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0D1DC-BE42-40CC-ABBA-178E9BFC12E8}" name="Table_13" displayName="Table_13" ref="A3:M8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"/>
  <sheetViews>
    <sheetView tabSelected="1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26.7109375" bestFit="1" customWidth="1"/>
    <col min="2" max="2" width="15.140625" bestFit="1" customWidth="1"/>
    <col min="3" max="3" width="11.140625" bestFit="1" customWidth="1"/>
    <col min="4" max="4" width="16.7109375" bestFit="1" customWidth="1"/>
    <col min="5" max="5" width="13.28515625" bestFit="1" customWidth="1"/>
    <col min="6" max="6" width="13.28515625" customWidth="1"/>
    <col min="7" max="7" width="27.85546875" bestFit="1" customWidth="1"/>
  </cols>
  <sheetData>
    <row r="1" spans="1:7" x14ac:dyDescent="0.25">
      <c r="C1" t="s">
        <v>3</v>
      </c>
      <c r="D1" s="4">
        <v>45672</v>
      </c>
      <c r="E1" t="s">
        <v>2</v>
      </c>
      <c r="G1" s="4">
        <v>45672.999988425923</v>
      </c>
    </row>
    <row r="2" spans="1:7" x14ac:dyDescent="0.25">
      <c r="A2" s="5" t="s">
        <v>0</v>
      </c>
      <c r="B2" s="6"/>
      <c r="C2" s="6"/>
      <c r="D2" s="7" t="s">
        <v>1</v>
      </c>
      <c r="E2" s="6"/>
      <c r="F2" s="6"/>
      <c r="G2" s="6"/>
    </row>
    <row r="3" spans="1:7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15</v>
      </c>
      <c r="G3" t="s">
        <v>9</v>
      </c>
    </row>
    <row r="4" spans="1:7" x14ac:dyDescent="0.25">
      <c r="A4" t="s">
        <v>10</v>
      </c>
      <c r="B4" t="s">
        <v>11</v>
      </c>
      <c r="C4" s="2">
        <v>800</v>
      </c>
      <c r="D4" s="2">
        <v>0</v>
      </c>
      <c r="E4" s="2">
        <v>45449.34</v>
      </c>
      <c r="F4" s="2"/>
      <c r="G4" s="2">
        <v>45524.34</v>
      </c>
    </row>
    <row r="5" spans="1:7" x14ac:dyDescent="0.25">
      <c r="C5" s="2"/>
      <c r="D5" s="2"/>
      <c r="E5" s="2"/>
      <c r="F5" s="2"/>
      <c r="G5" s="2"/>
    </row>
    <row r="6" spans="1:7" x14ac:dyDescent="0.25">
      <c r="A6" t="s">
        <v>12</v>
      </c>
      <c r="B6" t="s">
        <v>11</v>
      </c>
      <c r="C6" s="2">
        <v>650</v>
      </c>
      <c r="D6" s="2">
        <v>0</v>
      </c>
      <c r="E6" s="2">
        <v>38506.129999999997</v>
      </c>
      <c r="F6" s="2"/>
      <c r="G6" s="2">
        <v>38581.129999999997</v>
      </c>
    </row>
    <row r="7" spans="1:7" x14ac:dyDescent="0.25">
      <c r="C7" s="2"/>
      <c r="D7" s="2"/>
      <c r="E7" s="2"/>
      <c r="F7" s="2"/>
      <c r="G7" s="2"/>
    </row>
    <row r="8" spans="1:7" x14ac:dyDescent="0.25">
      <c r="A8" t="s">
        <v>13</v>
      </c>
      <c r="B8" t="s">
        <v>14</v>
      </c>
      <c r="C8" s="2">
        <v>200</v>
      </c>
      <c r="D8" s="2">
        <v>0</v>
      </c>
      <c r="E8" s="2">
        <v>12318.56</v>
      </c>
      <c r="F8" s="2"/>
      <c r="G8" s="2">
        <v>12393.56</v>
      </c>
    </row>
    <row r="9" spans="1:7" x14ac:dyDescent="0.25">
      <c r="A9" t="s">
        <v>13</v>
      </c>
      <c r="B9" t="s">
        <v>14</v>
      </c>
      <c r="C9" s="2">
        <v>500</v>
      </c>
      <c r="D9" s="2">
        <v>0</v>
      </c>
      <c r="E9" s="2">
        <v>26884.880000000001</v>
      </c>
      <c r="F9" s="8">
        <f>SUM(E8:E9)</f>
        <v>39203.440000000002</v>
      </c>
      <c r="G9" s="2">
        <v>26959.88</v>
      </c>
    </row>
    <row r="10" spans="1:7" x14ac:dyDescent="0.25">
      <c r="A10" s="1"/>
      <c r="B10" s="1"/>
      <c r="C10" s="3">
        <f>SUM(C4:C9)</f>
        <v>2150</v>
      </c>
      <c r="D10" s="3">
        <f>SUM(D4:D9)</f>
        <v>0</v>
      </c>
      <c r="E10" s="3">
        <f>SUM(E4:E9)</f>
        <v>123158.91</v>
      </c>
      <c r="F10" s="3"/>
      <c r="G10" s="3">
        <f>SUM(G4:G9)</f>
        <v>123458.91</v>
      </c>
    </row>
  </sheetData>
  <mergeCells count="2">
    <mergeCell ref="A2:C2"/>
    <mergeCell ref="D2:G2"/>
  </mergeCells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4022-D5D0-4467-BC3E-327F489AF96A}">
  <sheetPr>
    <pageSetUpPr fitToPage="1"/>
  </sheetPr>
  <dimension ref="A1:N17"/>
  <sheetViews>
    <sheetView workbookViewId="0">
      <pane ySplit="3" topLeftCell="A4" activePane="bottomLeft" state="frozen"/>
      <selection pane="bottomLeft" activeCell="A4" sqref="A4:A7"/>
    </sheetView>
  </sheetViews>
  <sheetFormatPr defaultRowHeight="15" x14ac:dyDescent="0.25"/>
  <cols>
    <col min="1" max="1" width="16.42578125" style="9" bestFit="1" customWidth="1"/>
    <col min="2" max="2" width="10.7109375" style="9" bestFit="1" customWidth="1"/>
    <col min="3" max="3" width="14" style="9" bestFit="1" customWidth="1"/>
    <col min="4" max="4" width="21" style="9" bestFit="1" customWidth="1"/>
    <col min="5" max="5" width="18.7109375" style="9" bestFit="1" customWidth="1"/>
    <col min="6" max="6" width="26.7109375" style="9" bestFit="1" customWidth="1"/>
    <col min="7" max="7" width="15.140625" style="9" bestFit="1" customWidth="1"/>
    <col min="8" max="8" width="17.140625" style="9" bestFit="1" customWidth="1"/>
    <col min="9" max="9" width="22.7109375" style="9" bestFit="1" customWidth="1"/>
    <col min="10" max="10" width="18.42578125" style="9" bestFit="1" customWidth="1"/>
    <col min="11" max="11" width="16.7109375" style="9" bestFit="1" customWidth="1"/>
    <col min="12" max="12" width="12.85546875" style="9" bestFit="1" customWidth="1"/>
    <col min="13" max="13" width="16.7109375" style="9" bestFit="1" customWidth="1"/>
    <col min="14" max="16384" width="9.140625" style="9"/>
  </cols>
  <sheetData>
    <row r="1" spans="1:14" x14ac:dyDescent="0.25">
      <c r="A1" s="10"/>
      <c r="B1" s="10"/>
      <c r="C1" s="10"/>
      <c r="D1" s="10"/>
      <c r="E1" s="10"/>
      <c r="F1" s="10"/>
      <c r="G1" s="10"/>
      <c r="H1" s="10"/>
      <c r="I1" s="10"/>
      <c r="J1" s="10" t="s">
        <v>3</v>
      </c>
      <c r="K1" s="11">
        <v>45672</v>
      </c>
      <c r="L1" s="10" t="s">
        <v>2</v>
      </c>
      <c r="M1" s="11">
        <v>45672.999988425923</v>
      </c>
      <c r="N1" s="10"/>
    </row>
    <row r="2" spans="1:14" ht="45" customHeight="1" x14ac:dyDescent="0.25">
      <c r="A2" s="12" t="s">
        <v>0</v>
      </c>
      <c r="B2" s="13"/>
      <c r="C2" s="13"/>
      <c r="D2" s="13"/>
      <c r="E2" s="13"/>
      <c r="F2" s="13"/>
      <c r="G2" s="14" t="s">
        <v>46</v>
      </c>
      <c r="H2" s="13"/>
      <c r="I2" s="13"/>
      <c r="J2" s="13"/>
      <c r="K2" s="13"/>
      <c r="L2" s="13"/>
      <c r="M2" s="13"/>
      <c r="N2" s="10"/>
    </row>
    <row r="3" spans="1:14" ht="45" customHeight="1" x14ac:dyDescent="0.25">
      <c r="A3" s="10" t="s">
        <v>45</v>
      </c>
      <c r="B3" s="10" t="s">
        <v>44</v>
      </c>
      <c r="C3" s="10" t="s">
        <v>43</v>
      </c>
      <c r="D3" s="10" t="s">
        <v>42</v>
      </c>
      <c r="E3" s="10" t="s">
        <v>41</v>
      </c>
      <c r="F3" s="10" t="s">
        <v>4</v>
      </c>
      <c r="G3" s="10" t="s">
        <v>5</v>
      </c>
      <c r="H3" s="10" t="s">
        <v>40</v>
      </c>
      <c r="I3" s="10" t="s">
        <v>39</v>
      </c>
      <c r="J3" s="10" t="s">
        <v>38</v>
      </c>
      <c r="K3" s="10" t="s">
        <v>37</v>
      </c>
      <c r="L3" s="10" t="s">
        <v>36</v>
      </c>
      <c r="M3" s="10" t="s">
        <v>35</v>
      </c>
      <c r="N3" s="10"/>
    </row>
    <row r="4" spans="1:14" ht="45" customHeight="1" x14ac:dyDescent="0.25">
      <c r="A4" s="10" t="s">
        <v>34</v>
      </c>
      <c r="B4" s="10" t="s">
        <v>21</v>
      </c>
      <c r="C4" s="10" t="s">
        <v>20</v>
      </c>
      <c r="D4" s="10" t="s">
        <v>33</v>
      </c>
      <c r="E4" s="10"/>
      <c r="F4" s="10" t="s">
        <v>13</v>
      </c>
      <c r="G4" s="10" t="s">
        <v>14</v>
      </c>
      <c r="H4" s="15">
        <v>26959.88</v>
      </c>
      <c r="I4" s="10" t="s">
        <v>32</v>
      </c>
      <c r="J4" s="10"/>
      <c r="K4" s="10" t="s">
        <v>31</v>
      </c>
      <c r="L4" s="10"/>
      <c r="M4" s="10"/>
      <c r="N4" s="10"/>
    </row>
    <row r="5" spans="1:14" ht="45" customHeight="1" x14ac:dyDescent="0.25">
      <c r="A5" s="10" t="s">
        <v>30</v>
      </c>
      <c r="B5" s="10" t="s">
        <v>21</v>
      </c>
      <c r="C5" s="10" t="s">
        <v>20</v>
      </c>
      <c r="D5" s="10" t="s">
        <v>29</v>
      </c>
      <c r="E5" s="10"/>
      <c r="F5" s="10" t="s">
        <v>13</v>
      </c>
      <c r="G5" s="10" t="s">
        <v>14</v>
      </c>
      <c r="H5" s="15">
        <v>12393.56</v>
      </c>
      <c r="I5" s="10" t="s">
        <v>28</v>
      </c>
      <c r="J5" s="10"/>
      <c r="K5" s="10" t="s">
        <v>27</v>
      </c>
      <c r="L5" s="10"/>
      <c r="M5" s="10"/>
      <c r="N5" s="10"/>
    </row>
    <row r="6" spans="1:14" ht="45" customHeight="1" x14ac:dyDescent="0.25">
      <c r="A6" s="10" t="s">
        <v>26</v>
      </c>
      <c r="B6" s="10" t="s">
        <v>21</v>
      </c>
      <c r="C6" s="10" t="s">
        <v>20</v>
      </c>
      <c r="D6" s="10" t="s">
        <v>25</v>
      </c>
      <c r="E6" s="10"/>
      <c r="F6" s="10" t="s">
        <v>12</v>
      </c>
      <c r="G6" s="10" t="s">
        <v>11</v>
      </c>
      <c r="H6" s="15">
        <v>38581.129999999997</v>
      </c>
      <c r="I6" s="10" t="s">
        <v>24</v>
      </c>
      <c r="J6" s="10"/>
      <c r="K6" s="10" t="s">
        <v>23</v>
      </c>
      <c r="L6" s="10"/>
      <c r="M6" s="10"/>
      <c r="N6" s="10"/>
    </row>
    <row r="7" spans="1:14" ht="45" customHeight="1" x14ac:dyDescent="0.25">
      <c r="A7" s="10" t="s">
        <v>22</v>
      </c>
      <c r="B7" s="10" t="s">
        <v>21</v>
      </c>
      <c r="C7" s="10" t="s">
        <v>20</v>
      </c>
      <c r="D7" s="10" t="s">
        <v>19</v>
      </c>
      <c r="E7" s="10"/>
      <c r="F7" s="10" t="s">
        <v>10</v>
      </c>
      <c r="G7" s="10" t="s">
        <v>11</v>
      </c>
      <c r="H7" s="15">
        <v>45524.34</v>
      </c>
      <c r="I7" s="10" t="s">
        <v>18</v>
      </c>
      <c r="J7" s="10"/>
      <c r="K7" s="10" t="s">
        <v>17</v>
      </c>
      <c r="L7" s="10"/>
      <c r="M7" s="10"/>
      <c r="N7" s="10"/>
    </row>
    <row r="8" spans="1:14" ht="45" customHeight="1" x14ac:dyDescent="0.25">
      <c r="A8" s="16"/>
      <c r="B8" s="16"/>
      <c r="C8" s="16"/>
      <c r="D8" s="16" t="s">
        <v>16</v>
      </c>
      <c r="E8" s="16"/>
      <c r="F8" s="16"/>
      <c r="G8" s="16"/>
      <c r="H8" s="17">
        <f>SUM(H4:H7)</f>
        <v>123458.91</v>
      </c>
      <c r="I8" s="16"/>
      <c r="J8" s="16"/>
      <c r="K8" s="16"/>
      <c r="L8" s="16"/>
      <c r="M8" s="16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</sheetData>
  <mergeCells count="2">
    <mergeCell ref="A2:F2"/>
    <mergeCell ref="G2:M2"/>
  </mergeCells>
  <pageMargins left="0.7" right="0.7" top="0.75" bottom="0.75" header="0.3" footer="0.3"/>
  <pageSetup paperSize="5" scale="7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2025-01-15T19:10:22Z</cp:lastPrinted>
  <dcterms:created xsi:type="dcterms:W3CDTF">2025-01-15T19:04:17Z</dcterms:created>
  <dcterms:modified xsi:type="dcterms:W3CDTF">2025-01-15T19:24:55Z</dcterms:modified>
</cp:coreProperties>
</file>