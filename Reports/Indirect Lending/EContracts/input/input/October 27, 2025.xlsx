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6FFDA709-5473-4F8A-9692-8C83AFF847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F5" i="1"/>
  <c r="F9" i="1"/>
  <c r="F12" i="1"/>
  <c r="F19" i="1"/>
  <c r="H30" i="1"/>
  <c r="E30" i="1"/>
  <c r="D30" i="1"/>
  <c r="C30" i="1"/>
</calcChain>
</file>

<file path=xl/sharedStrings.xml><?xml version="1.0" encoding="utf-8"?>
<sst xmlns="http://schemas.openxmlformats.org/spreadsheetml/2006/main" count="211" uniqueCount="111">
  <si>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</si>
  <si>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</si>
  <si>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</si>
  <si>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</si>
  <si>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</si>
  <si>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</si>
  <si>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</si>
  <si>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</si>
  <si>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</si>
  <si>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</si>
  <si>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</si>
  <si>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Marlene Braganca</t>
  </si>
  <si>
    <t>Battles Nissan, LLC</t>
  </si>
  <si>
    <t>Neli Oliveira</t>
  </si>
  <si>
    <t>Bourne Enterprises Inc</t>
  </si>
  <si>
    <t>Rachel Gorham</t>
  </si>
  <si>
    <t>New England Automax Inc (marlborough)</t>
  </si>
  <si>
    <t>Patriot Auto Group Inc d/b/a</t>
  </si>
  <si>
    <t>Paul Masse Buick GMC South, Inc</t>
  </si>
  <si>
    <t>Priority Automotive LLC</t>
  </si>
  <si>
    <t>RAH FALL RIVER VW, LLC</t>
  </si>
  <si>
    <t>T F Murphy Enterprises Inc</t>
  </si>
  <si>
    <t>Tasca Automotive Group Rt 6 One Inc</t>
  </si>
  <si>
    <t>Wareham Ford</t>
  </si>
  <si>
    <t>Column1</t>
  </si>
  <si>
    <t>Column2</t>
  </si>
  <si>
    <t># 16</t>
  </si>
  <si>
    <t>SPROWL</t>
  </si>
  <si>
    <t>KLCHAPLIN@COMCAST.NET</t>
  </si>
  <si>
    <t>CHAMBERLAIN, KIM</t>
  </si>
  <si>
    <t>Paper</t>
  </si>
  <si>
    <t>DealerTrack</t>
  </si>
  <si>
    <t>151240430</t>
  </si>
  <si>
    <t>BARRY</t>
  </si>
  <si>
    <t>JMACKINN@YAHOO.COM</t>
  </si>
  <si>
    <t>MACKINNON, JOSEPH</t>
  </si>
  <si>
    <t>E Contract</t>
  </si>
  <si>
    <t>Route One</t>
  </si>
  <si>
    <t>151240422E</t>
  </si>
  <si>
    <t>REBELLO</t>
  </si>
  <si>
    <t>ASHMACHADO90@GMAIL.COM</t>
  </si>
  <si>
    <t>MACHADO, ASHLEY</t>
  </si>
  <si>
    <t>151240414</t>
  </si>
  <si>
    <t>LIMON</t>
  </si>
  <si>
    <t>L.CLARK4@VERIZON.NET</t>
  </si>
  <si>
    <t>CLARK, LOUIS</t>
  </si>
  <si>
    <t>151240357E</t>
  </si>
  <si>
    <t>SARACONNOLLY019@GMAIL.COM</t>
  </si>
  <si>
    <t>CONNOLLY, ROBERT</t>
  </si>
  <si>
    <t>151240315E</t>
  </si>
  <si>
    <t>SAVICKI</t>
  </si>
  <si>
    <t>eperreault999@gmail.com</t>
  </si>
  <si>
    <t>PERREAULT, ELIZABETH</t>
  </si>
  <si>
    <t>151240307E</t>
  </si>
  <si>
    <t>Allen</t>
  </si>
  <si>
    <t>KOCONSTRUCTIONLLC@AOL.COM</t>
  </si>
  <si>
    <t>OUELLETTE, KARL ALLEN</t>
  </si>
  <si>
    <t>K.O. CONSTRUCTION INC</t>
  </si>
  <si>
    <t>151240282E</t>
  </si>
  <si>
    <t>Paquet</t>
  </si>
  <si>
    <t>SHOPWITHCYNTHIA1@YAHOO.COM</t>
  </si>
  <si>
    <t>HORTON, GREGG</t>
  </si>
  <si>
    <t>151240274E</t>
  </si>
  <si>
    <t>Lochiatto</t>
  </si>
  <si>
    <t>SHANECARNEY@OUTLOOK.COM</t>
  </si>
  <si>
    <t>CARNEY, SHANE</t>
  </si>
  <si>
    <t>151240232E</t>
  </si>
  <si>
    <t>CARLOS</t>
  </si>
  <si>
    <t>KEITH.CMORRISON@GMAIL.COM</t>
  </si>
  <si>
    <t>MORRISON, KEITH</t>
  </si>
  <si>
    <t>151240224E</t>
  </si>
  <si>
    <t>WHITING</t>
  </si>
  <si>
    <t>ALEDWELL518@YAHOO.COM</t>
  </si>
  <si>
    <t>LEDWELL, ALEX</t>
  </si>
  <si>
    <t>151240216E</t>
  </si>
  <si>
    <t>Hall</t>
  </si>
  <si>
    <t>tarafranklin@hotmail.com</t>
  </si>
  <si>
    <t>FRANKLIN, TARA</t>
  </si>
  <si>
    <t>151240183E</t>
  </si>
  <si>
    <t>McNamara</t>
  </si>
  <si>
    <t>sjstella12@gmail.com</t>
  </si>
  <si>
    <t>STELLA, SARAH</t>
  </si>
  <si>
    <t>151240175E</t>
  </si>
  <si>
    <t>Auclair</t>
  </si>
  <si>
    <t>DPRZYSTAS1014@GMAIL.COM</t>
  </si>
  <si>
    <t>PRZYSTAS, ANDREW</t>
  </si>
  <si>
    <t>151240167E</t>
  </si>
  <si>
    <t>Gores</t>
  </si>
  <si>
    <t>overseas65@gmail.com</t>
  </si>
  <si>
    <t>ALVES, ILDEBERTO</t>
  </si>
  <si>
    <t>151240159E</t>
  </si>
  <si>
    <t>Harding</t>
  </si>
  <si>
    <t>dennissr@falmersinc.com</t>
  </si>
  <si>
    <t>FOWLER, DENNIS</t>
  </si>
  <si>
    <t>151240141E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</si>
  <si>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</si>
  <si>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</si>
  <si>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</si>
  <si>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</si>
  <si>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</si>
  <si>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</si>
  <si>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</si>
  <si>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</si>
  <si>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</si>
  <si>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</si>
  <si>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</si>
  <si>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</t>
  </si>
  <si>
    <t>Received By____________________________________________________________________________</t>
  </si>
  <si>
    <t>Delivered By____________________________________________________________________________</t>
  </si>
  <si>
    <t># 2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</si>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</sst>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4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2" fillId="2" borderId="0" xfId="2"/>
    <xf numFmtId="0" fontId="2" fillId="0" borderId="0" xfId="2" applyFill="1"/>
    <xf numFmtId="164" fontId="2" fillId="0" borderId="0" xfId="2" applyNumberFormat="1" applyFill="1" applyAlignment="1">
      <alignment horizontal="right"/>
    </xf>
    <xf numFmtId="0" fontId="1" fillId="0" borderId="0" xfId="2" applyFont="1" applyFill="1" applyAlignment="1">
      <alignment horizontal="left"/>
    </xf>
    <xf numFmtId="0" fontId="2" fillId="0" borderId="0" xfId="2" applyFill="1"/>
    <xf numFmtId="0" fontId="1" fillId="0" borderId="0" xfId="2" applyFont="1" applyFill="1" applyAlignment="1">
      <alignment horizontal="right"/>
    </xf>
    <xf numFmtId="0" fontId="1" fillId="0" borderId="0" xfId="2" applyFont="1" applyFill="1"/>
  </cellXfs>
  <cellStyles count="3">
    <cellStyle name="Normal" xfId="0" builtinId="0"/>
    <cellStyle name="Normal 2" xfId="1" xr:uid="{146911C2-0245-49FE-B723-7FB971AAFECC}"/>
    <cellStyle name="Normal 3" xfId="2" xr:uid="{B55002A8-7DA8-4B4A-B326-41DE46E2914C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0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A852FC18-9C79-4B43-B0E1-F34C582CE748}" name="Column1" dataDxfId="23"/>
    <tableColumn id="8" xr3:uid="{7B7A829D-FF65-4CCA-8125-ECE7ACFE4E23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ABA5D8-E475-46AF-B429-9073B4A8E495}" name="Table_13" displayName="Table_13" ref="A3:L20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E9B738-B953-4831-A8B8-EB15E4E50323}" name="Table_14" displayName="Table_14" ref="A3:E6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workbookViewId="0">
      <pane ySplit="3" topLeftCell="A4" activePane="bottomLeft" state="frozen"/>
      <selection pane="bottomLeft" activeCell="E29" sqref="E29"/>
    </sheetView>
  </sheetViews>
  <sheetFormatPr defaultRowHeight="15" x14ac:dyDescent="0.25"/>
  <cols>
    <col min="1" max="1" width="39" bestFit="1" customWidth="1"/>
    <col min="2" max="2" width="17.7109375" bestFit="1" customWidth="1"/>
    <col min="3" max="3" width="11.140625" bestFit="1" customWidth="1"/>
    <col min="4" max="4" width="17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45957</v>
      </c>
      <c r="E1" t="s">
        <v>2</v>
      </c>
      <c r="H1" s="4">
        <v>45957.999988425923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24</v>
      </c>
      <c r="G3" t="s">
        <v>25</v>
      </c>
      <c r="H3" t="s">
        <v>9</v>
      </c>
    </row>
    <row r="4" spans="1:8" x14ac:dyDescent="0.25">
      <c r="A4" t="s">
        <v>10</v>
      </c>
      <c r="B4" t="s">
        <v>11</v>
      </c>
      <c r="C4" s="2">
        <v>750</v>
      </c>
      <c r="D4" s="2">
        <v>0</v>
      </c>
      <c r="E4" s="2">
        <v>28873.94</v>
      </c>
      <c r="F4" s="2"/>
      <c r="G4" s="2"/>
      <c r="H4" s="2">
        <v>28948.94</v>
      </c>
    </row>
    <row r="5" spans="1:8" x14ac:dyDescent="0.25">
      <c r="A5" t="s">
        <v>10</v>
      </c>
      <c r="B5" t="s">
        <v>11</v>
      </c>
      <c r="C5" s="2">
        <v>1050</v>
      </c>
      <c r="D5" s="2">
        <v>0</v>
      </c>
      <c r="E5" s="2">
        <v>40213.69</v>
      </c>
      <c r="F5" s="2">
        <f>SUM(E4:E5)</f>
        <v>69087.63</v>
      </c>
      <c r="G5" s="2"/>
      <c r="H5" s="2">
        <v>40288.69</v>
      </c>
    </row>
    <row r="6" spans="1:8" x14ac:dyDescent="0.25">
      <c r="C6" s="2"/>
      <c r="D6" s="2"/>
      <c r="E6" s="2"/>
      <c r="F6" s="2"/>
      <c r="G6" s="2"/>
      <c r="H6" s="2"/>
    </row>
    <row r="7" spans="1:8" x14ac:dyDescent="0.25">
      <c r="A7" t="s">
        <v>12</v>
      </c>
      <c r="B7" t="s">
        <v>11</v>
      </c>
      <c r="C7" s="2">
        <v>650</v>
      </c>
      <c r="D7" s="2">
        <v>0</v>
      </c>
      <c r="E7" s="2">
        <v>22339.23</v>
      </c>
      <c r="F7" s="2"/>
      <c r="G7" s="2"/>
      <c r="H7" s="2">
        <v>22414.23</v>
      </c>
    </row>
    <row r="8" spans="1:8" x14ac:dyDescent="0.25">
      <c r="A8" t="s">
        <v>12</v>
      </c>
      <c r="B8" t="s">
        <v>11</v>
      </c>
      <c r="C8" s="2">
        <v>750</v>
      </c>
      <c r="D8" s="2">
        <v>0</v>
      </c>
      <c r="E8" s="2">
        <v>27738.63</v>
      </c>
      <c r="F8" s="2"/>
      <c r="G8" s="2"/>
      <c r="H8" s="2">
        <v>27813.63</v>
      </c>
    </row>
    <row r="9" spans="1:8" x14ac:dyDescent="0.25">
      <c r="A9" t="s">
        <v>12</v>
      </c>
      <c r="B9" t="s">
        <v>13</v>
      </c>
      <c r="C9" s="2">
        <v>850</v>
      </c>
      <c r="D9" s="2">
        <v>0</v>
      </c>
      <c r="E9" s="2">
        <v>30159.37</v>
      </c>
      <c r="F9" s="2">
        <f>SUM(E7:E9)</f>
        <v>80237.23</v>
      </c>
      <c r="G9" s="2"/>
      <c r="H9" s="2">
        <v>30234.37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14</v>
      </c>
      <c r="B11" t="s">
        <v>11</v>
      </c>
      <c r="C11" s="2">
        <v>1150</v>
      </c>
      <c r="D11" s="2">
        <v>0</v>
      </c>
      <c r="E11" s="2">
        <v>48979.68</v>
      </c>
      <c r="F11" s="2"/>
      <c r="G11" s="2"/>
      <c r="H11" s="2">
        <v>49054.68</v>
      </c>
    </row>
    <row r="12" spans="1:8" x14ac:dyDescent="0.25">
      <c r="A12" t="s">
        <v>14</v>
      </c>
      <c r="B12" t="s">
        <v>15</v>
      </c>
      <c r="C12" s="2">
        <v>650</v>
      </c>
      <c r="D12" s="2">
        <v>0</v>
      </c>
      <c r="E12" s="2">
        <v>20430.080000000002</v>
      </c>
      <c r="F12" s="2">
        <f>SUM(E11:E12)</f>
        <v>69409.760000000009</v>
      </c>
      <c r="G12" s="2"/>
      <c r="H12" s="2">
        <v>20505.080000000002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16</v>
      </c>
      <c r="B14" t="s">
        <v>11</v>
      </c>
      <c r="C14" s="2">
        <v>750</v>
      </c>
      <c r="D14" s="2">
        <v>0</v>
      </c>
      <c r="E14" s="2">
        <v>28050.94</v>
      </c>
      <c r="F14" s="2"/>
      <c r="G14" s="2"/>
      <c r="H14" s="2">
        <v>28125.94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17</v>
      </c>
      <c r="B16" t="s">
        <v>15</v>
      </c>
      <c r="C16" s="2">
        <v>850</v>
      </c>
      <c r="D16" s="2">
        <v>0</v>
      </c>
      <c r="E16" s="2">
        <v>32870.019999999997</v>
      </c>
      <c r="F16" s="2"/>
      <c r="G16" s="2"/>
      <c r="H16" s="2">
        <v>32945.019999999997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18</v>
      </c>
      <c r="B18" t="s">
        <v>11</v>
      </c>
      <c r="C18" s="2">
        <v>1350</v>
      </c>
      <c r="D18" s="2">
        <v>0</v>
      </c>
      <c r="E18" s="2">
        <v>59187.58</v>
      </c>
      <c r="F18" s="2"/>
      <c r="G18" s="2"/>
      <c r="H18" s="2">
        <v>59262.58</v>
      </c>
    </row>
    <row r="19" spans="1:8" x14ac:dyDescent="0.25">
      <c r="A19" t="s">
        <v>18</v>
      </c>
      <c r="B19" t="s">
        <v>11</v>
      </c>
      <c r="C19" s="2">
        <v>1500</v>
      </c>
      <c r="D19" s="2">
        <v>0</v>
      </c>
      <c r="E19" s="2">
        <v>81744.44</v>
      </c>
      <c r="F19" s="2">
        <f>SUM(E18:E19)</f>
        <v>140932.02000000002</v>
      </c>
      <c r="G19" s="2"/>
      <c r="H19" s="2">
        <v>81819.44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19</v>
      </c>
      <c r="B21" t="s">
        <v>13</v>
      </c>
      <c r="C21" s="2">
        <v>850</v>
      </c>
      <c r="D21" s="2">
        <v>0</v>
      </c>
      <c r="E21" s="2">
        <v>34798.5</v>
      </c>
      <c r="F21" s="2"/>
      <c r="G21" s="2"/>
      <c r="H21" s="2">
        <v>34873.5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20</v>
      </c>
      <c r="B23" t="s">
        <v>15</v>
      </c>
      <c r="C23" s="2">
        <v>950</v>
      </c>
      <c r="D23" s="2">
        <v>0</v>
      </c>
      <c r="E23" s="2">
        <v>35436.69</v>
      </c>
      <c r="F23" s="2"/>
      <c r="G23" s="2"/>
      <c r="H23" s="2">
        <v>35511.69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21</v>
      </c>
      <c r="B25" t="s">
        <v>11</v>
      </c>
      <c r="C25" s="2">
        <v>650</v>
      </c>
      <c r="D25" s="2">
        <v>0</v>
      </c>
      <c r="E25" s="2">
        <v>21463.13</v>
      </c>
      <c r="F25" s="2"/>
      <c r="G25" s="2"/>
      <c r="H25" s="2">
        <v>21538.13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22</v>
      </c>
      <c r="B27" t="s">
        <v>13</v>
      </c>
      <c r="C27" s="2">
        <v>850</v>
      </c>
      <c r="D27" s="2">
        <v>0</v>
      </c>
      <c r="E27" s="2">
        <v>33985.67</v>
      </c>
      <c r="F27" s="2"/>
      <c r="G27" s="2"/>
      <c r="H27" s="2">
        <v>34060.67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23</v>
      </c>
      <c r="B29" t="s">
        <v>11</v>
      </c>
      <c r="C29" s="2">
        <v>750</v>
      </c>
      <c r="D29" s="2">
        <v>0</v>
      </c>
      <c r="E29" s="2">
        <v>27749.8</v>
      </c>
      <c r="F29" s="2"/>
      <c r="G29" s="2"/>
      <c r="H29" s="2">
        <v>27824.799999999999</v>
      </c>
    </row>
    <row r="30" spans="1:8" x14ac:dyDescent="0.25">
      <c r="A30" s="1"/>
      <c r="B30" s="1"/>
      <c r="C30" s="3">
        <f>SUM(C4:C29)</f>
        <v>14350</v>
      </c>
      <c r="D30" s="3">
        <f>SUM(D4:D29)</f>
        <v>0</v>
      </c>
      <c r="E30" s="3">
        <f>SUM(E4:E29)</f>
        <v>574021.39000000013</v>
      </c>
      <c r="F30" s="3"/>
      <c r="G30" s="3"/>
      <c r="H30" s="3">
        <f>SUM(H4:H29)</f>
        <v>575221.39000000013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87EC-9D4A-47C1-A68E-94FC58E0E0DF}">
  <sheetPr>
    <pageSetUpPr fitToPage="1"/>
  </sheetPr>
  <dimension ref="A1:M26"/>
  <sheetViews>
    <sheetView workbookViewId="0">
      <pane ySplit="3" topLeftCell="A10" activePane="bottomLeft" state="frozen"/>
      <selection pane="bottomLeft" activeCell="A4" sqref="A4:A19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3.85546875" style="8" bestFit="1" customWidth="1"/>
    <col min="5" max="5" width="18.7109375" style="8" bestFit="1" customWidth="1"/>
    <col min="6" max="6" width="39" style="8" bestFit="1" customWidth="1"/>
    <col min="7" max="7" width="17.7109375" style="8" bestFit="1" customWidth="1"/>
    <col min="8" max="8" width="17.140625" style="8" bestFit="1" customWidth="1"/>
    <col min="9" max="9" width="33.5703125" style="8" bestFit="1" customWidth="1"/>
    <col min="10" max="10" width="18.42578125" style="8" bestFit="1" customWidth="1"/>
    <col min="11" max="11" width="17.14062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45957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105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104</v>
      </c>
      <c r="B3" s="9" t="s">
        <v>103</v>
      </c>
      <c r="C3" s="9" t="s">
        <v>102</v>
      </c>
      <c r="D3" s="9" t="s">
        <v>101</v>
      </c>
      <c r="E3" s="9" t="s">
        <v>100</v>
      </c>
      <c r="F3" s="9" t="s">
        <v>4</v>
      </c>
      <c r="G3" s="9" t="s">
        <v>5</v>
      </c>
      <c r="H3" s="9" t="s">
        <v>99</v>
      </c>
      <c r="I3" s="9" t="s">
        <v>98</v>
      </c>
      <c r="J3" s="9" t="s">
        <v>97</v>
      </c>
      <c r="K3" s="9" t="s">
        <v>96</v>
      </c>
      <c r="L3" s="9" t="s">
        <v>95</v>
      </c>
      <c r="M3" s="9"/>
    </row>
    <row r="4" spans="1:13" ht="35.1" customHeight="1" x14ac:dyDescent="0.25">
      <c r="A4" s="9" t="s">
        <v>94</v>
      </c>
      <c r="B4" s="9" t="s">
        <v>37</v>
      </c>
      <c r="C4" s="9" t="s">
        <v>36</v>
      </c>
      <c r="D4" s="9" t="s">
        <v>93</v>
      </c>
      <c r="E4" s="9"/>
      <c r="F4" s="9" t="s">
        <v>10</v>
      </c>
      <c r="G4" s="9" t="s">
        <v>11</v>
      </c>
      <c r="H4" s="14">
        <v>28948.94</v>
      </c>
      <c r="I4" s="9" t="s">
        <v>92</v>
      </c>
      <c r="J4" s="9"/>
      <c r="K4" s="9" t="s">
        <v>91</v>
      </c>
      <c r="L4" s="9"/>
      <c r="M4" s="9"/>
    </row>
    <row r="5" spans="1:13" ht="35.1" customHeight="1" x14ac:dyDescent="0.25">
      <c r="A5" s="9" t="s">
        <v>90</v>
      </c>
      <c r="B5" s="9" t="s">
        <v>37</v>
      </c>
      <c r="C5" s="9" t="s">
        <v>36</v>
      </c>
      <c r="D5" s="9" t="s">
        <v>89</v>
      </c>
      <c r="E5" s="9"/>
      <c r="F5" s="9" t="s">
        <v>10</v>
      </c>
      <c r="G5" s="9" t="s">
        <v>11</v>
      </c>
      <c r="H5" s="14">
        <v>40288.69</v>
      </c>
      <c r="I5" s="9" t="s">
        <v>88</v>
      </c>
      <c r="J5" s="9"/>
      <c r="K5" s="9" t="s">
        <v>87</v>
      </c>
      <c r="L5" s="9"/>
      <c r="M5" s="9"/>
    </row>
    <row r="6" spans="1:13" ht="35.1" customHeight="1" x14ac:dyDescent="0.25">
      <c r="A6" s="9" t="s">
        <v>86</v>
      </c>
      <c r="B6" s="9" t="s">
        <v>37</v>
      </c>
      <c r="C6" s="9" t="s">
        <v>36</v>
      </c>
      <c r="D6" s="9" t="s">
        <v>85</v>
      </c>
      <c r="E6" s="9"/>
      <c r="F6" s="9" t="s">
        <v>18</v>
      </c>
      <c r="G6" s="9" t="s">
        <v>11</v>
      </c>
      <c r="H6" s="14">
        <v>81819.44</v>
      </c>
      <c r="I6" s="9" t="s">
        <v>84</v>
      </c>
      <c r="J6" s="9"/>
      <c r="K6" s="9" t="s">
        <v>83</v>
      </c>
      <c r="L6" s="9"/>
      <c r="M6" s="9"/>
    </row>
    <row r="7" spans="1:13" ht="35.1" customHeight="1" x14ac:dyDescent="0.25">
      <c r="A7" s="9" t="s">
        <v>82</v>
      </c>
      <c r="B7" s="9" t="s">
        <v>37</v>
      </c>
      <c r="C7" s="9" t="s">
        <v>36</v>
      </c>
      <c r="D7" s="9" t="s">
        <v>81</v>
      </c>
      <c r="E7" s="9"/>
      <c r="F7" s="9" t="s">
        <v>21</v>
      </c>
      <c r="G7" s="9" t="s">
        <v>11</v>
      </c>
      <c r="H7" s="14">
        <v>21538.13</v>
      </c>
      <c r="I7" s="9" t="s">
        <v>80</v>
      </c>
      <c r="J7" s="9"/>
      <c r="K7" s="9" t="s">
        <v>79</v>
      </c>
      <c r="L7" s="9"/>
      <c r="M7" s="9"/>
    </row>
    <row r="8" spans="1:13" ht="35.1" customHeight="1" x14ac:dyDescent="0.25">
      <c r="A8" s="9" t="s">
        <v>78</v>
      </c>
      <c r="B8" s="9" t="s">
        <v>37</v>
      </c>
      <c r="C8" s="9" t="s">
        <v>36</v>
      </c>
      <c r="D8" s="9" t="s">
        <v>77</v>
      </c>
      <c r="E8" s="9"/>
      <c r="F8" s="9" t="s">
        <v>23</v>
      </c>
      <c r="G8" s="9" t="s">
        <v>11</v>
      </c>
      <c r="H8" s="14">
        <v>27824.799999999999</v>
      </c>
      <c r="I8" s="9" t="s">
        <v>76</v>
      </c>
      <c r="J8" s="9"/>
      <c r="K8" s="9" t="s">
        <v>75</v>
      </c>
      <c r="L8" s="9"/>
      <c r="M8" s="9"/>
    </row>
    <row r="9" spans="1:13" ht="35.1" customHeight="1" x14ac:dyDescent="0.25">
      <c r="A9" s="9" t="s">
        <v>74</v>
      </c>
      <c r="B9" s="9" t="s">
        <v>31</v>
      </c>
      <c r="C9" s="9" t="s">
        <v>36</v>
      </c>
      <c r="D9" s="9" t="s">
        <v>73</v>
      </c>
      <c r="E9" s="9"/>
      <c r="F9" s="9" t="s">
        <v>12</v>
      </c>
      <c r="G9" s="9" t="s">
        <v>11</v>
      </c>
      <c r="H9" s="14">
        <v>27813.63</v>
      </c>
      <c r="I9" s="9" t="s">
        <v>72</v>
      </c>
      <c r="J9" s="9"/>
      <c r="K9" s="9" t="s">
        <v>71</v>
      </c>
      <c r="L9" s="9"/>
      <c r="M9" s="9"/>
    </row>
    <row r="10" spans="1:13" ht="35.1" customHeight="1" x14ac:dyDescent="0.25">
      <c r="A10" s="9" t="s">
        <v>70</v>
      </c>
      <c r="B10" s="9" t="s">
        <v>37</v>
      </c>
      <c r="C10" s="9" t="s">
        <v>36</v>
      </c>
      <c r="D10" s="9" t="s">
        <v>69</v>
      </c>
      <c r="E10" s="9"/>
      <c r="F10" s="9" t="s">
        <v>18</v>
      </c>
      <c r="G10" s="9" t="s">
        <v>11</v>
      </c>
      <c r="H10" s="14">
        <v>59262.58</v>
      </c>
      <c r="I10" s="9" t="s">
        <v>68</v>
      </c>
      <c r="J10" s="9"/>
      <c r="K10" s="9" t="s">
        <v>67</v>
      </c>
      <c r="L10" s="9"/>
      <c r="M10" s="9"/>
    </row>
    <row r="11" spans="1:13" ht="35.1" customHeight="1" x14ac:dyDescent="0.25">
      <c r="A11" s="9" t="s">
        <v>66</v>
      </c>
      <c r="B11" s="9" t="s">
        <v>31</v>
      </c>
      <c r="C11" s="9" t="s">
        <v>36</v>
      </c>
      <c r="D11" s="9" t="s">
        <v>65</v>
      </c>
      <c r="E11" s="9"/>
      <c r="F11" s="9" t="s">
        <v>12</v>
      </c>
      <c r="G11" s="9" t="s">
        <v>11</v>
      </c>
      <c r="H11" s="14">
        <v>22414.23</v>
      </c>
      <c r="I11" s="9" t="s">
        <v>64</v>
      </c>
      <c r="J11" s="9"/>
      <c r="K11" s="9" t="s">
        <v>63</v>
      </c>
      <c r="L11" s="9"/>
      <c r="M11" s="9"/>
    </row>
    <row r="12" spans="1:13" ht="35.1" customHeight="1" x14ac:dyDescent="0.25">
      <c r="A12" s="9" t="s">
        <v>62</v>
      </c>
      <c r="B12" s="9" t="s">
        <v>31</v>
      </c>
      <c r="C12" s="9" t="s">
        <v>36</v>
      </c>
      <c r="D12" s="9" t="s">
        <v>61</v>
      </c>
      <c r="E12" s="9"/>
      <c r="F12" s="9" t="s">
        <v>14</v>
      </c>
      <c r="G12" s="9" t="s">
        <v>11</v>
      </c>
      <c r="H12" s="14">
        <v>49054.68</v>
      </c>
      <c r="I12" s="9" t="s">
        <v>60</v>
      </c>
      <c r="J12" s="9"/>
      <c r="K12" s="9" t="s">
        <v>59</v>
      </c>
      <c r="L12" s="9"/>
      <c r="M12" s="9"/>
    </row>
    <row r="13" spans="1:13" ht="35.1" customHeight="1" x14ac:dyDescent="0.25">
      <c r="A13" s="9" t="s">
        <v>58</v>
      </c>
      <c r="B13" s="9" t="s">
        <v>31</v>
      </c>
      <c r="C13" s="9" t="s">
        <v>36</v>
      </c>
      <c r="D13" s="9" t="s">
        <v>57</v>
      </c>
      <c r="E13" s="9" t="s">
        <v>56</v>
      </c>
      <c r="F13" s="9" t="s">
        <v>16</v>
      </c>
      <c r="G13" s="9" t="s">
        <v>11</v>
      </c>
      <c r="H13" s="14">
        <v>28125.94</v>
      </c>
      <c r="I13" s="9" t="s">
        <v>55</v>
      </c>
      <c r="J13" s="9"/>
      <c r="K13" s="9" t="s">
        <v>54</v>
      </c>
      <c r="L13" s="9"/>
      <c r="M13" s="9"/>
    </row>
    <row r="14" spans="1:13" ht="35.1" customHeight="1" x14ac:dyDescent="0.25">
      <c r="A14" s="9" t="s">
        <v>53</v>
      </c>
      <c r="B14" s="9" t="s">
        <v>37</v>
      </c>
      <c r="C14" s="9" t="s">
        <v>36</v>
      </c>
      <c r="D14" s="9" t="s">
        <v>52</v>
      </c>
      <c r="E14" s="9"/>
      <c r="F14" s="9" t="s">
        <v>22</v>
      </c>
      <c r="G14" s="9" t="s">
        <v>13</v>
      </c>
      <c r="H14" s="14">
        <v>34060.67</v>
      </c>
      <c r="I14" s="9" t="s">
        <v>51</v>
      </c>
      <c r="J14" s="9"/>
      <c r="K14" s="9" t="s">
        <v>50</v>
      </c>
      <c r="L14" s="9"/>
      <c r="M14" s="9"/>
    </row>
    <row r="15" spans="1:13" ht="35.1" customHeight="1" x14ac:dyDescent="0.25">
      <c r="A15" s="9" t="s">
        <v>49</v>
      </c>
      <c r="B15" s="9" t="s">
        <v>31</v>
      </c>
      <c r="C15" s="9" t="s">
        <v>36</v>
      </c>
      <c r="D15" s="9" t="s">
        <v>48</v>
      </c>
      <c r="E15" s="9"/>
      <c r="F15" s="9" t="s">
        <v>19</v>
      </c>
      <c r="G15" s="9" t="s">
        <v>13</v>
      </c>
      <c r="H15" s="14">
        <v>34873.5</v>
      </c>
      <c r="I15" s="9" t="s">
        <v>47</v>
      </c>
      <c r="J15" s="9"/>
      <c r="K15" s="9" t="s">
        <v>33</v>
      </c>
      <c r="L15" s="9"/>
      <c r="M15" s="9"/>
    </row>
    <row r="16" spans="1:13" ht="35.1" customHeight="1" x14ac:dyDescent="0.25">
      <c r="A16" s="9" t="s">
        <v>46</v>
      </c>
      <c r="B16" s="9" t="s">
        <v>31</v>
      </c>
      <c r="C16" s="9" t="s">
        <v>36</v>
      </c>
      <c r="D16" s="9" t="s">
        <v>45</v>
      </c>
      <c r="E16" s="9"/>
      <c r="F16" s="9" t="s">
        <v>12</v>
      </c>
      <c r="G16" s="9" t="s">
        <v>13</v>
      </c>
      <c r="H16" s="14">
        <v>30234.37</v>
      </c>
      <c r="I16" s="9" t="s">
        <v>44</v>
      </c>
      <c r="J16" s="9"/>
      <c r="K16" s="9" t="s">
        <v>43</v>
      </c>
      <c r="L16" s="9"/>
      <c r="M16" s="9"/>
    </row>
    <row r="17" spans="1:13" ht="35.1" customHeight="1" x14ac:dyDescent="0.25">
      <c r="A17" s="9" t="s">
        <v>42</v>
      </c>
      <c r="B17" s="9" t="s">
        <v>31</v>
      </c>
      <c r="C17" s="9" t="s">
        <v>30</v>
      </c>
      <c r="D17" s="9" t="s">
        <v>41</v>
      </c>
      <c r="E17" s="9"/>
      <c r="F17" s="9" t="s">
        <v>20</v>
      </c>
      <c r="G17" s="9" t="s">
        <v>15</v>
      </c>
      <c r="H17" s="14">
        <v>35511.69</v>
      </c>
      <c r="I17" s="9" t="s">
        <v>40</v>
      </c>
      <c r="J17" s="9"/>
      <c r="K17" s="9" t="s">
        <v>39</v>
      </c>
      <c r="L17" s="9"/>
      <c r="M17" s="9"/>
    </row>
    <row r="18" spans="1:13" ht="35.1" customHeight="1" x14ac:dyDescent="0.25">
      <c r="A18" s="9" t="s">
        <v>38</v>
      </c>
      <c r="B18" s="9" t="s">
        <v>37</v>
      </c>
      <c r="C18" s="9" t="s">
        <v>36</v>
      </c>
      <c r="D18" s="9" t="s">
        <v>35</v>
      </c>
      <c r="E18" s="9"/>
      <c r="F18" s="9" t="s">
        <v>17</v>
      </c>
      <c r="G18" s="9" t="s">
        <v>15</v>
      </c>
      <c r="H18" s="14">
        <v>32945.019999999997</v>
      </c>
      <c r="I18" s="9" t="s">
        <v>34</v>
      </c>
      <c r="J18" s="9"/>
      <c r="K18" s="9" t="s">
        <v>33</v>
      </c>
      <c r="L18" s="9"/>
      <c r="M18" s="9"/>
    </row>
    <row r="19" spans="1:13" ht="35.1" customHeight="1" x14ac:dyDescent="0.25">
      <c r="A19" s="9" t="s">
        <v>32</v>
      </c>
      <c r="B19" s="9" t="s">
        <v>31</v>
      </c>
      <c r="C19" s="9" t="s">
        <v>30</v>
      </c>
      <c r="D19" s="9" t="s">
        <v>29</v>
      </c>
      <c r="E19" s="9"/>
      <c r="F19" s="9" t="s">
        <v>14</v>
      </c>
      <c r="G19" s="9" t="s">
        <v>15</v>
      </c>
      <c r="H19" s="14">
        <v>20505.080000000002</v>
      </c>
      <c r="I19" s="9" t="s">
        <v>28</v>
      </c>
      <c r="J19" s="9"/>
      <c r="K19" s="9" t="s">
        <v>27</v>
      </c>
      <c r="L19" s="9"/>
      <c r="M19" s="9"/>
    </row>
    <row r="20" spans="1:13" ht="35.1" customHeight="1" x14ac:dyDescent="0.25">
      <c r="A20" s="15"/>
      <c r="B20" s="15"/>
      <c r="C20" s="15"/>
      <c r="D20" s="15" t="s">
        <v>26</v>
      </c>
      <c r="E20" s="15"/>
      <c r="F20" s="15"/>
      <c r="G20" s="15"/>
      <c r="H20" s="16">
        <f>SUM(H4:H19)</f>
        <v>575221.3899999999</v>
      </c>
      <c r="I20" s="15"/>
      <c r="J20" s="15"/>
      <c r="K20" s="15"/>
      <c r="L20" s="15"/>
      <c r="M20" s="9"/>
    </row>
    <row r="21" spans="1:13" ht="35.1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</sheetData>
  <mergeCells count="2">
    <mergeCell ref="A2:F2"/>
    <mergeCell ref="G2:L2"/>
  </mergeCells>
  <pageMargins left="0.7" right="0.7" top="0.75" bottom="0.75" header="0.3" footer="0.3"/>
  <pageSetup paperSize="5" scale="6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0BA0-E41D-4B9D-A7DC-7879032D6E98}">
  <sheetPr>
    <pageSetUpPr fitToPage="1"/>
  </sheetPr>
  <dimension ref="A1:E24"/>
  <sheetViews>
    <sheetView workbookViewId="0">
      <pane ySplit="3" topLeftCell="A4" activePane="bottomLeft" state="frozen"/>
      <selection pane="bottomLeft" activeCell="G19" sqref="G19"/>
    </sheetView>
  </sheetViews>
  <sheetFormatPr defaultRowHeight="15" x14ac:dyDescent="0.25"/>
  <cols>
    <col min="1" max="1" width="16.42578125" style="17" bestFit="1" customWidth="1"/>
    <col min="2" max="2" width="14" style="17" bestFit="1" customWidth="1"/>
    <col min="3" max="3" width="23.85546875" style="17" bestFit="1" customWidth="1"/>
    <col min="4" max="4" width="18.7109375" style="17" bestFit="1" customWidth="1"/>
    <col min="5" max="5" width="39" style="17" bestFit="1" customWidth="1"/>
    <col min="6" max="16384" width="9.140625" style="17"/>
  </cols>
  <sheetData>
    <row r="1" spans="1:5" x14ac:dyDescent="0.25">
      <c r="A1" s="18"/>
      <c r="B1" s="18"/>
      <c r="C1" s="18" t="s">
        <v>3</v>
      </c>
      <c r="D1" s="19">
        <v>45957</v>
      </c>
      <c r="E1" s="18" t="s">
        <v>2</v>
      </c>
    </row>
    <row r="2" spans="1:5" x14ac:dyDescent="0.25">
      <c r="A2" s="20" t="s">
        <v>0</v>
      </c>
      <c r="B2" s="21"/>
      <c r="C2" s="21"/>
      <c r="D2" s="22" t="s">
        <v>110</v>
      </c>
      <c r="E2" s="21"/>
    </row>
    <row r="3" spans="1:5" x14ac:dyDescent="0.25">
      <c r="A3" s="18" t="s">
        <v>104</v>
      </c>
      <c r="B3" s="18" t="s">
        <v>102</v>
      </c>
      <c r="C3" s="18" t="s">
        <v>101</v>
      </c>
      <c r="D3" s="18" t="s">
        <v>100</v>
      </c>
      <c r="E3" s="18" t="s">
        <v>4</v>
      </c>
    </row>
    <row r="4" spans="1:5" x14ac:dyDescent="0.25">
      <c r="A4" s="18" t="s">
        <v>42</v>
      </c>
      <c r="B4" s="18" t="s">
        <v>30</v>
      </c>
      <c r="C4" s="18" t="s">
        <v>41</v>
      </c>
      <c r="D4" s="18"/>
      <c r="E4" s="18" t="s">
        <v>20</v>
      </c>
    </row>
    <row r="5" spans="1:5" x14ac:dyDescent="0.25">
      <c r="A5" s="18" t="s">
        <v>32</v>
      </c>
      <c r="B5" s="18" t="s">
        <v>30</v>
      </c>
      <c r="C5" s="18" t="s">
        <v>29</v>
      </c>
      <c r="D5" s="18"/>
      <c r="E5" s="18" t="s">
        <v>14</v>
      </c>
    </row>
    <row r="6" spans="1:5" x14ac:dyDescent="0.25">
      <c r="A6" s="23"/>
      <c r="B6" s="23"/>
      <c r="C6" s="23" t="s">
        <v>109</v>
      </c>
      <c r="D6" s="23"/>
      <c r="E6" s="23"/>
    </row>
    <row r="7" spans="1:5" x14ac:dyDescent="0.25">
      <c r="A7" s="18"/>
      <c r="B7" s="18"/>
      <c r="C7" s="18"/>
      <c r="D7" s="18"/>
      <c r="E7" s="18"/>
    </row>
    <row r="8" spans="1:5" x14ac:dyDescent="0.25">
      <c r="A8" s="18"/>
      <c r="B8" s="18"/>
      <c r="C8" s="18"/>
      <c r="D8" s="18"/>
      <c r="E8" s="18"/>
    </row>
    <row r="9" spans="1:5" x14ac:dyDescent="0.25">
      <c r="A9" s="18" t="s">
        <v>108</v>
      </c>
      <c r="B9" s="18"/>
      <c r="C9" s="18"/>
      <c r="D9" s="18"/>
      <c r="E9" s="18"/>
    </row>
    <row r="10" spans="1:5" x14ac:dyDescent="0.25">
      <c r="A10" s="18"/>
      <c r="B10" s="18"/>
      <c r="C10" s="18"/>
      <c r="D10" s="18"/>
      <c r="E10" s="18"/>
    </row>
    <row r="11" spans="1:5" x14ac:dyDescent="0.25">
      <c r="A11" s="18"/>
      <c r="B11" s="18"/>
      <c r="C11" s="18"/>
      <c r="D11" s="18"/>
      <c r="E11" s="18"/>
    </row>
    <row r="12" spans="1:5" x14ac:dyDescent="0.25">
      <c r="A12" s="18"/>
      <c r="B12" s="18"/>
      <c r="C12" s="18"/>
      <c r="D12" s="18"/>
      <c r="E12" s="18"/>
    </row>
    <row r="13" spans="1:5" x14ac:dyDescent="0.25">
      <c r="A13" s="18" t="s">
        <v>107</v>
      </c>
      <c r="B13" s="18"/>
      <c r="C13" s="18"/>
      <c r="D13" s="18"/>
      <c r="E13" s="18"/>
    </row>
    <row r="14" spans="1:5" x14ac:dyDescent="0.25">
      <c r="A14" s="18"/>
      <c r="B14" s="18"/>
      <c r="C14" s="18"/>
      <c r="D14" s="18"/>
      <c r="E14" s="18"/>
    </row>
    <row r="15" spans="1:5" x14ac:dyDescent="0.25">
      <c r="A15" s="18"/>
      <c r="B15" s="18"/>
      <c r="C15" s="18"/>
      <c r="D15" s="18"/>
      <c r="E15" s="18"/>
    </row>
    <row r="16" spans="1:5" x14ac:dyDescent="0.25">
      <c r="A16" s="18" t="s">
        <v>106</v>
      </c>
      <c r="B16" s="18"/>
      <c r="C16" s="18"/>
      <c r="D16" s="18"/>
      <c r="E16" s="18"/>
    </row>
    <row r="17" spans="1:5" x14ac:dyDescent="0.25">
      <c r="A17" s="18"/>
      <c r="B17" s="18"/>
      <c r="C17" s="18"/>
      <c r="D17" s="18"/>
      <c r="E17" s="18"/>
    </row>
    <row r="18" spans="1:5" x14ac:dyDescent="0.25">
      <c r="A18" s="18"/>
      <c r="B18" s="18"/>
      <c r="C18" s="18"/>
      <c r="D18" s="18"/>
      <c r="E18" s="18"/>
    </row>
    <row r="19" spans="1:5" x14ac:dyDescent="0.25">
      <c r="A19" s="18"/>
      <c r="B19" s="18"/>
      <c r="C19" s="18"/>
      <c r="D19" s="18"/>
      <c r="E19" s="18"/>
    </row>
    <row r="20" spans="1:5" x14ac:dyDescent="0.25">
      <c r="A20" s="18"/>
      <c r="B20" s="18"/>
      <c r="C20" s="18"/>
      <c r="D20" s="18"/>
      <c r="E20" s="18"/>
    </row>
    <row r="21" spans="1:5" x14ac:dyDescent="0.25">
      <c r="A21" s="18"/>
      <c r="B21" s="18"/>
      <c r="C21" s="18"/>
      <c r="D21" s="18"/>
      <c r="E21" s="18"/>
    </row>
    <row r="22" spans="1:5" x14ac:dyDescent="0.25">
      <c r="A22" s="18"/>
      <c r="B22" s="18"/>
      <c r="C22" s="18"/>
      <c r="D22" s="18"/>
      <c r="E22" s="18"/>
    </row>
    <row r="23" spans="1:5" x14ac:dyDescent="0.25">
      <c r="A23" s="18"/>
      <c r="B23" s="18"/>
      <c r="C23" s="18"/>
      <c r="D23" s="18"/>
      <c r="E23" s="18"/>
    </row>
    <row r="24" spans="1:5" x14ac:dyDescent="0.25">
      <c r="A24" s="18"/>
      <c r="B24" s="18"/>
      <c r="C24" s="18"/>
      <c r="D24" s="18"/>
      <c r="E24" s="18"/>
    </row>
  </sheetData>
  <mergeCells count="2">
    <mergeCell ref="A2:C2"/>
    <mergeCell ref="D2:E2"/>
  </mergeCells>
  <pageMargins left="0.7" right="0.7" top="0.75" bottom="0.75" header="0.3" footer="0.3"/>
  <pageSetup scale="74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2025-10-27T18:32:43Z</cp:lastPrinted>
  <dcterms:created xsi:type="dcterms:W3CDTF">2025-10-27T18:17:55Z</dcterms:created>
  <dcterms:modified xsi:type="dcterms:W3CDTF">2025-10-27T18:45:10Z</dcterms:modified>
</cp:coreProperties>
</file>