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8EC9212B-F180-4660-A8D4-676E3166D9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5" i="1"/>
  <c r="E15" i="1"/>
  <c r="D15" i="1"/>
  <c r="C15" i="1"/>
</calcChain>
</file>

<file path=xl/sharedStrings.xml><?xml version="1.0" encoding="utf-8"?>
<sst xmlns="http://schemas.openxmlformats.org/spreadsheetml/2006/main" count="111" uniqueCount="66">
  <si>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</si>
  <si>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</si>
  <si>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</si>
  <si>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</si>
  <si>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</si>
  <si>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</si>
  <si>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</si>
  <si>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</si>
  <si>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</si>
  <si>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</si>
  <si>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Adao Automotive Group Inc d/b/a</t>
  </si>
  <si>
    <t>Marlene Braganca</t>
  </si>
  <si>
    <t>Herb Chambers Boston Turnpike Inc d/b/a</t>
  </si>
  <si>
    <t>Neli Oliveira</t>
  </si>
  <si>
    <t>Mastria Mazda</t>
  </si>
  <si>
    <t>Priority Automotive LLC</t>
  </si>
  <si>
    <t>Richard Lundgren, Inc. d/b/a</t>
  </si>
  <si>
    <t>S&amp;E Auto Services and Sales Inc</t>
  </si>
  <si>
    <t># 6</t>
  </si>
  <si>
    <t>Grovell</t>
  </si>
  <si>
    <t>JUSTICEDEPINA@AOL.COM</t>
  </si>
  <si>
    <t>DEPINA, JUSTICE</t>
  </si>
  <si>
    <t>Paper</t>
  </si>
  <si>
    <t>DealerTrack</t>
  </si>
  <si>
    <t>151154128</t>
  </si>
  <si>
    <t>BAKER</t>
  </si>
  <si>
    <t>JBONN412@GMAIL.COM</t>
  </si>
  <si>
    <t>BONNER, JUSTIN</t>
  </si>
  <si>
    <t>E Contract</t>
  </si>
  <si>
    <t>151154110e</t>
  </si>
  <si>
    <t>Duckworth</t>
  </si>
  <si>
    <t>JDEGUILIO@GMAIL.COM</t>
  </si>
  <si>
    <t>DEGUILIO, JAMES</t>
  </si>
  <si>
    <t>151154053e</t>
  </si>
  <si>
    <t>GRANEY</t>
  </si>
  <si>
    <t>TABBER@GMAIL.COM</t>
  </si>
  <si>
    <t>ABBER, THOMAS</t>
  </si>
  <si>
    <t>151154011</t>
  </si>
  <si>
    <t>DEALEY</t>
  </si>
  <si>
    <t>MKNEE99@GMAIL.COM</t>
  </si>
  <si>
    <t>KEARNEY, MARIA</t>
  </si>
  <si>
    <t>151153980e</t>
  </si>
  <si>
    <t>CHRISTIE</t>
  </si>
  <si>
    <t>cmillar89@gmail.com</t>
  </si>
  <si>
    <t>NAWOICHIK, CHRISTIE</t>
  </si>
  <si>
    <t>Route One</t>
  </si>
  <si>
    <t>151153899e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</si>
  <si>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</si>
  <si>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</si>
  <si>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</si>
  <si>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</si>
  <si>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</si>
  <si>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</si>
  <si>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</si>
  <si>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</si>
  <si>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</si>
  <si>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</si>
  <si>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</si>
  <si>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Column1</t>
  </si>
  <si>
    <t>Column2</t>
  </si>
  <si>
    <t>5900     6390</t>
  </si>
  <si>
    <t>Date Signed_______________________________________________</t>
  </si>
  <si>
    <t>Received By___________________________________________________________________</t>
  </si>
  <si>
    <t>Delivered By___________________________________________________________________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</si>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</sst>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BCE5023B-840D-4838-8554-3387172BFB70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0840971B-BC50-4E43-B0B0-BF2AC7E21148}" name="Column1" dataDxfId="9"/>
    <tableColumn id="8" xr3:uid="{A92E4E6B-1C7C-41B4-9BD0-00ED24839F06}" name="Column2" dataDxfId="8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59B3A-E2DA-4590-A4BD-B16622C15740}" name="Table_13" displayName="Table_13" ref="A3:L10" headerRowDxfId="12" dataDxfId="10" totalsRowDxfId="11">
  <tableColumns count="12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  <tableColumn id="12" xr3:uid="{00000000-0010-0000-0000-00000C000000}" name="Co-App MMN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10AF35-A4CA-430B-B076-B40C61EFCFD8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39.5703125" bestFit="1" customWidth="1"/>
    <col min="2" max="2" width="17.7109375" bestFit="1" customWidth="1"/>
    <col min="3" max="3" width="11.140625" bestFit="1" customWidth="1"/>
    <col min="4" max="4" width="14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45722</v>
      </c>
      <c r="E1" t="s">
        <v>2</v>
      </c>
      <c r="H1" s="4">
        <v>45722.999988425923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58</v>
      </c>
      <c r="G3" t="s">
        <v>59</v>
      </c>
      <c r="H3" t="s">
        <v>9</v>
      </c>
    </row>
    <row r="4" spans="1:8" x14ac:dyDescent="0.25">
      <c r="A4" t="s">
        <v>10</v>
      </c>
      <c r="B4" t="s">
        <v>11</v>
      </c>
      <c r="C4" s="2">
        <v>575</v>
      </c>
      <c r="D4" s="2">
        <v>0</v>
      </c>
      <c r="E4" s="2">
        <v>23944.06</v>
      </c>
      <c r="F4" s="2"/>
      <c r="G4" s="2"/>
      <c r="H4" s="2">
        <v>24019.06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450</v>
      </c>
      <c r="D6" s="2">
        <v>0</v>
      </c>
      <c r="E6" s="2">
        <v>19104.88</v>
      </c>
      <c r="F6" s="2"/>
      <c r="G6" s="2"/>
      <c r="H6" s="2">
        <v>19179.88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750</v>
      </c>
      <c r="D8" s="2">
        <v>0</v>
      </c>
      <c r="E8" s="2">
        <v>30839.73</v>
      </c>
      <c r="F8" s="2"/>
      <c r="G8" s="2" t="s">
        <v>60</v>
      </c>
      <c r="H8" s="2">
        <v>30914.73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575</v>
      </c>
      <c r="D10" s="2">
        <v>0</v>
      </c>
      <c r="E10" s="2">
        <v>23523.45</v>
      </c>
      <c r="F10" s="2"/>
      <c r="G10" s="2"/>
      <c r="H10" s="2">
        <v>23598.45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875</v>
      </c>
      <c r="D12" s="2">
        <v>0</v>
      </c>
      <c r="E12" s="2">
        <v>40750.5</v>
      </c>
      <c r="F12" s="2"/>
      <c r="G12" s="2"/>
      <c r="H12" s="2">
        <v>40825.5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13</v>
      </c>
      <c r="C14" s="2">
        <v>750</v>
      </c>
      <c r="D14" s="2">
        <v>0</v>
      </c>
      <c r="E14" s="2">
        <v>31381.81</v>
      </c>
      <c r="F14" s="2"/>
      <c r="G14" s="2"/>
      <c r="H14" s="2">
        <v>31456.81</v>
      </c>
    </row>
    <row r="15" spans="1:8" x14ac:dyDescent="0.25">
      <c r="A15" s="1"/>
      <c r="B15" s="1"/>
      <c r="C15" s="3">
        <f>SUM(C4:C14)</f>
        <v>3975</v>
      </c>
      <c r="D15" s="3">
        <f>SUM(D4:D14)</f>
        <v>0</v>
      </c>
      <c r="E15" s="3">
        <f>SUM(E4:E14)</f>
        <v>169544.43</v>
      </c>
      <c r="F15" s="3"/>
      <c r="G15" s="3"/>
      <c r="H15" s="3">
        <f>SUM(H4:H14)</f>
        <v>169994.43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5D62-A2FC-44A0-BCD2-5D7F24311AD8}">
  <sheetPr>
    <pageSetUpPr fitToPage="1"/>
  </sheetPr>
  <dimension ref="A1:L13"/>
  <sheetViews>
    <sheetView workbookViewId="0">
      <pane ySplit="3" topLeftCell="A4" activePane="bottomLeft" state="frozen"/>
      <selection pane="bottomLeft" activeCell="J12" sqref="J1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1.42578125" style="8" bestFit="1" customWidth="1"/>
    <col min="5" max="5" width="18.7109375" style="8" bestFit="1" customWidth="1"/>
    <col min="6" max="6" width="39.5703125" style="8" bestFit="1" customWidth="1"/>
    <col min="7" max="7" width="17.7109375" style="8" bestFit="1" customWidth="1"/>
    <col min="8" max="8" width="17.140625" style="8" bestFit="1" customWidth="1"/>
    <col min="9" max="9" width="25.42578125" style="8" bestFit="1" customWidth="1"/>
    <col min="10" max="10" width="18.42578125" style="8" bestFit="1" customWidth="1"/>
    <col min="11" max="11" width="14.28515625" style="8" bestFit="1" customWidth="1"/>
    <col min="12" max="12" width="12.85546875" style="8" bestFit="1" customWidth="1"/>
    <col min="13" max="16384" width="9.140625" style="8"/>
  </cols>
  <sheetData>
    <row r="1" spans="1:12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45722</v>
      </c>
      <c r="L1" s="9" t="s">
        <v>2</v>
      </c>
    </row>
    <row r="2" spans="1:12" x14ac:dyDescent="0.25">
      <c r="A2" s="11" t="s">
        <v>0</v>
      </c>
      <c r="B2" s="12"/>
      <c r="C2" s="12"/>
      <c r="D2" s="12"/>
      <c r="E2" s="12"/>
      <c r="F2" s="12"/>
      <c r="G2" s="13" t="s">
        <v>57</v>
      </c>
      <c r="H2" s="12"/>
      <c r="I2" s="12"/>
      <c r="J2" s="12"/>
      <c r="K2" s="12"/>
      <c r="L2" s="12"/>
    </row>
    <row r="3" spans="1:12" ht="35.1" customHeight="1" x14ac:dyDescent="0.25">
      <c r="A3" s="9" t="s">
        <v>56</v>
      </c>
      <c r="B3" s="9" t="s">
        <v>55</v>
      </c>
      <c r="C3" s="9" t="s">
        <v>54</v>
      </c>
      <c r="D3" s="9" t="s">
        <v>53</v>
      </c>
      <c r="E3" s="9" t="s">
        <v>52</v>
      </c>
      <c r="F3" s="9" t="s">
        <v>4</v>
      </c>
      <c r="G3" s="9" t="s">
        <v>5</v>
      </c>
      <c r="H3" s="9" t="s">
        <v>51</v>
      </c>
      <c r="I3" s="9" t="s">
        <v>50</v>
      </c>
      <c r="J3" s="9" t="s">
        <v>49</v>
      </c>
      <c r="K3" s="9" t="s">
        <v>48</v>
      </c>
      <c r="L3" s="9" t="s">
        <v>47</v>
      </c>
    </row>
    <row r="4" spans="1:12" ht="35.1" customHeight="1" x14ac:dyDescent="0.25">
      <c r="A4" s="9" t="s">
        <v>46</v>
      </c>
      <c r="B4" s="9" t="s">
        <v>45</v>
      </c>
      <c r="C4" s="9" t="s">
        <v>28</v>
      </c>
      <c r="D4" s="9" t="s">
        <v>44</v>
      </c>
      <c r="E4" s="9"/>
      <c r="F4" s="9" t="s">
        <v>14</v>
      </c>
      <c r="G4" s="9" t="s">
        <v>11</v>
      </c>
      <c r="H4" s="14">
        <v>30914.73</v>
      </c>
      <c r="I4" s="9" t="s">
        <v>43</v>
      </c>
      <c r="J4" s="9"/>
      <c r="K4" s="9" t="s">
        <v>42</v>
      </c>
      <c r="L4" s="9"/>
    </row>
    <row r="5" spans="1:12" ht="35.1" customHeight="1" x14ac:dyDescent="0.25">
      <c r="A5" s="9" t="s">
        <v>41</v>
      </c>
      <c r="B5" s="9" t="s">
        <v>23</v>
      </c>
      <c r="C5" s="9" t="s">
        <v>28</v>
      </c>
      <c r="D5" s="9" t="s">
        <v>40</v>
      </c>
      <c r="E5" s="9"/>
      <c r="F5" s="9" t="s">
        <v>12</v>
      </c>
      <c r="G5" s="9" t="s">
        <v>13</v>
      </c>
      <c r="H5" s="14">
        <v>19179.88</v>
      </c>
      <c r="I5" s="9" t="s">
        <v>39</v>
      </c>
      <c r="J5" s="9"/>
      <c r="K5" s="9" t="s">
        <v>38</v>
      </c>
      <c r="L5" s="9"/>
    </row>
    <row r="6" spans="1:12" ht="35.1" customHeight="1" x14ac:dyDescent="0.25">
      <c r="A6" s="9" t="s">
        <v>37</v>
      </c>
      <c r="B6" s="9" t="s">
        <v>23</v>
      </c>
      <c r="C6" s="9" t="s">
        <v>22</v>
      </c>
      <c r="D6" s="9" t="s">
        <v>36</v>
      </c>
      <c r="E6" s="9"/>
      <c r="F6" s="9" t="s">
        <v>17</v>
      </c>
      <c r="G6" s="9" t="s">
        <v>13</v>
      </c>
      <c r="H6" s="14">
        <v>31456.81</v>
      </c>
      <c r="I6" s="9" t="s">
        <v>35</v>
      </c>
      <c r="J6" s="9"/>
      <c r="K6" s="9" t="s">
        <v>34</v>
      </c>
      <c r="L6" s="9"/>
    </row>
    <row r="7" spans="1:12" ht="35.1" customHeight="1" x14ac:dyDescent="0.25">
      <c r="A7" s="9" t="s">
        <v>33</v>
      </c>
      <c r="B7" s="9" t="s">
        <v>23</v>
      </c>
      <c r="C7" s="9" t="s">
        <v>28</v>
      </c>
      <c r="D7" s="9" t="s">
        <v>32</v>
      </c>
      <c r="E7" s="9"/>
      <c r="F7" s="9" t="s">
        <v>15</v>
      </c>
      <c r="G7" s="9" t="s">
        <v>11</v>
      </c>
      <c r="H7" s="14">
        <v>23598.45</v>
      </c>
      <c r="I7" s="9" t="s">
        <v>31</v>
      </c>
      <c r="J7" s="9"/>
      <c r="K7" s="9" t="s">
        <v>30</v>
      </c>
      <c r="L7" s="9"/>
    </row>
    <row r="8" spans="1:12" ht="35.1" customHeight="1" x14ac:dyDescent="0.25">
      <c r="A8" s="9" t="s">
        <v>29</v>
      </c>
      <c r="B8" s="9" t="s">
        <v>23</v>
      </c>
      <c r="C8" s="9" t="s">
        <v>28</v>
      </c>
      <c r="D8" s="9" t="s">
        <v>27</v>
      </c>
      <c r="E8" s="9"/>
      <c r="F8" s="9" t="s">
        <v>16</v>
      </c>
      <c r="G8" s="9" t="s">
        <v>13</v>
      </c>
      <c r="H8" s="14">
        <v>40825.5</v>
      </c>
      <c r="I8" s="9" t="s">
        <v>26</v>
      </c>
      <c r="J8" s="9"/>
      <c r="K8" s="9" t="s">
        <v>25</v>
      </c>
      <c r="L8" s="9"/>
    </row>
    <row r="9" spans="1:12" ht="35.1" customHeight="1" x14ac:dyDescent="0.25">
      <c r="A9" s="9" t="s">
        <v>24</v>
      </c>
      <c r="B9" s="9" t="s">
        <v>23</v>
      </c>
      <c r="C9" s="9" t="s">
        <v>22</v>
      </c>
      <c r="D9" s="9" t="s">
        <v>21</v>
      </c>
      <c r="E9" s="9"/>
      <c r="F9" s="9" t="s">
        <v>10</v>
      </c>
      <c r="G9" s="9" t="s">
        <v>11</v>
      </c>
      <c r="H9" s="14">
        <v>24019.06</v>
      </c>
      <c r="I9" s="9" t="s">
        <v>20</v>
      </c>
      <c r="J9" s="9"/>
      <c r="K9" s="9" t="s">
        <v>19</v>
      </c>
      <c r="L9" s="9"/>
    </row>
    <row r="10" spans="1:12" ht="35.1" customHeight="1" x14ac:dyDescent="0.25">
      <c r="A10" s="15"/>
      <c r="B10" s="15"/>
      <c r="C10" s="15"/>
      <c r="D10" s="15" t="s">
        <v>18</v>
      </c>
      <c r="E10" s="15"/>
      <c r="F10" s="15"/>
      <c r="G10" s="15"/>
      <c r="H10" s="16">
        <f>SUM(H4:H9)</f>
        <v>169994.43</v>
      </c>
      <c r="I10" s="15"/>
      <c r="J10" s="15"/>
      <c r="K10" s="15"/>
      <c r="L10" s="15"/>
    </row>
    <row r="11" spans="1:12" ht="35.1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5.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7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7755-2ABD-4E75-B915-39DBA676CC47}">
  <sheetPr>
    <pageSetUpPr fitToPage="1"/>
  </sheetPr>
  <dimension ref="A1:E24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1.42578125" style="8" bestFit="1" customWidth="1"/>
    <col min="4" max="4" width="18.7109375" style="8" bestFit="1" customWidth="1"/>
    <col min="5" max="5" width="39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45722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65</v>
      </c>
      <c r="E2" s="12"/>
    </row>
    <row r="3" spans="1:5" x14ac:dyDescent="0.25">
      <c r="A3" s="9" t="s">
        <v>56</v>
      </c>
      <c r="B3" s="9" t="s">
        <v>54</v>
      </c>
      <c r="C3" s="9" t="s">
        <v>53</v>
      </c>
      <c r="D3" s="9" t="s">
        <v>52</v>
      </c>
      <c r="E3" s="9" t="s">
        <v>4</v>
      </c>
    </row>
    <row r="4" spans="1:5" x14ac:dyDescent="0.25">
      <c r="A4" s="9" t="s">
        <v>37</v>
      </c>
      <c r="B4" s="9" t="s">
        <v>22</v>
      </c>
      <c r="C4" s="9" t="s">
        <v>36</v>
      </c>
      <c r="D4" s="9"/>
      <c r="E4" s="9" t="s">
        <v>17</v>
      </c>
    </row>
    <row r="5" spans="1:5" x14ac:dyDescent="0.25">
      <c r="A5" s="9" t="s">
        <v>24</v>
      </c>
      <c r="B5" s="9" t="s">
        <v>22</v>
      </c>
      <c r="C5" s="9" t="s">
        <v>21</v>
      </c>
      <c r="D5" s="9"/>
      <c r="E5" s="9" t="s">
        <v>10</v>
      </c>
    </row>
    <row r="6" spans="1:5" x14ac:dyDescent="0.25">
      <c r="A6" s="15"/>
      <c r="B6" s="15"/>
      <c r="C6" s="15" t="s">
        <v>64</v>
      </c>
      <c r="D6" s="15"/>
      <c r="E6" s="15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63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62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61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</sheetData>
  <mergeCells count="2">
    <mergeCell ref="A2:C2"/>
    <mergeCell ref="D2:E2"/>
  </mergeCells>
  <pageMargins left="0.7" right="0.7" top="0.75" bottom="0.75" header="0.3" footer="0.3"/>
  <pageSetup scale="7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2025-03-06T18:41:47Z</cp:lastPrinted>
  <dcterms:created xsi:type="dcterms:W3CDTF">2025-03-06T18:24:37Z</dcterms:created>
  <dcterms:modified xsi:type="dcterms:W3CDTF">2025-03-06T18:45:07Z</dcterms:modified>
</cp:coreProperties>
</file>