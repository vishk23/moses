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ACCAE332-298A-46ED-864D-5ED7F36955A4}" xr6:coauthVersionLast="47" xr6:coauthVersionMax="47" xr10:uidLastSave="{00000000-0000-0000-0000-000000000000}"/>
  <bookViews>
    <workbookView xWindow="29970" yWindow="1170" windowWidth="19575" windowHeight="14925" xr2:uid="{00000000-000D-0000-FFFF-FFFF00000000}"/>
  </bookViews>
  <sheets>
    <sheet name="Funding Worksheet - Folder Vers" sheetId="1" r:id="rId1"/>
    <sheet name="Funding Worksheet - ACH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  <c r="F14" i="2"/>
  <c r="E14" i="2"/>
  <c r="D14" i="2"/>
  <c r="H9" i="1"/>
</calcChain>
</file>

<file path=xl/sharedStrings.xml><?xml version="1.0" encoding="utf-8"?>
<sst xmlns="http://schemas.openxmlformats.org/spreadsheetml/2006/main" count="76" uniqueCount="54">
  <si>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</si>
  <si>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</si>
  <si>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</si>
  <si>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</si>
  <si>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</si>
  <si>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</si>
  <si>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</si>
  <si>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</si>
  <si>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</si>
  <si>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</si>
  <si>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</si>
  <si>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</si>
  <si>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</si>
  <si>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</si>
  <si>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DealerTrack</t>
  </si>
  <si>
    <t>E Contract</t>
  </si>
  <si>
    <t>NUNES, DANIEL</t>
  </si>
  <si>
    <t>Priority Automotive LLC</t>
  </si>
  <si>
    <t>Neli Oliveira</t>
  </si>
  <si>
    <t>NEN972@COX.NET</t>
  </si>
  <si>
    <t>ALMEIDA</t>
  </si>
  <si>
    <t>HAKIM, KAMAL</t>
  </si>
  <si>
    <t>Infiniti of Norwood</t>
  </si>
  <si>
    <t>KAMAL.HAKIM59@GMAIL.COM</t>
  </si>
  <si>
    <t>IKBAL</t>
  </si>
  <si>
    <t>FALVEY, PAUL</t>
  </si>
  <si>
    <t>FALVEY, MALLORY</t>
  </si>
  <si>
    <t>Coastal Volkswagon</t>
  </si>
  <si>
    <t>Rachel Gorham</t>
  </si>
  <si>
    <t>PAUL.FALVEY92@GMAIL.COM</t>
  </si>
  <si>
    <t>CHAMBERS</t>
  </si>
  <si>
    <t>MARTIN</t>
  </si>
  <si>
    <t>Route One</t>
  </si>
  <si>
    <t>SAUNDERS, GAIL</t>
  </si>
  <si>
    <t>T F Murphy Enterprises Inc</t>
  </si>
  <si>
    <t>Marlene Braganca</t>
  </si>
  <si>
    <t>scentsareuss@gmail.com</t>
  </si>
  <si>
    <t>Terelak</t>
  </si>
  <si>
    <t>FURTADO, CARLOS</t>
  </si>
  <si>
    <t>New England Automax Inc (marlborough)</t>
  </si>
  <si>
    <t>FONSECA</t>
  </si>
  <si>
    <t># 5</t>
  </si>
  <si>
    <t>151189414 E</t>
  </si>
  <si>
    <t>151189547 E</t>
  </si>
  <si>
    <t>151189597 E</t>
  </si>
  <si>
    <t>151189612 E</t>
  </si>
  <si>
    <t>151189688 E</t>
  </si>
  <si>
    <t>Funding Worksheet - ACH Version</t>
  </si>
  <si>
    <t>Column2</t>
  </si>
  <si>
    <t>Dealer Flat</t>
  </si>
  <si>
    <t>Dealer Split</t>
  </si>
  <si>
    <t>Net to Dealer</t>
  </si>
  <si>
    <t>Column1</t>
  </si>
  <si>
    <t>Contracted Amount Financed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</si>
</sst>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7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right"/>
    </xf>
    <xf numFmtId="7" fontId="1" fillId="0" borderId="0" xfId="0" applyNumberFormat="1" applyFont="1"/>
    <xf numFmtId="0" fontId="2" fillId="0" borderId="0" xfId="0" applyFont="1"/>
    <xf numFmtId="7" fontId="2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7" fontId="4" fillId="0" borderId="0" xfId="0" applyNumberFormat="1" applyFont="1"/>
    <xf numFmtId="0" fontId="3" fillId="0" borderId="0" xfId="0" applyFont="1"/>
    <xf numFmtId="7" fontId="3" fillId="0" borderId="0" xfId="0" applyNumberFormat="1" applyFont="1"/>
  </cellXfs>
  <cellStyles count="1">
    <cellStyle name="Normal" xfId="0" builtinId="0"/>
  </cellStyles>
  <dxfs count="16">
    <dxf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9" headerRowDxfId="3" dataDxfId="1" totalsRowDxfId="2">
  <tableColumns count="12">
    <tableColumn id="1" xr3:uid="{00000000-0010-0000-0000-000001000000}" name="Account Number" dataDxfId="15"/>
    <tableColumn id="2" xr3:uid="{00000000-0010-0000-0000-000002000000}" name="Portal" dataDxfId="14"/>
    <tableColumn id="3" xr3:uid="{00000000-0010-0000-0000-000003000000}" name="Contract Type" dataDxfId="13"/>
    <tableColumn id="4" xr3:uid="{00000000-0010-0000-0000-000004000000}" name="Applicant Name" dataDxfId="12"/>
    <tableColumn id="5" xr3:uid="{00000000-0010-0000-0000-000005000000}" name="Co-Applicant Name" dataDxfId="11"/>
    <tableColumn id="6" xr3:uid="{00000000-0010-0000-0000-000006000000}" name="Dealer Name" dataDxfId="10"/>
    <tableColumn id="7" xr3:uid="{00000000-0010-0000-0000-000007000000}" name="Funded by" dataDxfId="9"/>
    <tableColumn id="8" xr3:uid="{00000000-0010-0000-0000-000008000000}" name="Amount Financed" dataDxfId="8"/>
    <tableColumn id="9" xr3:uid="{00000000-0010-0000-0000-000009000000}" name="Applicant Email" dataDxfId="7"/>
    <tableColumn id="10" xr3:uid="{00000000-0010-0000-0000-00000A000000}" name="Co-Applicant Email" dataDxfId="6"/>
    <tableColumn id="11" xr3:uid="{00000000-0010-0000-0000-00000B000000}" name="App MMN" dataDxfId="5"/>
    <tableColumn id="12" xr3:uid="{00000000-0010-0000-0000-00000C000000}" name="Co-App MMN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EFCCCD-CE31-4471-9F1C-B431F0B36AB5}" name="Table_14" displayName="Table_14" ref="A3:H14">
  <tableColumns count="8">
    <tableColumn id="1" xr3:uid="{91B9140D-C347-466C-848F-4E6EA72D99C0}" name="Dealer Name"/>
    <tableColumn id="8" xr3:uid="{0BA3BF95-7602-4F52-ADE7-44221F945DC5}" name="Column2"/>
    <tableColumn id="2" xr3:uid="{734D115D-0562-44B0-8698-6E4F1FEF8E32}" name="Funded by"/>
    <tableColumn id="3" xr3:uid="{F6A25374-058E-4E17-AE1A-1E4AAEEA0D1E}" name="Dealer Flat"/>
    <tableColumn id="4" xr3:uid="{220573C1-2911-47B8-8A20-504F031AE8DC}" name="Dealer Split"/>
    <tableColumn id="5" xr3:uid="{1F184859-4391-4606-9DF8-98432A5DF6F9}" name="Net to Dealer"/>
    <tableColumn id="7" xr3:uid="{7C2AB47D-9E46-4B79-B17B-4220242D895B}" name="Column1" dataDxfId="0"/>
    <tableColumn id="6" xr3:uid="{21A55F2C-C788-4FEC-A097-694E3E4DB364}" name="Contracted Amount Financ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"/>
  <sheetViews>
    <sheetView tabSelected="1" workbookViewId="0">
      <pane ySplit="3" topLeftCell="A4" activePane="bottomLeft" state="frozen"/>
      <selection pane="bottomLeft" activeCell="F17" sqref="F17"/>
    </sheetView>
  </sheetViews>
  <sheetFormatPr defaultColWidth="18.28515625" defaultRowHeight="15.75" x14ac:dyDescent="0.25"/>
  <cols>
    <col min="1" max="16384" width="18.28515625" style="4"/>
  </cols>
  <sheetData>
    <row r="1" spans="1:12" s="4" customFormat="1" x14ac:dyDescent="0.25">
      <c r="K1" s="5"/>
      <c r="L1" s="5">
        <v>45813.999988425923</v>
      </c>
    </row>
    <row r="2" spans="1:12" s="4" customFormat="1" ht="33" customHeight="1" x14ac:dyDescent="0.25">
      <c r="A2" s="6" t="s">
        <v>0</v>
      </c>
      <c r="B2" s="7"/>
      <c r="C2" s="7"/>
      <c r="D2" s="7"/>
      <c r="E2" s="7"/>
      <c r="F2" s="7"/>
      <c r="G2" s="8" t="s">
        <v>1</v>
      </c>
      <c r="H2" s="7"/>
      <c r="I2" s="7"/>
      <c r="J2" s="7"/>
      <c r="K2" s="7"/>
      <c r="L2" s="7"/>
    </row>
    <row r="3" spans="1:12" s="4" customFormat="1" ht="33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spans="1:12" s="4" customFormat="1" ht="33" customHeight="1" x14ac:dyDescent="0.25">
      <c r="A4" s="4" t="s">
        <v>42</v>
      </c>
      <c r="B4" s="4" t="s">
        <v>14</v>
      </c>
      <c r="C4" s="4" t="s">
        <v>15</v>
      </c>
      <c r="D4" s="4" t="s">
        <v>16</v>
      </c>
      <c r="F4" s="4" t="s">
        <v>17</v>
      </c>
      <c r="G4" s="4" t="s">
        <v>18</v>
      </c>
      <c r="H4" s="9">
        <v>22044.53</v>
      </c>
      <c r="I4" s="4" t="s">
        <v>19</v>
      </c>
      <c r="K4" s="4" t="s">
        <v>20</v>
      </c>
    </row>
    <row r="5" spans="1:12" s="4" customFormat="1" ht="33" customHeight="1" x14ac:dyDescent="0.25">
      <c r="A5" s="4" t="s">
        <v>43</v>
      </c>
      <c r="B5" s="4" t="s">
        <v>14</v>
      </c>
      <c r="C5" s="4" t="s">
        <v>15</v>
      </c>
      <c r="D5" s="4" t="s">
        <v>21</v>
      </c>
      <c r="F5" s="4" t="s">
        <v>22</v>
      </c>
      <c r="G5" s="4" t="s">
        <v>18</v>
      </c>
      <c r="H5" s="9">
        <v>36142.69</v>
      </c>
      <c r="I5" s="4" t="s">
        <v>23</v>
      </c>
      <c r="K5" s="4" t="s">
        <v>24</v>
      </c>
    </row>
    <row r="6" spans="1:12" s="4" customFormat="1" ht="33" customHeight="1" x14ac:dyDescent="0.25">
      <c r="A6" s="4" t="s">
        <v>44</v>
      </c>
      <c r="B6" s="4" t="s">
        <v>14</v>
      </c>
      <c r="C6" s="4" t="s">
        <v>15</v>
      </c>
      <c r="D6" s="4" t="s">
        <v>25</v>
      </c>
      <c r="E6" s="4" t="s">
        <v>26</v>
      </c>
      <c r="F6" s="4" t="s">
        <v>27</v>
      </c>
      <c r="G6" s="4" t="s">
        <v>28</v>
      </c>
      <c r="H6" s="9">
        <v>31952.44</v>
      </c>
      <c r="I6" s="4" t="s">
        <v>29</v>
      </c>
      <c r="K6" s="4" t="s">
        <v>30</v>
      </c>
      <c r="L6" s="4" t="s">
        <v>31</v>
      </c>
    </row>
    <row r="7" spans="1:12" s="4" customFormat="1" ht="33" customHeight="1" x14ac:dyDescent="0.25">
      <c r="A7" s="4" t="s">
        <v>45</v>
      </c>
      <c r="B7" s="4" t="s">
        <v>32</v>
      </c>
      <c r="C7" s="4" t="s">
        <v>15</v>
      </c>
      <c r="D7" s="4" t="s">
        <v>33</v>
      </c>
      <c r="F7" s="4" t="s">
        <v>34</v>
      </c>
      <c r="G7" s="4" t="s">
        <v>35</v>
      </c>
      <c r="H7" s="9">
        <v>25114.43</v>
      </c>
      <c r="I7" s="4" t="s">
        <v>36</v>
      </c>
      <c r="K7" s="4" t="s">
        <v>37</v>
      </c>
    </row>
    <row r="8" spans="1:12" s="4" customFormat="1" ht="33" customHeight="1" x14ac:dyDescent="0.25">
      <c r="A8" s="4" t="s">
        <v>46</v>
      </c>
      <c r="B8" s="4" t="s">
        <v>14</v>
      </c>
      <c r="C8" s="4" t="s">
        <v>15</v>
      </c>
      <c r="D8" s="4" t="s">
        <v>38</v>
      </c>
      <c r="F8" s="4" t="s">
        <v>39</v>
      </c>
      <c r="G8" s="4" t="s">
        <v>28</v>
      </c>
      <c r="H8" s="9">
        <v>22896.81</v>
      </c>
      <c r="K8" s="4" t="s">
        <v>40</v>
      </c>
    </row>
    <row r="9" spans="1:12" s="4" customFormat="1" ht="33" customHeight="1" x14ac:dyDescent="0.25">
      <c r="A9" s="10"/>
      <c r="B9" s="10"/>
      <c r="C9" s="10"/>
      <c r="D9" s="10" t="s">
        <v>41</v>
      </c>
      <c r="E9" s="10"/>
      <c r="F9" s="10"/>
      <c r="G9" s="10"/>
      <c r="H9" s="11">
        <f>SUM(H4:H8)</f>
        <v>138150.9</v>
      </c>
      <c r="I9" s="10"/>
      <c r="J9" s="10"/>
      <c r="K9" s="10"/>
      <c r="L9" s="10"/>
    </row>
  </sheetData>
  <mergeCells count="2">
    <mergeCell ref="A2:F2"/>
    <mergeCell ref="G2:L2"/>
  </mergeCells>
  <pageMargins left="0.7" right="0.2" top="0.75" bottom="0.75" header="0.3" footer="0.3"/>
  <pageSetup paperSize="5" scale="7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DAE30-D88B-4B94-A4ED-B9F2399B0CA5}">
  <sheetPr>
    <pageSetUpPr fitToPage="1"/>
  </sheetPr>
  <dimension ref="A1:H15"/>
  <sheetViews>
    <sheetView workbookViewId="0">
      <selection activeCell="B22" sqref="B22"/>
    </sheetView>
  </sheetViews>
  <sheetFormatPr defaultRowHeight="15" x14ac:dyDescent="0.25"/>
  <cols>
    <col min="1" max="1" width="23.28515625" customWidth="1"/>
    <col min="2" max="2" width="13" customWidth="1"/>
    <col min="3" max="3" width="13.42578125" customWidth="1"/>
    <col min="4" max="4" width="14.28515625" customWidth="1"/>
    <col min="6" max="6" width="13.28515625" customWidth="1"/>
    <col min="7" max="7" width="13.140625" customWidth="1"/>
    <col min="8" max="8" width="13.85546875" customWidth="1"/>
  </cols>
  <sheetData>
    <row r="1" spans="1:8" ht="24.95" customHeight="1" x14ac:dyDescent="0.25">
      <c r="E1" s="2"/>
      <c r="H1" s="2">
        <v>45813.999988425923</v>
      </c>
    </row>
    <row r="2" spans="1:8" ht="24.95" customHeight="1" x14ac:dyDescent="0.25">
      <c r="A2" s="12" t="s">
        <v>0</v>
      </c>
      <c r="B2" s="12"/>
      <c r="C2" s="3"/>
      <c r="D2" s="3"/>
      <c r="E2" s="13" t="s">
        <v>47</v>
      </c>
      <c r="F2" s="3"/>
      <c r="G2" s="3"/>
      <c r="H2" s="3"/>
    </row>
    <row r="3" spans="1:8" ht="24.95" customHeight="1" x14ac:dyDescent="0.25">
      <c r="A3" t="s">
        <v>7</v>
      </c>
      <c r="B3" t="s">
        <v>48</v>
      </c>
      <c r="C3" t="s">
        <v>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</row>
    <row r="4" spans="1:8" ht="24.95" customHeight="1" x14ac:dyDescent="0.25">
      <c r="A4" t="s">
        <v>27</v>
      </c>
      <c r="C4" t="s">
        <v>28</v>
      </c>
      <c r="D4" s="1">
        <v>850</v>
      </c>
      <c r="E4" s="1">
        <v>0</v>
      </c>
      <c r="F4" s="14">
        <v>31877.439999999999</v>
      </c>
      <c r="G4" s="1"/>
      <c r="H4" s="1">
        <v>31952.44</v>
      </c>
    </row>
    <row r="5" spans="1:8" ht="24.95" customHeight="1" x14ac:dyDescent="0.25">
      <c r="D5" s="1"/>
      <c r="E5" s="1"/>
      <c r="F5" s="14"/>
      <c r="G5" s="1"/>
      <c r="H5" s="1"/>
    </row>
    <row r="6" spans="1:8" ht="24.95" customHeight="1" x14ac:dyDescent="0.25">
      <c r="A6" t="s">
        <v>22</v>
      </c>
      <c r="C6" t="s">
        <v>18</v>
      </c>
      <c r="D6" s="1">
        <v>950</v>
      </c>
      <c r="E6" s="1">
        <v>0</v>
      </c>
      <c r="F6" s="14">
        <v>36067.69</v>
      </c>
      <c r="G6" s="1"/>
      <c r="H6" s="1">
        <v>36142.69</v>
      </c>
    </row>
    <row r="7" spans="1:8" ht="24.95" customHeight="1" x14ac:dyDescent="0.25">
      <c r="D7" s="1"/>
      <c r="E7" s="1"/>
      <c r="F7" s="14"/>
      <c r="G7" s="1"/>
      <c r="H7" s="1"/>
    </row>
    <row r="8" spans="1:8" ht="24.95" customHeight="1" x14ac:dyDescent="0.25">
      <c r="A8" t="s">
        <v>39</v>
      </c>
      <c r="C8" t="s">
        <v>28</v>
      </c>
      <c r="D8" s="1">
        <v>650</v>
      </c>
      <c r="E8" s="1">
        <v>0</v>
      </c>
      <c r="F8" s="14">
        <v>22821.81</v>
      </c>
      <c r="G8" s="1"/>
      <c r="H8" s="1">
        <v>22896.81</v>
      </c>
    </row>
    <row r="9" spans="1:8" ht="24.95" customHeight="1" x14ac:dyDescent="0.25">
      <c r="D9" s="1"/>
      <c r="E9" s="1"/>
      <c r="F9" s="14"/>
      <c r="G9" s="1"/>
      <c r="H9" s="1"/>
    </row>
    <row r="10" spans="1:8" ht="24.95" customHeight="1" x14ac:dyDescent="0.25">
      <c r="A10" t="s">
        <v>17</v>
      </c>
      <c r="C10" t="s">
        <v>18</v>
      </c>
      <c r="D10" s="1">
        <v>650</v>
      </c>
      <c r="E10" s="1">
        <v>0</v>
      </c>
      <c r="F10" s="14">
        <v>21969.53</v>
      </c>
      <c r="G10" s="1"/>
      <c r="H10" s="1">
        <v>22044.53</v>
      </c>
    </row>
    <row r="11" spans="1:8" ht="24.95" customHeight="1" x14ac:dyDescent="0.25">
      <c r="D11" s="1"/>
      <c r="E11" s="1"/>
      <c r="F11" s="14"/>
      <c r="G11" s="1"/>
      <c r="H11" s="1"/>
    </row>
    <row r="12" spans="1:8" ht="24.95" customHeight="1" x14ac:dyDescent="0.25">
      <c r="A12" t="s">
        <v>34</v>
      </c>
      <c r="C12" t="s">
        <v>35</v>
      </c>
      <c r="D12" s="1">
        <v>750</v>
      </c>
      <c r="E12" s="1">
        <v>0</v>
      </c>
      <c r="F12" s="14">
        <v>25039.43</v>
      </c>
      <c r="G12" s="1"/>
      <c r="H12" s="1">
        <v>25114.43</v>
      </c>
    </row>
    <row r="13" spans="1:8" ht="24.95" customHeight="1" x14ac:dyDescent="0.25">
      <c r="D13" s="1"/>
      <c r="E13" s="1"/>
      <c r="F13" s="14"/>
      <c r="G13" s="1"/>
      <c r="H13" s="1"/>
    </row>
    <row r="14" spans="1:8" ht="24.95" customHeight="1" x14ac:dyDescent="0.25">
      <c r="A14" s="15"/>
      <c r="B14" s="15"/>
      <c r="C14" s="15"/>
      <c r="D14" s="16">
        <f>SUM(D4:D12)</f>
        <v>3850</v>
      </c>
      <c r="E14" s="16">
        <f>SUM(E4:E12)</f>
        <v>0</v>
      </c>
      <c r="F14" s="16">
        <f>SUM(F4:F12)</f>
        <v>137775.9</v>
      </c>
      <c r="G14" s="16"/>
      <c r="H14" s="16">
        <f>SUM(H4:H12)</f>
        <v>138150.9</v>
      </c>
    </row>
    <row r="15" spans="1:8" ht="24.95" customHeight="1" x14ac:dyDescent="0.25"/>
  </sheetData>
  <mergeCells count="2">
    <mergeCell ref="A2:D2"/>
    <mergeCell ref="E2:H2"/>
  </mergeCells>
  <pageMargins left="0.7" right="0" top="0.75" bottom="0.75" header="0.3" footer="0.3"/>
  <pageSetup scale="97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51FB-C714-4DF6-803C-41089193812D}">
  <dimension ref="A1"/>
  <sheetViews>
    <sheetView workbookViewId="0">
      <selection activeCell="J18" sqref="J1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2025-06-05T18:23:42Z</cp:lastPrinted>
  <dcterms:created xsi:type="dcterms:W3CDTF">2025-06-05T18:15:37Z</dcterms:created>
  <dcterms:modified xsi:type="dcterms:W3CDTF">2025-06-05T18:38:00Z</dcterms:modified>
</cp:coreProperties>
</file>