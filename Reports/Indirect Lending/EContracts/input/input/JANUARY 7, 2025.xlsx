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322916\Downloads\"/>
    </mc:Choice>
  </mc:AlternateContent>
  <xr:revisionPtr revIDLastSave="0" documentId="8_{106E6FE0-6A09-442F-8F74-279AEC0B5BD4}" xr6:coauthVersionLast="47" xr6:coauthVersionMax="47" xr10:uidLastSave="{00000000-0000-0000-0000-000000000000}"/>
  <bookViews>
    <workbookView xWindow="29535" yWindow="735" windowWidth="22545" windowHeight="1483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H22" i="2"/>
  <c r="F22" i="2"/>
  <c r="E22" i="2"/>
  <c r="D22" i="2"/>
  <c r="H15" i="1" l="1"/>
</calcChain>
</file>

<file path=xl/sharedStrings.xml><?xml version="1.0" encoding="utf-8"?>
<sst xmlns="http://schemas.openxmlformats.org/spreadsheetml/2006/main" count="143" uniqueCount="85">
  <si>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</si>
  <si>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</si>
  <si>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</si>
  <si>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</si>
  <si>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</si>
  <si>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</si>
  <si>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</si>
  <si>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</si>
  <si>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</si>
  <si>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</si>
  <si>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</si>
  <si>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</si>
  <si>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</si>
  <si>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</si>
  <si>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</si>
  <si>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</si>
  <si>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BHATE, SACHIN</t>
  </si>
  <si>
    <t>MUDGAL, DIPTI</t>
  </si>
  <si>
    <t>Planet Subaru</t>
  </si>
  <si>
    <t>Neli Oliveira</t>
  </si>
  <si>
    <t>SKBHATE@GMAIL.COM</t>
  </si>
  <si>
    <t>SULBHA</t>
  </si>
  <si>
    <t>TARA</t>
  </si>
  <si>
    <t>DEMELO, JESSICA</t>
  </si>
  <si>
    <t>RAH FALL RIVER VW, LLC</t>
  </si>
  <si>
    <t>Rachel Gorham</t>
  </si>
  <si>
    <t>JESSICADEMELO@YAHOO.COM</t>
  </si>
  <si>
    <t>BRUM</t>
  </si>
  <si>
    <t>Route One</t>
  </si>
  <si>
    <t>HARUCH, ERIK</t>
  </si>
  <si>
    <t>Herb Chambers Lexus of Hingham</t>
  </si>
  <si>
    <t>EHARUCH@JAYCASHMAN.COM</t>
  </si>
  <si>
    <t>PAUGYS</t>
  </si>
  <si>
    <t>151134344</t>
  </si>
  <si>
    <t>Paper</t>
  </si>
  <si>
    <t>CONNOLLY, JOHN</t>
  </si>
  <si>
    <t>Lucchettis Service Center Inc</t>
  </si>
  <si>
    <t>JOHNJCONNOLLY89@GMAIL.COM</t>
  </si>
  <si>
    <t>MOORE</t>
  </si>
  <si>
    <t>MCAULIFFE, DEVON</t>
  </si>
  <si>
    <t>AutoMax Preowned(Framingham)</t>
  </si>
  <si>
    <t>DRUMMOND</t>
  </si>
  <si>
    <t>HARVEY, DOMINIC</t>
  </si>
  <si>
    <t>Grieco Toyota</t>
  </si>
  <si>
    <t>DOMENIC.HRIMPROVEMENTS@GMAIL.COM</t>
  </si>
  <si>
    <t>MAGGIDRE</t>
  </si>
  <si>
    <t>PROFFIT, LORNA</t>
  </si>
  <si>
    <t>orlandosautoexchange@gmail.com</t>
  </si>
  <si>
    <t>BROWN</t>
  </si>
  <si>
    <t>BALA, LUKE</t>
  </si>
  <si>
    <t>viriatofbala@gmail.com</t>
  </si>
  <si>
    <t>AMARAL</t>
  </si>
  <si>
    <t>MIRANDA, ROBERT</t>
  </si>
  <si>
    <t>Mastria Kia</t>
  </si>
  <si>
    <t>RMIRANDA203@GMAIL.COM</t>
  </si>
  <si>
    <t>KENNEDY</t>
  </si>
  <si>
    <t>SHUKER, CHRISTINA</t>
  </si>
  <si>
    <t>Infiniti of Norwood</t>
  </si>
  <si>
    <t>TINASHUKER@GMAIL.COM</t>
  </si>
  <si>
    <t>DELAPORTA</t>
  </si>
  <si>
    <t># 10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</si>
  <si>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</si>
  <si>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</si>
  <si>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</si>
  <si>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</si>
  <si>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</si>
  <si>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</si>
  <si>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</si>
  <si>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NE AutoMax Preowned(Framingham)</t>
  </si>
  <si>
    <t>Original Note Delivered</t>
  </si>
  <si>
    <t>Funding Worksheet - Signoff Version</t>
  </si>
  <si>
    <t># 1</t>
  </si>
  <si>
    <t>Delivered by:</t>
  </si>
  <si>
    <t>Received by:</t>
  </si>
  <si>
    <t>Date Signed:</t>
  </si>
  <si>
    <t>5099-5689</t>
  </si>
  <si>
    <t>151134310 E</t>
  </si>
  <si>
    <t>151134328 E</t>
  </si>
  <si>
    <t>151134336 E</t>
  </si>
  <si>
    <t>151134352 E</t>
  </si>
  <si>
    <t>151134435 E</t>
  </si>
  <si>
    <t>151134485 E</t>
  </si>
  <si>
    <t>151134526 E</t>
  </si>
  <si>
    <t>151134542 E</t>
  </si>
  <si>
    <t>151134584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</si>
</sst>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7" fontId="2" fillId="0" borderId="0" xfId="0" applyNumberFormat="1" applyFont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/>
    <xf numFmtId="7" fontId="3" fillId="0" borderId="0" xfId="0" applyNumberFormat="1" applyFont="1"/>
    <xf numFmtId="0" fontId="4" fillId="0" borderId="0" xfId="0" applyFont="1"/>
    <xf numFmtId="7" fontId="4" fillId="0" borderId="0" xfId="0" applyNumberFormat="1" applyFont="1"/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5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0C237E-7B9A-48C6-A5BF-E388FDA91C18}" name="Table_14" displayName="Table_14" ref="A3:H22">
  <sortState xmlns:xlrd2="http://schemas.microsoft.com/office/spreadsheetml/2017/richdata2" ref="A4:H22">
    <sortCondition ref="A4:A22"/>
  </sortState>
  <tableColumns count="8">
    <tableColumn id="1" xr3:uid="{5B88274E-5C3D-4C21-8D85-40704F3BDA50}" name="Dealer Name"/>
    <tableColumn id="8" xr3:uid="{2E7C6184-2B6E-4517-A19F-FC8D3387A420}" name="Column2"/>
    <tableColumn id="2" xr3:uid="{E603F1DC-DFA7-492C-8CC0-F3317498CF53}" name="Funded by"/>
    <tableColumn id="3" xr3:uid="{83E7B995-4D9E-4B23-992D-D87FC6EBE8D8}" name="Dealer Flat"/>
    <tableColumn id="4" xr3:uid="{5B7548BB-F17C-4C5B-97EF-389B7F88EC4D}" name="Dealer Split"/>
    <tableColumn id="5" xr3:uid="{69816A8F-9BC3-43BB-A81E-0BD16F4AF261}" name="Net to Dealer"/>
    <tableColumn id="7" xr3:uid="{DCE92941-B504-44D2-B280-896412DD1E01}" name="Column1" dataDxfId="15"/>
    <tableColumn id="6" xr3:uid="{7ADF1E0B-DE28-46E9-8434-146FC5B4A584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069060-0FB5-4A28-B771-BFA5CE0683F3}" name="Table_15" displayName="Table_15" ref="A4:E6">
  <tableColumns count="5">
    <tableColumn id="1" xr3:uid="{F94B2A57-02EF-4A9C-9788-572EBB7C3F78}" name="Account Number"/>
    <tableColumn id="2" xr3:uid="{84BD4696-ECF0-45E2-A34C-88A870E7BE99}" name="Contract Type"/>
    <tableColumn id="3" xr3:uid="{59DD1327-71A8-4701-AD0F-FF992F7E2E55}" name="Applicant Name"/>
    <tableColumn id="4" xr3:uid="{912770C8-4B0A-4C9E-8DF6-69E83642C793}" name="Co-Applicant Name"/>
    <tableColumn id="5" xr3:uid="{7086AF0B-E4F9-4EC5-A58C-869C33DED189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workbookViewId="0">
      <pane ySplit="3" topLeftCell="A4" activePane="bottomLeft" state="frozen"/>
      <selection pane="bottomLeft" activeCell="F1" sqref="F1"/>
    </sheetView>
  </sheetViews>
  <sheetFormatPr defaultRowHeight="15.75" x14ac:dyDescent="0.25"/>
  <cols>
    <col min="1" max="1" width="16.5703125" style="11" customWidth="1"/>
    <col min="2" max="2" width="12.140625" style="11" bestFit="1" customWidth="1"/>
    <col min="3" max="3" width="14" style="11" bestFit="1" customWidth="1"/>
    <col min="4" max="4" width="19.7109375" style="11" bestFit="1" customWidth="1"/>
    <col min="5" max="5" width="16.140625" style="11" customWidth="1"/>
    <col min="6" max="6" width="32.5703125" style="11" bestFit="1" customWidth="1"/>
    <col min="7" max="7" width="15.140625" style="11" bestFit="1" customWidth="1"/>
    <col min="8" max="8" width="17.140625" style="11" bestFit="1" customWidth="1"/>
    <col min="9" max="9" width="40.42578125" style="11" bestFit="1" customWidth="1"/>
    <col min="10" max="10" width="1.5703125" style="11" customWidth="1"/>
    <col min="11" max="11" width="14" style="11" customWidth="1"/>
    <col min="12" max="12" width="10.42578125" style="11" customWidth="1"/>
    <col min="13" max="16384" width="9.140625" style="11"/>
  </cols>
  <sheetData>
    <row r="1" spans="1:12" s="11" customFormat="1" ht="33" customHeight="1" x14ac:dyDescent="0.25">
      <c r="A1" s="16">
        <v>45664</v>
      </c>
      <c r="K1" s="17">
        <v>45664</v>
      </c>
      <c r="L1" s="18"/>
    </row>
    <row r="2" spans="1:12" s="11" customFormat="1" ht="33" customHeight="1" x14ac:dyDescent="0.25">
      <c r="A2" s="19" t="s">
        <v>0</v>
      </c>
      <c r="B2" s="12"/>
      <c r="C2" s="12"/>
      <c r="D2" s="12"/>
      <c r="E2" s="12"/>
      <c r="F2" s="12"/>
      <c r="G2" s="20" t="s">
        <v>1</v>
      </c>
      <c r="H2" s="12"/>
      <c r="I2" s="12"/>
      <c r="J2" s="12"/>
      <c r="K2" s="12"/>
      <c r="L2" s="12"/>
    </row>
    <row r="3" spans="1:12" s="11" customFormat="1" ht="33" customHeight="1" x14ac:dyDescent="0.2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</row>
    <row r="4" spans="1:12" s="11" customFormat="1" ht="33" customHeight="1" x14ac:dyDescent="0.25">
      <c r="A4" s="11" t="s">
        <v>76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3">
        <v>33737</v>
      </c>
      <c r="I4" s="11" t="s">
        <v>20</v>
      </c>
      <c r="K4" s="11" t="s">
        <v>21</v>
      </c>
      <c r="L4" s="11" t="s">
        <v>22</v>
      </c>
    </row>
    <row r="5" spans="1:12" s="11" customFormat="1" ht="33" customHeight="1" x14ac:dyDescent="0.25">
      <c r="A5" s="11" t="s">
        <v>77</v>
      </c>
      <c r="B5" s="11" t="s">
        <v>14</v>
      </c>
      <c r="C5" s="11" t="s">
        <v>15</v>
      </c>
      <c r="D5" s="11" t="s">
        <v>23</v>
      </c>
      <c r="F5" s="11" t="s">
        <v>24</v>
      </c>
      <c r="G5" s="11" t="s">
        <v>25</v>
      </c>
      <c r="H5" s="13">
        <v>13131.44</v>
      </c>
      <c r="I5" s="11" t="s">
        <v>26</v>
      </c>
      <c r="K5" s="11" t="s">
        <v>27</v>
      </c>
    </row>
    <row r="6" spans="1:12" s="11" customFormat="1" ht="33" customHeight="1" x14ac:dyDescent="0.25">
      <c r="A6" s="11" t="s">
        <v>78</v>
      </c>
      <c r="B6" s="11" t="s">
        <v>28</v>
      </c>
      <c r="C6" s="11" t="s">
        <v>15</v>
      </c>
      <c r="D6" s="11" t="s">
        <v>29</v>
      </c>
      <c r="F6" s="11" t="s">
        <v>30</v>
      </c>
      <c r="G6" s="11" t="s">
        <v>25</v>
      </c>
      <c r="H6" s="13">
        <v>69333.37</v>
      </c>
      <c r="I6" s="11" t="s">
        <v>31</v>
      </c>
      <c r="K6" s="11" t="s">
        <v>32</v>
      </c>
    </row>
    <row r="7" spans="1:12" s="11" customFormat="1" ht="33" customHeight="1" x14ac:dyDescent="0.25">
      <c r="A7" s="11" t="s">
        <v>33</v>
      </c>
      <c r="B7" s="11" t="s">
        <v>28</v>
      </c>
      <c r="C7" s="11" t="s">
        <v>34</v>
      </c>
      <c r="D7" s="11" t="s">
        <v>35</v>
      </c>
      <c r="F7" s="11" t="s">
        <v>36</v>
      </c>
      <c r="G7" s="11" t="s">
        <v>25</v>
      </c>
      <c r="H7" s="13">
        <v>27102.69</v>
      </c>
      <c r="I7" s="11" t="s">
        <v>37</v>
      </c>
      <c r="K7" s="11" t="s">
        <v>38</v>
      </c>
    </row>
    <row r="8" spans="1:12" s="11" customFormat="1" ht="33" customHeight="1" x14ac:dyDescent="0.25">
      <c r="A8" s="11" t="s">
        <v>79</v>
      </c>
      <c r="B8" s="11" t="s">
        <v>14</v>
      </c>
      <c r="C8" s="11" t="s">
        <v>15</v>
      </c>
      <c r="D8" s="11" t="s">
        <v>39</v>
      </c>
      <c r="F8" s="11" t="s">
        <v>40</v>
      </c>
      <c r="G8" s="11" t="s">
        <v>25</v>
      </c>
      <c r="H8" s="13">
        <v>23075</v>
      </c>
      <c r="K8" s="11" t="s">
        <v>41</v>
      </c>
    </row>
    <row r="9" spans="1:12" s="11" customFormat="1" ht="33" customHeight="1" x14ac:dyDescent="0.25">
      <c r="A9" s="11" t="s">
        <v>80</v>
      </c>
      <c r="B9" s="11" t="s">
        <v>28</v>
      </c>
      <c r="C9" s="11" t="s">
        <v>15</v>
      </c>
      <c r="D9" s="11" t="s">
        <v>42</v>
      </c>
      <c r="F9" s="11" t="s">
        <v>43</v>
      </c>
      <c r="G9" s="11" t="s">
        <v>25</v>
      </c>
      <c r="H9" s="13">
        <v>49212.9</v>
      </c>
      <c r="I9" s="11" t="s">
        <v>44</v>
      </c>
      <c r="K9" s="11" t="s">
        <v>45</v>
      </c>
    </row>
    <row r="10" spans="1:12" s="11" customFormat="1" ht="33" customHeight="1" x14ac:dyDescent="0.25">
      <c r="A10" s="11" t="s">
        <v>81</v>
      </c>
      <c r="B10" s="11" t="s">
        <v>28</v>
      </c>
      <c r="C10" s="11" t="s">
        <v>15</v>
      </c>
      <c r="D10" s="11" t="s">
        <v>46</v>
      </c>
      <c r="F10" s="11" t="s">
        <v>43</v>
      </c>
      <c r="G10" s="11" t="s">
        <v>19</v>
      </c>
      <c r="H10" s="13">
        <v>37956.46</v>
      </c>
      <c r="I10" s="11" t="s">
        <v>47</v>
      </c>
      <c r="K10" s="11" t="s">
        <v>48</v>
      </c>
    </row>
    <row r="11" spans="1:12" s="11" customFormat="1" ht="33" customHeight="1" x14ac:dyDescent="0.25">
      <c r="A11" s="11" t="s">
        <v>82</v>
      </c>
      <c r="B11" s="11" t="s">
        <v>28</v>
      </c>
      <c r="C11" s="11" t="s">
        <v>15</v>
      </c>
      <c r="D11" s="11" t="s">
        <v>49</v>
      </c>
      <c r="F11" s="11" t="s">
        <v>43</v>
      </c>
      <c r="G11" s="11" t="s">
        <v>19</v>
      </c>
      <c r="H11" s="13">
        <v>21661.25</v>
      </c>
      <c r="I11" s="11" t="s">
        <v>50</v>
      </c>
      <c r="K11" s="11" t="s">
        <v>51</v>
      </c>
    </row>
    <row r="12" spans="1:12" s="11" customFormat="1" ht="33" customHeight="1" x14ac:dyDescent="0.25">
      <c r="A12" s="11" t="s">
        <v>83</v>
      </c>
      <c r="B12" s="11" t="s">
        <v>14</v>
      </c>
      <c r="C12" s="11" t="s">
        <v>15</v>
      </c>
      <c r="D12" s="11" t="s">
        <v>52</v>
      </c>
      <c r="F12" s="11" t="s">
        <v>53</v>
      </c>
      <c r="G12" s="11" t="s">
        <v>25</v>
      </c>
      <c r="H12" s="13">
        <v>16235.36</v>
      </c>
      <c r="I12" s="11" t="s">
        <v>54</v>
      </c>
      <c r="K12" s="11" t="s">
        <v>55</v>
      </c>
    </row>
    <row r="13" spans="1:12" s="11" customFormat="1" ht="33" customHeight="1" x14ac:dyDescent="0.25">
      <c r="A13" s="11" t="s">
        <v>84</v>
      </c>
      <c r="B13" s="11" t="s">
        <v>14</v>
      </c>
      <c r="C13" s="11" t="s">
        <v>15</v>
      </c>
      <c r="D13" s="11" t="s">
        <v>56</v>
      </c>
      <c r="F13" s="11" t="s">
        <v>57</v>
      </c>
      <c r="G13" s="11" t="s">
        <v>19</v>
      </c>
      <c r="H13" s="13">
        <v>33112.559999999998</v>
      </c>
      <c r="I13" s="11" t="s">
        <v>58</v>
      </c>
      <c r="K13" s="11" t="s">
        <v>59</v>
      </c>
    </row>
    <row r="14" spans="1:12" s="11" customFormat="1" ht="20.25" customHeight="1" x14ac:dyDescent="0.25">
      <c r="H14" s="13"/>
    </row>
    <row r="15" spans="1:12" s="11" customFormat="1" x14ac:dyDescent="0.25">
      <c r="A15" s="14"/>
      <c r="B15" s="14"/>
      <c r="C15" s="14"/>
      <c r="D15" s="14" t="s">
        <v>60</v>
      </c>
      <c r="E15" s="14"/>
      <c r="F15" s="14"/>
      <c r="G15" s="14"/>
      <c r="H15" s="15">
        <f>SUM(H4:H13)</f>
        <v>324558.02999999997</v>
      </c>
      <c r="I15" s="14"/>
      <c r="J15" s="14"/>
      <c r="K15" s="14"/>
      <c r="L15" s="14"/>
    </row>
  </sheetData>
  <mergeCells count="3">
    <mergeCell ref="A2:F2"/>
    <mergeCell ref="G2:L2"/>
    <mergeCell ref="K1:L1"/>
  </mergeCells>
  <pageMargins left="0.7" right="0.7" top="0.75" bottom="0.75" header="0.3" footer="0.3"/>
  <pageSetup paperSize="5" scale="7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203E-7B5B-4AD2-BF84-2EAF70ED198A}">
  <dimension ref="A1:H22"/>
  <sheetViews>
    <sheetView workbookViewId="0">
      <selection activeCell="B14" sqref="B14"/>
    </sheetView>
  </sheetViews>
  <sheetFormatPr defaultRowHeight="15" x14ac:dyDescent="0.25"/>
  <cols>
    <col min="1" max="1" width="16.140625" customWidth="1"/>
    <col min="2" max="2" width="13.7109375" customWidth="1"/>
    <col min="3" max="3" width="12.28515625" customWidth="1"/>
    <col min="4" max="5" width="14" customWidth="1"/>
    <col min="6" max="6" width="16" customWidth="1"/>
    <col min="7" max="7" width="13.28515625" customWidth="1"/>
    <col min="8" max="8" width="18" customWidth="1"/>
  </cols>
  <sheetData>
    <row r="1" spans="1:8" x14ac:dyDescent="0.25">
      <c r="E1" s="4"/>
      <c r="H1" s="4">
        <v>45664.999988425923</v>
      </c>
    </row>
    <row r="2" spans="1:8" x14ac:dyDescent="0.25">
      <c r="A2" s="5" t="s">
        <v>0</v>
      </c>
      <c r="B2" s="5"/>
      <c r="C2" s="6"/>
      <c r="D2" s="6"/>
      <c r="E2" s="7" t="s">
        <v>61</v>
      </c>
      <c r="F2" s="6"/>
      <c r="G2" s="6"/>
      <c r="H2" s="6"/>
    </row>
    <row r="3" spans="1:8" x14ac:dyDescent="0.25">
      <c r="A3" t="s">
        <v>7</v>
      </c>
      <c r="B3" t="s">
        <v>67</v>
      </c>
      <c r="C3" t="s">
        <v>8</v>
      </c>
      <c r="D3" t="s">
        <v>62</v>
      </c>
      <c r="E3" t="s">
        <v>63</v>
      </c>
      <c r="F3" t="s">
        <v>64</v>
      </c>
      <c r="G3" t="s">
        <v>66</v>
      </c>
      <c r="H3" t="s">
        <v>65</v>
      </c>
    </row>
    <row r="4" spans="1:8" ht="27" customHeight="1" x14ac:dyDescent="0.25">
      <c r="A4" t="s">
        <v>43</v>
      </c>
      <c r="C4" t="s">
        <v>25</v>
      </c>
      <c r="D4" s="2">
        <v>800</v>
      </c>
      <c r="E4" s="2">
        <v>0</v>
      </c>
      <c r="F4" s="2">
        <v>49137.9</v>
      </c>
      <c r="G4" s="2"/>
      <c r="H4" s="2">
        <v>49212.9</v>
      </c>
    </row>
    <row r="5" spans="1:8" ht="27" customHeight="1" x14ac:dyDescent="0.25">
      <c r="A5" t="s">
        <v>43</v>
      </c>
      <c r="C5" t="s">
        <v>19</v>
      </c>
      <c r="D5" s="2">
        <v>650</v>
      </c>
      <c r="E5" s="2">
        <v>0</v>
      </c>
      <c r="F5" s="2">
        <v>37881.46</v>
      </c>
      <c r="G5" s="2"/>
      <c r="H5" s="2">
        <v>37956.46</v>
      </c>
    </row>
    <row r="6" spans="1:8" ht="27" customHeight="1" x14ac:dyDescent="0.25">
      <c r="A6" t="s">
        <v>43</v>
      </c>
      <c r="C6" t="s">
        <v>19</v>
      </c>
      <c r="D6" s="2">
        <v>450</v>
      </c>
      <c r="E6" s="2">
        <v>0</v>
      </c>
      <c r="F6" s="2">
        <v>21586.25</v>
      </c>
      <c r="G6" s="8">
        <f>SUM(F4:F6)</f>
        <v>108605.61</v>
      </c>
      <c r="H6" s="2">
        <v>21661.25</v>
      </c>
    </row>
    <row r="7" spans="1:8" ht="27" customHeight="1" x14ac:dyDescent="0.25">
      <c r="D7" s="2"/>
      <c r="E7" s="2"/>
      <c r="F7" s="2"/>
      <c r="G7" s="2"/>
      <c r="H7" s="2"/>
    </row>
    <row r="8" spans="1:8" ht="27" customHeight="1" x14ac:dyDescent="0.25">
      <c r="A8" t="s">
        <v>30</v>
      </c>
      <c r="C8" t="s">
        <v>25</v>
      </c>
      <c r="D8" s="2">
        <v>1000</v>
      </c>
      <c r="E8" s="2">
        <v>0</v>
      </c>
      <c r="F8" s="8">
        <v>69258.37</v>
      </c>
      <c r="G8" s="2"/>
      <c r="H8" s="2">
        <v>69333.37</v>
      </c>
    </row>
    <row r="9" spans="1:8" ht="27" customHeight="1" x14ac:dyDescent="0.25">
      <c r="D9" s="2"/>
      <c r="E9" s="2"/>
      <c r="F9" s="8"/>
      <c r="G9" s="2"/>
      <c r="H9" s="2"/>
    </row>
    <row r="10" spans="1:8" ht="27" customHeight="1" x14ac:dyDescent="0.25">
      <c r="A10" t="s">
        <v>57</v>
      </c>
      <c r="C10" t="s">
        <v>19</v>
      </c>
      <c r="D10" s="2">
        <v>600</v>
      </c>
      <c r="E10" s="2">
        <v>0</v>
      </c>
      <c r="F10" s="8">
        <v>33037.56</v>
      </c>
      <c r="G10" s="2"/>
      <c r="H10" s="2">
        <v>33112.559999999998</v>
      </c>
    </row>
    <row r="11" spans="1:8" ht="27" customHeight="1" x14ac:dyDescent="0.25">
      <c r="D11" s="2"/>
      <c r="E11" s="2"/>
      <c r="F11" s="8"/>
      <c r="G11" s="2"/>
      <c r="H11" s="2"/>
    </row>
    <row r="12" spans="1:8" ht="27" customHeight="1" x14ac:dyDescent="0.25">
      <c r="A12" t="s">
        <v>36</v>
      </c>
      <c r="C12" t="s">
        <v>25</v>
      </c>
      <c r="D12" s="2">
        <v>500</v>
      </c>
      <c r="E12" s="2">
        <v>0</v>
      </c>
      <c r="F12" s="8">
        <v>27027.69</v>
      </c>
      <c r="G12" s="2"/>
      <c r="H12" s="2">
        <v>27102.69</v>
      </c>
    </row>
    <row r="13" spans="1:8" ht="27" customHeight="1" x14ac:dyDescent="0.25">
      <c r="D13" s="2"/>
      <c r="E13" s="2"/>
      <c r="F13" s="8"/>
      <c r="G13" s="2"/>
      <c r="H13" s="2"/>
    </row>
    <row r="14" spans="1:8" ht="27" customHeight="1" x14ac:dyDescent="0.25">
      <c r="A14" t="s">
        <v>53</v>
      </c>
      <c r="B14" s="10" t="s">
        <v>75</v>
      </c>
      <c r="C14" t="s">
        <v>25</v>
      </c>
      <c r="D14" s="2">
        <v>350</v>
      </c>
      <c r="E14" s="2">
        <v>0</v>
      </c>
      <c r="F14" s="8">
        <v>16160.36</v>
      </c>
      <c r="G14" s="2"/>
      <c r="H14" s="2">
        <v>16235.36</v>
      </c>
    </row>
    <row r="15" spans="1:8" ht="27" customHeight="1" x14ac:dyDescent="0.25">
      <c r="D15" s="2"/>
      <c r="E15" s="2"/>
      <c r="F15" s="8"/>
      <c r="G15" s="2"/>
      <c r="H15" s="2"/>
    </row>
    <row r="16" spans="1:8" ht="27" customHeight="1" x14ac:dyDescent="0.25">
      <c r="A16" t="s">
        <v>68</v>
      </c>
      <c r="C16" t="s">
        <v>25</v>
      </c>
      <c r="D16" s="2">
        <v>450</v>
      </c>
      <c r="E16" s="2">
        <v>0</v>
      </c>
      <c r="F16" s="8">
        <v>23000</v>
      </c>
      <c r="G16" s="2"/>
      <c r="H16" s="2">
        <v>23075</v>
      </c>
    </row>
    <row r="17" spans="1:8" ht="27" customHeight="1" x14ac:dyDescent="0.25">
      <c r="D17" s="2"/>
      <c r="E17" s="2"/>
      <c r="F17" s="8"/>
      <c r="G17" s="2"/>
      <c r="H17" s="2"/>
    </row>
    <row r="18" spans="1:8" ht="27" customHeight="1" x14ac:dyDescent="0.25">
      <c r="A18" t="s">
        <v>18</v>
      </c>
      <c r="C18" t="s">
        <v>19</v>
      </c>
      <c r="D18" s="2">
        <v>600</v>
      </c>
      <c r="E18" s="2">
        <v>0</v>
      </c>
      <c r="F18" s="8">
        <v>33662</v>
      </c>
      <c r="G18" s="2"/>
      <c r="H18" s="2">
        <v>33737</v>
      </c>
    </row>
    <row r="19" spans="1:8" ht="27" customHeight="1" x14ac:dyDescent="0.25">
      <c r="D19" s="2"/>
      <c r="E19" s="2"/>
      <c r="F19" s="8"/>
      <c r="G19" s="2"/>
      <c r="H19" s="2"/>
    </row>
    <row r="20" spans="1:8" ht="27" customHeight="1" x14ac:dyDescent="0.25">
      <c r="A20" t="s">
        <v>24</v>
      </c>
      <c r="C20" t="s">
        <v>25</v>
      </c>
      <c r="D20" s="2">
        <v>200</v>
      </c>
      <c r="E20" s="2">
        <v>0</v>
      </c>
      <c r="F20" s="8">
        <v>13056.44</v>
      </c>
      <c r="G20" s="2"/>
      <c r="H20" s="2">
        <v>13131.44</v>
      </c>
    </row>
    <row r="21" spans="1:8" x14ac:dyDescent="0.25">
      <c r="D21" s="2"/>
      <c r="E21" s="2"/>
      <c r="F21" s="2"/>
      <c r="G21" s="2"/>
      <c r="H21" s="2"/>
    </row>
    <row r="22" spans="1:8" x14ac:dyDescent="0.25">
      <c r="A22" s="1"/>
      <c r="B22" s="1"/>
      <c r="C22" s="1"/>
      <c r="D22" s="3">
        <f>SUM(D4:D20)</f>
        <v>5600</v>
      </c>
      <c r="E22" s="3">
        <f>SUM(E4:E20)</f>
        <v>0</v>
      </c>
      <c r="F22" s="3">
        <f>SUM(F4:F20)</f>
        <v>323808.02999999997</v>
      </c>
      <c r="G22" s="3"/>
      <c r="H22" s="3">
        <f>SUM(H4:H20)</f>
        <v>324558.02999999997</v>
      </c>
    </row>
  </sheetData>
  <mergeCells count="2">
    <mergeCell ref="A2:D2"/>
    <mergeCell ref="E2:H2"/>
  </mergeCells>
  <pageMargins left="0.7" right="0.2" top="0.75" bottom="0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9831-8CE7-4A54-9862-D7880330BBF2}">
  <dimension ref="A2:E21"/>
  <sheetViews>
    <sheetView workbookViewId="0">
      <selection activeCell="C28" sqref="C28"/>
    </sheetView>
  </sheetViews>
  <sheetFormatPr defaultRowHeight="15" x14ac:dyDescent="0.25"/>
  <cols>
    <col min="1" max="1" width="12.5703125" customWidth="1"/>
    <col min="3" max="3" width="17.42578125" customWidth="1"/>
    <col min="4" max="4" width="5.28515625" customWidth="1"/>
    <col min="5" max="5" width="28.5703125" customWidth="1"/>
  </cols>
  <sheetData>
    <row r="2" spans="1:5" ht="21.95" customHeight="1" x14ac:dyDescent="0.25">
      <c r="A2" t="s">
        <v>69</v>
      </c>
      <c r="E2" s="4">
        <v>45664</v>
      </c>
    </row>
    <row r="3" spans="1:5" ht="21.95" customHeight="1" x14ac:dyDescent="0.25">
      <c r="A3" s="5" t="s">
        <v>0</v>
      </c>
      <c r="B3" s="6"/>
      <c r="C3" s="6"/>
      <c r="D3" s="7" t="s">
        <v>70</v>
      </c>
      <c r="E3" s="6"/>
    </row>
    <row r="4" spans="1:5" ht="21.95" customHeight="1" x14ac:dyDescent="0.25">
      <c r="A4" t="s">
        <v>2</v>
      </c>
      <c r="B4" t="s">
        <v>4</v>
      </c>
      <c r="C4" t="s">
        <v>5</v>
      </c>
      <c r="D4" t="s">
        <v>6</v>
      </c>
      <c r="E4" t="s">
        <v>7</v>
      </c>
    </row>
    <row r="5" spans="1:5" ht="21.95" customHeight="1" x14ac:dyDescent="0.25">
      <c r="A5" t="s">
        <v>33</v>
      </c>
      <c r="B5" t="s">
        <v>34</v>
      </c>
      <c r="C5" t="s">
        <v>35</v>
      </c>
      <c r="E5" t="s">
        <v>36</v>
      </c>
    </row>
    <row r="6" spans="1:5" ht="21.95" customHeight="1" x14ac:dyDescent="0.25">
      <c r="A6" s="1"/>
      <c r="B6" s="1"/>
      <c r="C6" s="1" t="s">
        <v>71</v>
      </c>
      <c r="D6" s="1"/>
      <c r="E6" s="1"/>
    </row>
    <row r="11" spans="1:5" x14ac:dyDescent="0.25">
      <c r="A11" t="s">
        <v>72</v>
      </c>
      <c r="B11" s="9"/>
      <c r="C11" s="9"/>
      <c r="D11" s="9"/>
    </row>
    <row r="16" spans="1:5" x14ac:dyDescent="0.25">
      <c r="A16" t="s">
        <v>73</v>
      </c>
      <c r="B16" s="9"/>
      <c r="C16" s="9"/>
      <c r="D16" s="9"/>
    </row>
    <row r="21" spans="1:2" x14ac:dyDescent="0.25">
      <c r="A21" t="s">
        <v>74</v>
      </c>
      <c r="B21" s="9"/>
    </row>
  </sheetData>
  <mergeCells count="2">
    <mergeCell ref="A3:C3"/>
    <mergeCell ref="D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2025-01-07T19:30:46Z</cp:lastPrinted>
  <dcterms:created xsi:type="dcterms:W3CDTF">2025-01-07T18:59:46Z</dcterms:created>
  <dcterms:modified xsi:type="dcterms:W3CDTF">2025-01-07T19:36:33Z</dcterms:modified>
</cp:coreProperties>
</file>