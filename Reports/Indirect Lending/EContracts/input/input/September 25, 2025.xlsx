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4F05EB0A-5D48-4584-832E-9314656E8BA7}" xr6:coauthVersionLast="47" xr6:coauthVersionMax="47" xr10:uidLastSave="{00000000-0000-0000-0000-000000000000}"/>
  <bookViews>
    <workbookView xWindow="31155" yWindow="105" windowWidth="22035" windowHeight="15090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2" l="1"/>
  <c r="G7" i="2"/>
  <c r="H36" i="2"/>
  <c r="F36" i="2"/>
  <c r="E36" i="2"/>
  <c r="D36" i="2"/>
  <c r="H21" i="1"/>
</calcChain>
</file>

<file path=xl/sharedStrings.xml><?xml version="1.0" encoding="utf-8"?>
<sst xmlns="http://schemas.openxmlformats.org/spreadsheetml/2006/main" count="220" uniqueCount="124">
  <si>
    <t>Bristol County Savings Bank</t>
  </si>
  <si>
    <t>Funding Worksheet - Folder Version</t>
  </si>
  <si>
    <t>To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</si>
  <si>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</si>
  <si>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</si>
  <si>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</si>
  <si>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</si>
  <si>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</si>
  <si>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</si>
  <si>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</si>
  <si>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</si>
  <si>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</si>
  <si>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</si>
  <si>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</si>
  <si>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</si>
  <si>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Business Name</t>
  </si>
  <si>
    <t>Route One</t>
  </si>
  <si>
    <t>E Contract</t>
  </si>
  <si>
    <t>KILCOMMONS, KATIE</t>
  </si>
  <si>
    <t>Bailey's Motor Sales Inc</t>
  </si>
  <si>
    <t>Marlene Braganca</t>
  </si>
  <si>
    <t>katie.kilcommons@compass.com</t>
  </si>
  <si>
    <t>Bucolo</t>
  </si>
  <si>
    <t>MCAULEY, KATHARINE</t>
  </si>
  <si>
    <t>Hiller Co Inc</t>
  </si>
  <si>
    <t>Rachel Gorham</t>
  </si>
  <si>
    <t>kmmcauley@gmail.com</t>
  </si>
  <si>
    <t>LAFLAMME</t>
  </si>
  <si>
    <t>DealerTrack</t>
  </si>
  <si>
    <t>MACINNIS, KEVIN</t>
  </si>
  <si>
    <t>Mastria Kia</t>
  </si>
  <si>
    <t>KMACINNIS76@GMAIL.COM</t>
  </si>
  <si>
    <t>Cloutier</t>
  </si>
  <si>
    <t>MEEHAN, BRENDA</t>
  </si>
  <si>
    <t>Colonial Ford Inc</t>
  </si>
  <si>
    <t>deammeehan1@juno.com</t>
  </si>
  <si>
    <t>OULLETTE</t>
  </si>
  <si>
    <t>CLARK, CLIFTON</t>
  </si>
  <si>
    <t>Planet Subaru</t>
  </si>
  <si>
    <t>CLARK.CLIFTON@YAHOO.COM</t>
  </si>
  <si>
    <t>VIDAL ORTIZ</t>
  </si>
  <si>
    <t>FUSCO, WILLIAM</t>
  </si>
  <si>
    <t>BFUSCO1@GMAIL.COM</t>
  </si>
  <si>
    <t>SULLIVAN</t>
  </si>
  <si>
    <t>Charbonneau, Brian</t>
  </si>
  <si>
    <t>Charbonneau, Tamie</t>
  </si>
  <si>
    <t>Mathieu Ford Sales, Inc</t>
  </si>
  <si>
    <t>brianc@garlockprinting.com</t>
  </si>
  <si>
    <t>tamielcharbonneau@yahoo.com</t>
  </si>
  <si>
    <t>Agnelli</t>
  </si>
  <si>
    <t>Burns</t>
  </si>
  <si>
    <t>MCHUGO, PATRICK</t>
  </si>
  <si>
    <t>Mastria Mazda</t>
  </si>
  <si>
    <t>pmchugo2119@gmail.com</t>
  </si>
  <si>
    <t>Burke</t>
  </si>
  <si>
    <t>151228494</t>
  </si>
  <si>
    <t>Paper</t>
  </si>
  <si>
    <t>GRIFFIN, DOUGLAS</t>
  </si>
  <si>
    <t>Planet Automotive Sales LLC</t>
  </si>
  <si>
    <t>DGRIFFIN101@gmail.com</t>
  </si>
  <si>
    <t>HARVEY</t>
  </si>
  <si>
    <t>DAVI, LUZINETE</t>
  </si>
  <si>
    <t>Langway Toyota of Newport</t>
  </si>
  <si>
    <t>ROCHA</t>
  </si>
  <si>
    <t>SWARCE, KELSEY</t>
  </si>
  <si>
    <t>RAH FALL RIVER VW, LLC</t>
  </si>
  <si>
    <t>KELSEYNCABRAL@GMAIL.COM</t>
  </si>
  <si>
    <t>SOARES</t>
  </si>
  <si>
    <t>PHAM, TUAN</t>
  </si>
  <si>
    <t>AutoMax Preowned(Framingham)</t>
  </si>
  <si>
    <t>Neli Oliveira</t>
  </si>
  <si>
    <t>NGUYEN</t>
  </si>
  <si>
    <t>Chace, Jean</t>
  </si>
  <si>
    <t>Alden Buick Pontiac GMC</t>
  </si>
  <si>
    <t>Jeankchace@gmail.com</t>
  </si>
  <si>
    <t>REPOSA</t>
  </si>
  <si>
    <t>WYSOCKI, TIMOTHY</t>
  </si>
  <si>
    <t>HELINSKI</t>
  </si>
  <si>
    <t>CHAGNON, RICHARD</t>
  </si>
  <si>
    <t>Colonial South Chrysler Dodge</t>
  </si>
  <si>
    <t>ROUNDHOUSE189@YAHOO.OM</t>
  </si>
  <si>
    <t>NEILAN</t>
  </si>
  <si>
    <t>LEIGHTON, ABIGAIL</t>
  </si>
  <si>
    <t>Patriot Auto Group Inc d/b/a</t>
  </si>
  <si>
    <t>AC_HOGAN@HOTMAIL.COM</t>
  </si>
  <si>
    <t>MORAN</t>
  </si>
  <si>
    <t>151228676</t>
  </si>
  <si>
    <t>FOLEY, ANNE</t>
  </si>
  <si>
    <t>T F Murphy Enterprises Inc</t>
  </si>
  <si>
    <t>AMFOLEY2@GMAIL.COM</t>
  </si>
  <si>
    <t>HELIN</t>
  </si>
  <si>
    <t># 17</t>
  </si>
  <si>
    <t>Funding Worksheet - ACH Version</t>
  </si>
  <si>
    <t>Dealer Flat</t>
  </si>
  <si>
    <t>Dealer Split</t>
  </si>
  <si>
    <t>Net to Dealer</t>
  </si>
  <si>
    <t>Contracted Amount Financed</t>
  </si>
  <si>
    <t>Column1</t>
  </si>
  <si>
    <t>Column2</t>
  </si>
  <si>
    <t>NE-AutoMax Preowned(Framingham)</t>
  </si>
  <si>
    <t>honda-Patriot Auto Group Inc d/b/a</t>
  </si>
  <si>
    <t>Funding Worksheet - Signoff Version</t>
  </si>
  <si>
    <t>5099-5689</t>
  </si>
  <si>
    <t>5900-6390</t>
  </si>
  <si>
    <t>151228311 E</t>
  </si>
  <si>
    <t>151228387 E</t>
  </si>
  <si>
    <t>151228478 E</t>
  </si>
  <si>
    <t>151228486 E</t>
  </si>
  <si>
    <t>151228535 E</t>
  </si>
  <si>
    <t>151228585 E</t>
  </si>
  <si>
    <t>151228593 E</t>
  </si>
  <si>
    <t>151228634 E</t>
  </si>
  <si>
    <t>151228642 E</t>
  </si>
  <si>
    <t>151228379 E</t>
  </si>
  <si>
    <t>151228410 E</t>
  </si>
  <si>
    <t>151228452 E</t>
  </si>
  <si>
    <t>151228460 E</t>
  </si>
  <si>
    <t>151228501   E</t>
  </si>
  <si>
    <t>151228519 E</t>
  </si>
  <si>
    <t># 2</t>
  </si>
  <si>
    <t>Original Notes Delivered</t>
  </si>
  <si>
    <t>Delivered by:</t>
  </si>
  <si>
    <t>Received by:</t>
  </si>
  <si>
    <t>Diate Signed: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</si>
</sst>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7" fontId="2" fillId="0" borderId="0" xfId="0" applyNumberFormat="1" applyFont="1"/>
    <xf numFmtId="0" fontId="2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1"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M21">
  <sortState xmlns:xlrd2="http://schemas.microsoft.com/office/spreadsheetml/2017/richdata2" ref="A4:M21">
    <sortCondition ref="G4:G21"/>
  </sortState>
  <tableColumns count="13">
    <tableColumn id="1" xr3:uid="{00000000-0010-0000-0000-000001000000}" name="Account Number"/>
    <tableColumn id="2" xr3:uid="{00000000-0010-0000-0000-000002000000}" name="Portal"/>
    <tableColumn id="3" xr3:uid="{00000000-0010-0000-0000-000003000000}" name="Contract Type"/>
    <tableColumn id="4" xr3:uid="{00000000-0010-0000-0000-000004000000}" name="Applicant Name"/>
    <tableColumn id="5" xr3:uid="{00000000-0010-0000-0000-000005000000}" name="Co-Applicant Name"/>
    <tableColumn id="6" xr3:uid="{00000000-0010-0000-0000-000006000000}" name="Dealer Name"/>
    <tableColumn id="7" xr3:uid="{00000000-0010-0000-0000-000007000000}" name="Funded by"/>
    <tableColumn id="8" xr3:uid="{00000000-0010-0000-0000-000008000000}" name="Amount Financed"/>
    <tableColumn id="9" xr3:uid="{00000000-0010-0000-0000-000009000000}" name="Applicant Email"/>
    <tableColumn id="10" xr3:uid="{00000000-0010-0000-0000-00000A000000}" name="Co-Applicant Email"/>
    <tableColumn id="11" xr3:uid="{00000000-0010-0000-0000-00000B000000}" name="App MMN"/>
    <tableColumn id="12" xr3:uid="{00000000-0010-0000-0000-00000C000000}" name="Co-App MMN"/>
    <tableColumn id="13" xr3:uid="{00000000-0010-0000-0000-00000D000000}" name="Business Nam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D57F44-4AF8-4810-BDC6-F4D293C35E6F}" name="Table_14" displayName="Table_14" ref="A3:H36">
  <sortState xmlns:xlrd2="http://schemas.microsoft.com/office/spreadsheetml/2017/richdata2" ref="A4:H36">
    <sortCondition ref="A4:A36"/>
  </sortState>
  <tableColumns count="8">
    <tableColumn id="1" xr3:uid="{B28B2AF9-B7B6-4A4E-9869-8FAE447162AE}" name="Dealer Name"/>
    <tableColumn id="8" xr3:uid="{BD81CDB8-DCD8-47CC-84D6-8520ECACA391}" name="Column2"/>
    <tableColumn id="2" xr3:uid="{AEDD0EF8-FD52-41E7-9EA3-13914A734774}" name="Funded by"/>
    <tableColumn id="3" xr3:uid="{94FDC708-6A9B-4B79-A9C9-18E00CF7CBF7}" name="Dealer Flat"/>
    <tableColumn id="4" xr3:uid="{C94D84C6-ECD8-4836-8DCC-8B5BEF7819E2}" name="Dealer Split"/>
    <tableColumn id="5" xr3:uid="{A3C0BB6F-A19F-49E8-8A40-7F3467F1D91A}" name="Net to Dealer"/>
    <tableColumn id="7" xr3:uid="{320C8804-4BCA-44C3-B7B0-5BBFB6305945}" name="Column1" dataDxfId="0"/>
    <tableColumn id="6" xr3:uid="{FBC550A4-76D5-4FDD-BCBB-C1969CB1AAF3}" name="Contracted Amount Finance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095215E-8221-4DAE-BFBF-5F1C31CE0C8D}" name="Table_15" displayName="Table_15" ref="A3:F6">
  <tableColumns count="6">
    <tableColumn id="1" xr3:uid="{D1D549A6-F55E-475A-AA4C-E2BDA641B24B}" name="Account Number"/>
    <tableColumn id="2" xr3:uid="{2D5E2015-4B0F-4662-A861-955078FF383B}" name="Contract Type"/>
    <tableColumn id="3" xr3:uid="{116CC97E-5565-42E8-AD97-BECB17C64FFE}" name="Applicant Name"/>
    <tableColumn id="4" xr3:uid="{6F7017A8-FE70-431A-869B-3BF0AEC0E5F2}" name="Co-Applicant Name"/>
    <tableColumn id="5" xr3:uid="{104C65EC-93B8-400A-87E2-1A7D70CE354B}" name="Dealer Name"/>
    <tableColumn id="6" xr3:uid="{D1BD5658-278F-420C-8FBD-38618116A57F}" name="Business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1"/>
  <sheetViews>
    <sheetView tabSelected="1" workbookViewId="0">
      <pane ySplit="3" topLeftCell="A4" activePane="bottomLeft" state="frozen"/>
      <selection pane="bottomLeft" activeCell="F1" sqref="F1"/>
    </sheetView>
  </sheetViews>
  <sheetFormatPr defaultRowHeight="15" x14ac:dyDescent="0.25"/>
  <cols>
    <col min="1" max="1" width="16.42578125" bestFit="1" customWidth="1"/>
    <col min="2" max="2" width="12.140625" bestFit="1" customWidth="1"/>
    <col min="3" max="3" width="14" bestFit="1" customWidth="1"/>
    <col min="4" max="4" width="21.5703125" bestFit="1" customWidth="1"/>
    <col min="5" max="5" width="20.28515625" bestFit="1" customWidth="1"/>
    <col min="6" max="6" width="28.28515625" customWidth="1"/>
    <col min="7" max="7" width="17.7109375" bestFit="1" customWidth="1"/>
    <col min="8" max="8" width="17.140625" bestFit="1" customWidth="1"/>
    <col min="9" max="9" width="31.5703125" bestFit="1" customWidth="1"/>
    <col min="10" max="10" width="30.85546875" bestFit="1" customWidth="1"/>
    <col min="11" max="11" width="19.85546875" bestFit="1" customWidth="1"/>
    <col min="12" max="12" width="12.85546875" bestFit="1" customWidth="1"/>
    <col min="13" max="13" width="19.85546875" hidden="1" customWidth="1"/>
  </cols>
  <sheetData>
    <row r="1" spans="1:13" x14ac:dyDescent="0.25">
      <c r="K1" s="4">
        <v>45925</v>
      </c>
      <c r="L1" t="s">
        <v>2</v>
      </c>
      <c r="M1" s="4">
        <v>45925.999988425923</v>
      </c>
    </row>
    <row r="2" spans="1:13" x14ac:dyDescent="0.25">
      <c r="A2" s="5" t="s">
        <v>0</v>
      </c>
      <c r="B2" s="6"/>
      <c r="C2" s="6"/>
      <c r="D2" s="6"/>
      <c r="E2" s="6"/>
      <c r="F2" s="6"/>
      <c r="G2" s="7" t="s">
        <v>1</v>
      </c>
      <c r="H2" s="6"/>
      <c r="I2" s="6"/>
      <c r="J2" s="6"/>
      <c r="K2" s="6"/>
      <c r="L2" s="6"/>
      <c r="M2" s="6"/>
    </row>
    <row r="3" spans="1:13" x14ac:dyDescent="0.25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</row>
    <row r="4" spans="1:13" ht="30" customHeight="1" x14ac:dyDescent="0.25">
      <c r="A4" t="s">
        <v>104</v>
      </c>
      <c r="B4" t="s">
        <v>16</v>
      </c>
      <c r="C4" t="s">
        <v>17</v>
      </c>
      <c r="D4" t="s">
        <v>18</v>
      </c>
      <c r="F4" t="s">
        <v>19</v>
      </c>
      <c r="G4" t="s">
        <v>20</v>
      </c>
      <c r="H4" s="2">
        <v>25617.9</v>
      </c>
      <c r="I4" t="s">
        <v>21</v>
      </c>
      <c r="K4" t="s">
        <v>22</v>
      </c>
    </row>
    <row r="5" spans="1:13" ht="30" customHeight="1" x14ac:dyDescent="0.25">
      <c r="A5" t="s">
        <v>105</v>
      </c>
      <c r="B5" t="s">
        <v>28</v>
      </c>
      <c r="C5" t="s">
        <v>17</v>
      </c>
      <c r="D5" t="s">
        <v>29</v>
      </c>
      <c r="F5" t="s">
        <v>30</v>
      </c>
      <c r="G5" t="s">
        <v>20</v>
      </c>
      <c r="H5" s="2">
        <v>21397.14</v>
      </c>
      <c r="I5" t="s">
        <v>31</v>
      </c>
      <c r="K5" t="s">
        <v>32</v>
      </c>
    </row>
    <row r="6" spans="1:13" ht="30" customHeight="1" x14ac:dyDescent="0.25">
      <c r="A6" t="s">
        <v>106</v>
      </c>
      <c r="B6" t="s">
        <v>16</v>
      </c>
      <c r="C6" t="s">
        <v>17</v>
      </c>
      <c r="D6" t="s">
        <v>44</v>
      </c>
      <c r="E6" t="s">
        <v>45</v>
      </c>
      <c r="F6" t="s">
        <v>46</v>
      </c>
      <c r="G6" t="s">
        <v>20</v>
      </c>
      <c r="H6" s="2">
        <v>39736.879999999997</v>
      </c>
      <c r="I6" t="s">
        <v>47</v>
      </c>
      <c r="J6" t="s">
        <v>48</v>
      </c>
      <c r="K6" t="s">
        <v>49</v>
      </c>
      <c r="L6" t="s">
        <v>50</v>
      </c>
    </row>
    <row r="7" spans="1:13" ht="30" customHeight="1" x14ac:dyDescent="0.25">
      <c r="A7" t="s">
        <v>107</v>
      </c>
      <c r="B7" t="s">
        <v>16</v>
      </c>
      <c r="C7" t="s">
        <v>17</v>
      </c>
      <c r="D7" t="s">
        <v>51</v>
      </c>
      <c r="F7" t="s">
        <v>52</v>
      </c>
      <c r="G7" t="s">
        <v>20</v>
      </c>
      <c r="H7" s="2">
        <v>36205.980000000003</v>
      </c>
      <c r="I7" t="s">
        <v>53</v>
      </c>
      <c r="K7" t="s">
        <v>54</v>
      </c>
    </row>
    <row r="8" spans="1:13" ht="30" customHeight="1" x14ac:dyDescent="0.25">
      <c r="A8" t="s">
        <v>108</v>
      </c>
      <c r="B8" t="s">
        <v>28</v>
      </c>
      <c r="C8" t="s">
        <v>17</v>
      </c>
      <c r="D8" t="s">
        <v>68</v>
      </c>
      <c r="F8" t="s">
        <v>69</v>
      </c>
      <c r="G8" t="s">
        <v>70</v>
      </c>
      <c r="H8" s="2">
        <v>19596.810000000001</v>
      </c>
      <c r="K8" t="s">
        <v>71</v>
      </c>
    </row>
    <row r="9" spans="1:13" ht="30" customHeight="1" x14ac:dyDescent="0.25">
      <c r="A9" t="s">
        <v>109</v>
      </c>
      <c r="B9" t="s">
        <v>16</v>
      </c>
      <c r="C9" t="s">
        <v>17</v>
      </c>
      <c r="D9" t="s">
        <v>72</v>
      </c>
      <c r="F9" t="s">
        <v>73</v>
      </c>
      <c r="G9" t="s">
        <v>70</v>
      </c>
      <c r="H9" s="2">
        <v>59282.06</v>
      </c>
      <c r="I9" t="s">
        <v>74</v>
      </c>
      <c r="K9" t="s">
        <v>75</v>
      </c>
    </row>
    <row r="10" spans="1:13" ht="30" customHeight="1" x14ac:dyDescent="0.25">
      <c r="A10" t="s">
        <v>110</v>
      </c>
      <c r="B10" t="s">
        <v>16</v>
      </c>
      <c r="C10" t="s">
        <v>17</v>
      </c>
      <c r="D10" t="s">
        <v>76</v>
      </c>
      <c r="F10" t="s">
        <v>19</v>
      </c>
      <c r="G10" t="s">
        <v>70</v>
      </c>
      <c r="H10" s="2">
        <v>36151.15</v>
      </c>
      <c r="K10" t="s">
        <v>77</v>
      </c>
    </row>
    <row r="11" spans="1:13" ht="30" customHeight="1" x14ac:dyDescent="0.25">
      <c r="A11" t="s">
        <v>111</v>
      </c>
      <c r="B11" t="s">
        <v>16</v>
      </c>
      <c r="C11" t="s">
        <v>17</v>
      </c>
      <c r="D11" t="s">
        <v>78</v>
      </c>
      <c r="F11" t="s">
        <v>79</v>
      </c>
      <c r="G11" t="s">
        <v>70</v>
      </c>
      <c r="H11" s="2">
        <v>20000</v>
      </c>
      <c r="I11" t="s">
        <v>80</v>
      </c>
      <c r="K11" t="s">
        <v>81</v>
      </c>
    </row>
    <row r="12" spans="1:13" ht="30" customHeight="1" x14ac:dyDescent="0.25">
      <c r="A12" t="s">
        <v>112</v>
      </c>
      <c r="B12" t="s">
        <v>16</v>
      </c>
      <c r="C12" t="s">
        <v>17</v>
      </c>
      <c r="D12" t="s">
        <v>82</v>
      </c>
      <c r="F12" t="s">
        <v>83</v>
      </c>
      <c r="G12" t="s">
        <v>70</v>
      </c>
      <c r="H12" s="2">
        <v>32642.880000000001</v>
      </c>
      <c r="I12" t="s">
        <v>84</v>
      </c>
      <c r="K12" t="s">
        <v>85</v>
      </c>
    </row>
    <row r="13" spans="1:13" ht="30" customHeight="1" x14ac:dyDescent="0.25">
      <c r="A13" t="s">
        <v>113</v>
      </c>
      <c r="B13" t="s">
        <v>16</v>
      </c>
      <c r="C13" t="s">
        <v>17</v>
      </c>
      <c r="D13" t="s">
        <v>23</v>
      </c>
      <c r="F13" t="s">
        <v>24</v>
      </c>
      <c r="G13" t="s">
        <v>25</v>
      </c>
      <c r="H13" s="2">
        <v>33805.11</v>
      </c>
      <c r="I13" t="s">
        <v>26</v>
      </c>
      <c r="K13" t="s">
        <v>27</v>
      </c>
    </row>
    <row r="14" spans="1:13" ht="30" customHeight="1" x14ac:dyDescent="0.25">
      <c r="A14" t="s">
        <v>114</v>
      </c>
      <c r="B14" t="s">
        <v>16</v>
      </c>
      <c r="C14" t="s">
        <v>17</v>
      </c>
      <c r="D14" t="s">
        <v>33</v>
      </c>
      <c r="F14" t="s">
        <v>34</v>
      </c>
      <c r="G14" t="s">
        <v>25</v>
      </c>
      <c r="H14" s="2">
        <v>25585.200000000001</v>
      </c>
      <c r="I14" t="s">
        <v>35</v>
      </c>
      <c r="K14" t="s">
        <v>36</v>
      </c>
    </row>
    <row r="15" spans="1:13" ht="30" customHeight="1" x14ac:dyDescent="0.25">
      <c r="A15" t="s">
        <v>115</v>
      </c>
      <c r="B15" t="s">
        <v>28</v>
      </c>
      <c r="C15" t="s">
        <v>17</v>
      </c>
      <c r="D15" t="s">
        <v>37</v>
      </c>
      <c r="F15" t="s">
        <v>38</v>
      </c>
      <c r="G15" t="s">
        <v>25</v>
      </c>
      <c r="H15" s="2">
        <v>24117.79</v>
      </c>
      <c r="I15" t="s">
        <v>39</v>
      </c>
      <c r="K15" t="s">
        <v>40</v>
      </c>
    </row>
    <row r="16" spans="1:13" ht="30" customHeight="1" x14ac:dyDescent="0.25">
      <c r="A16" t="s">
        <v>116</v>
      </c>
      <c r="B16" t="s">
        <v>28</v>
      </c>
      <c r="C16" t="s">
        <v>17</v>
      </c>
      <c r="D16" t="s">
        <v>41</v>
      </c>
      <c r="F16" t="s">
        <v>38</v>
      </c>
      <c r="G16" t="s">
        <v>25</v>
      </c>
      <c r="H16" s="2">
        <v>25190.75</v>
      </c>
      <c r="I16" t="s">
        <v>42</v>
      </c>
      <c r="K16" t="s">
        <v>43</v>
      </c>
    </row>
    <row r="17" spans="1:13" ht="30" customHeight="1" x14ac:dyDescent="0.25">
      <c r="A17" t="s">
        <v>55</v>
      </c>
      <c r="B17" t="s">
        <v>28</v>
      </c>
      <c r="C17" t="s">
        <v>56</v>
      </c>
      <c r="D17" t="s">
        <v>57</v>
      </c>
      <c r="F17" t="s">
        <v>58</v>
      </c>
      <c r="G17" t="s">
        <v>25</v>
      </c>
      <c r="H17" s="2">
        <v>37322</v>
      </c>
      <c r="I17" t="s">
        <v>59</v>
      </c>
      <c r="K17" t="s">
        <v>60</v>
      </c>
    </row>
    <row r="18" spans="1:13" ht="30" customHeight="1" x14ac:dyDescent="0.25">
      <c r="A18" t="s">
        <v>117</v>
      </c>
      <c r="B18" t="s">
        <v>16</v>
      </c>
      <c r="C18" t="s">
        <v>17</v>
      </c>
      <c r="D18" t="s">
        <v>61</v>
      </c>
      <c r="F18" t="s">
        <v>62</v>
      </c>
      <c r="G18" t="s">
        <v>25</v>
      </c>
      <c r="H18" s="2">
        <v>46811.63</v>
      </c>
      <c r="K18" t="s">
        <v>63</v>
      </c>
    </row>
    <row r="19" spans="1:13" ht="30" customHeight="1" x14ac:dyDescent="0.25">
      <c r="A19" t="s">
        <v>118</v>
      </c>
      <c r="B19" t="s">
        <v>28</v>
      </c>
      <c r="C19" t="s">
        <v>17</v>
      </c>
      <c r="D19" t="s">
        <v>64</v>
      </c>
      <c r="F19" t="s">
        <v>65</v>
      </c>
      <c r="G19" t="s">
        <v>25</v>
      </c>
      <c r="H19" s="2">
        <v>22933.63</v>
      </c>
      <c r="I19" t="s">
        <v>66</v>
      </c>
      <c r="K19" t="s">
        <v>67</v>
      </c>
    </row>
    <row r="20" spans="1:13" ht="30" customHeight="1" x14ac:dyDescent="0.25">
      <c r="A20" t="s">
        <v>86</v>
      </c>
      <c r="B20" t="s">
        <v>16</v>
      </c>
      <c r="C20" t="s">
        <v>56</v>
      </c>
      <c r="D20" t="s">
        <v>87</v>
      </c>
      <c r="F20" t="s">
        <v>88</v>
      </c>
      <c r="G20" t="s">
        <v>25</v>
      </c>
      <c r="H20" s="2">
        <v>14896.24</v>
      </c>
      <c r="I20" t="s">
        <v>89</v>
      </c>
      <c r="K20" t="s">
        <v>90</v>
      </c>
    </row>
    <row r="21" spans="1:13" x14ac:dyDescent="0.25">
      <c r="A21" s="1"/>
      <c r="B21" s="1"/>
      <c r="C21" s="1"/>
      <c r="D21" s="1" t="s">
        <v>91</v>
      </c>
      <c r="E21" s="1"/>
      <c r="F21" s="1"/>
      <c r="G21" s="1"/>
      <c r="H21" s="3">
        <f>SUM(H4:H20)</f>
        <v>521293.14999999997</v>
      </c>
      <c r="I21" s="1"/>
      <c r="J21" s="1"/>
      <c r="K21" s="1"/>
      <c r="L21" s="1"/>
      <c r="M21" s="1"/>
    </row>
  </sheetData>
  <mergeCells count="2">
    <mergeCell ref="A2:F2"/>
    <mergeCell ref="G2:M2"/>
  </mergeCells>
  <pageMargins left="0.7" right="0.7" top="0.75" bottom="0.75" header="0.3" footer="0.3"/>
  <pageSetup paperSize="5" scale="66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CB86A-F4DF-463E-8279-28B72BFD778E}">
  <sheetPr>
    <pageSetUpPr fitToPage="1"/>
  </sheetPr>
  <dimension ref="A1:H36"/>
  <sheetViews>
    <sheetView topLeftCell="A20" workbookViewId="0">
      <selection activeCell="L29" sqref="L29"/>
    </sheetView>
  </sheetViews>
  <sheetFormatPr defaultRowHeight="15" x14ac:dyDescent="0.25"/>
  <cols>
    <col min="1" max="1" width="19.7109375" customWidth="1"/>
    <col min="2" max="2" width="14" customWidth="1"/>
    <col min="3" max="3" width="13.85546875" customWidth="1"/>
    <col min="4" max="4" width="16.140625" customWidth="1"/>
    <col min="5" max="5" width="14.85546875" customWidth="1"/>
    <col min="6" max="6" width="14.140625" customWidth="1"/>
    <col min="7" max="7" width="13" customWidth="1"/>
    <col min="8" max="8" width="19.5703125" customWidth="1"/>
  </cols>
  <sheetData>
    <row r="1" spans="1:8" x14ac:dyDescent="0.25">
      <c r="E1" s="4"/>
      <c r="H1" s="4">
        <v>45925.999988425923</v>
      </c>
    </row>
    <row r="2" spans="1:8" x14ac:dyDescent="0.25">
      <c r="A2" s="5" t="s">
        <v>0</v>
      </c>
      <c r="B2" s="5"/>
      <c r="C2" s="6"/>
      <c r="D2" s="6"/>
      <c r="E2" s="7" t="s">
        <v>92</v>
      </c>
      <c r="F2" s="6"/>
      <c r="G2" s="6"/>
      <c r="H2" s="6"/>
    </row>
    <row r="3" spans="1:8" x14ac:dyDescent="0.25">
      <c r="A3" t="s">
        <v>8</v>
      </c>
      <c r="B3" t="s">
        <v>98</v>
      </c>
      <c r="C3" t="s">
        <v>9</v>
      </c>
      <c r="D3" t="s">
        <v>93</v>
      </c>
      <c r="E3" t="s">
        <v>94</v>
      </c>
      <c r="F3" t="s">
        <v>95</v>
      </c>
      <c r="G3" t="s">
        <v>97</v>
      </c>
      <c r="H3" t="s">
        <v>96</v>
      </c>
    </row>
    <row r="4" spans="1:8" ht="24.95" customHeight="1" x14ac:dyDescent="0.25">
      <c r="A4" t="s">
        <v>73</v>
      </c>
      <c r="C4" t="s">
        <v>70</v>
      </c>
      <c r="D4" s="2">
        <v>1350</v>
      </c>
      <c r="E4" s="2">
        <v>0</v>
      </c>
      <c r="F4" s="8">
        <v>59207.06</v>
      </c>
      <c r="G4" s="2"/>
      <c r="H4" s="2">
        <v>59282.06</v>
      </c>
    </row>
    <row r="5" spans="1:8" ht="24.95" customHeight="1" x14ac:dyDescent="0.25">
      <c r="D5" s="2"/>
      <c r="E5" s="2"/>
      <c r="F5" s="2"/>
      <c r="G5" s="2"/>
      <c r="H5" s="2"/>
    </row>
    <row r="6" spans="1:8" ht="24.95" customHeight="1" x14ac:dyDescent="0.25">
      <c r="A6" t="s">
        <v>19</v>
      </c>
      <c r="C6" t="s">
        <v>20</v>
      </c>
      <c r="D6" s="2">
        <v>750</v>
      </c>
      <c r="E6" s="2">
        <v>0</v>
      </c>
      <c r="F6" s="2">
        <v>25542.9</v>
      </c>
      <c r="G6" s="2"/>
      <c r="H6" s="2">
        <v>25617.9</v>
      </c>
    </row>
    <row r="7" spans="1:8" ht="24.95" customHeight="1" x14ac:dyDescent="0.25">
      <c r="A7" t="s">
        <v>19</v>
      </c>
      <c r="C7" t="s">
        <v>70</v>
      </c>
      <c r="D7" s="2">
        <v>950</v>
      </c>
      <c r="E7" s="2">
        <v>0</v>
      </c>
      <c r="F7" s="2">
        <v>36076.15</v>
      </c>
      <c r="G7" s="8">
        <f>SUM(F6:F7)</f>
        <v>61619.05</v>
      </c>
      <c r="H7" s="2">
        <v>36151.15</v>
      </c>
    </row>
    <row r="8" spans="1:8" ht="24.95" customHeight="1" x14ac:dyDescent="0.25">
      <c r="D8" s="2"/>
      <c r="E8" s="2"/>
      <c r="F8" s="2"/>
      <c r="G8" s="2"/>
      <c r="H8" s="2"/>
    </row>
    <row r="9" spans="1:8" ht="24.95" customHeight="1" x14ac:dyDescent="0.25">
      <c r="A9" t="s">
        <v>34</v>
      </c>
      <c r="C9" t="s">
        <v>25</v>
      </c>
      <c r="D9" s="2">
        <v>750</v>
      </c>
      <c r="E9" s="2">
        <v>0</v>
      </c>
      <c r="F9" s="8">
        <v>25510.2</v>
      </c>
      <c r="G9" s="2"/>
      <c r="H9" s="2">
        <v>25585.200000000001</v>
      </c>
    </row>
    <row r="10" spans="1:8" ht="24.95" customHeight="1" x14ac:dyDescent="0.25">
      <c r="D10" s="2"/>
      <c r="E10" s="2"/>
      <c r="F10" s="8"/>
      <c r="G10" s="2"/>
      <c r="H10" s="2"/>
    </row>
    <row r="11" spans="1:8" ht="24.95" customHeight="1" x14ac:dyDescent="0.25">
      <c r="A11" t="s">
        <v>79</v>
      </c>
      <c r="C11" t="s">
        <v>70</v>
      </c>
      <c r="D11" s="2">
        <v>650</v>
      </c>
      <c r="E11" s="2">
        <v>0</v>
      </c>
      <c r="F11" s="8">
        <v>19925</v>
      </c>
      <c r="G11" s="2"/>
      <c r="H11" s="2">
        <v>20000</v>
      </c>
    </row>
    <row r="12" spans="1:8" ht="24.95" customHeight="1" x14ac:dyDescent="0.25">
      <c r="D12" s="2"/>
      <c r="E12" s="2"/>
      <c r="F12" s="8"/>
      <c r="G12" s="2"/>
      <c r="H12" s="2"/>
    </row>
    <row r="13" spans="1:8" ht="24.95" customHeight="1" x14ac:dyDescent="0.25">
      <c r="A13" t="s">
        <v>24</v>
      </c>
      <c r="C13" t="s">
        <v>25</v>
      </c>
      <c r="D13" s="2">
        <v>850</v>
      </c>
      <c r="E13" s="2">
        <v>0</v>
      </c>
      <c r="F13" s="8">
        <v>33730.11</v>
      </c>
      <c r="G13" s="2"/>
      <c r="H13" s="2">
        <v>33805.11</v>
      </c>
    </row>
    <row r="14" spans="1:8" ht="24.95" customHeight="1" x14ac:dyDescent="0.25">
      <c r="D14" s="2"/>
      <c r="E14" s="2"/>
      <c r="F14" s="8"/>
      <c r="G14" s="2"/>
      <c r="H14" s="2"/>
    </row>
    <row r="15" spans="1:8" ht="24.95" customHeight="1" x14ac:dyDescent="0.25">
      <c r="A15" t="s">
        <v>100</v>
      </c>
      <c r="C15" t="s">
        <v>70</v>
      </c>
      <c r="D15" s="2">
        <v>850</v>
      </c>
      <c r="E15" s="2">
        <v>0</v>
      </c>
      <c r="F15" s="8">
        <v>32567.88</v>
      </c>
      <c r="G15" s="2"/>
      <c r="H15" s="2">
        <v>32642.880000000001</v>
      </c>
    </row>
    <row r="16" spans="1:8" ht="24.95" customHeight="1" x14ac:dyDescent="0.25">
      <c r="D16" s="2"/>
      <c r="E16" s="2"/>
      <c r="F16" s="8"/>
      <c r="G16" s="2"/>
      <c r="H16" s="2"/>
    </row>
    <row r="17" spans="1:8" ht="24.95" customHeight="1" x14ac:dyDescent="0.25">
      <c r="A17" t="s">
        <v>62</v>
      </c>
      <c r="C17" t="s">
        <v>25</v>
      </c>
      <c r="D17" s="2">
        <v>1150</v>
      </c>
      <c r="E17" s="2">
        <v>0</v>
      </c>
      <c r="F17" s="8">
        <v>46736.63</v>
      </c>
      <c r="G17" s="2"/>
      <c r="H17" s="2">
        <v>46811.63</v>
      </c>
    </row>
    <row r="18" spans="1:8" ht="24.95" customHeight="1" x14ac:dyDescent="0.25">
      <c r="D18" s="2"/>
      <c r="E18" s="2"/>
      <c r="F18" s="8"/>
      <c r="G18" s="2"/>
      <c r="H18" s="2"/>
    </row>
    <row r="19" spans="1:8" ht="24.95" customHeight="1" x14ac:dyDescent="0.25">
      <c r="A19" t="s">
        <v>30</v>
      </c>
      <c r="B19" s="9" t="s">
        <v>102</v>
      </c>
      <c r="C19" t="s">
        <v>20</v>
      </c>
      <c r="D19" s="2">
        <v>650</v>
      </c>
      <c r="E19" s="2">
        <v>0</v>
      </c>
      <c r="F19" s="8">
        <v>21322.14</v>
      </c>
      <c r="G19" s="2"/>
      <c r="H19" s="2">
        <v>21397.14</v>
      </c>
    </row>
    <row r="20" spans="1:8" ht="24.95" customHeight="1" x14ac:dyDescent="0.25">
      <c r="B20" s="9"/>
      <c r="D20" s="2"/>
      <c r="E20" s="2"/>
      <c r="F20" s="8"/>
      <c r="G20" s="2"/>
      <c r="H20" s="2"/>
    </row>
    <row r="21" spans="1:8" ht="24.95" customHeight="1" x14ac:dyDescent="0.25">
      <c r="A21" t="s">
        <v>52</v>
      </c>
      <c r="B21" s="9" t="s">
        <v>103</v>
      </c>
      <c r="C21" t="s">
        <v>20</v>
      </c>
      <c r="D21" s="2">
        <v>950</v>
      </c>
      <c r="E21" s="2">
        <v>0</v>
      </c>
      <c r="F21" s="8">
        <v>36130.980000000003</v>
      </c>
      <c r="G21" s="2"/>
      <c r="H21" s="2">
        <v>36205.980000000003</v>
      </c>
    </row>
    <row r="22" spans="1:8" ht="24.95" customHeight="1" x14ac:dyDescent="0.25">
      <c r="D22" s="2"/>
      <c r="E22" s="2"/>
      <c r="F22" s="8"/>
      <c r="G22" s="2"/>
      <c r="H22" s="2"/>
    </row>
    <row r="23" spans="1:8" ht="24.95" customHeight="1" x14ac:dyDescent="0.25">
      <c r="A23" t="s">
        <v>46</v>
      </c>
      <c r="C23" t="s">
        <v>20</v>
      </c>
      <c r="D23" s="2">
        <v>950</v>
      </c>
      <c r="E23" s="2">
        <v>0</v>
      </c>
      <c r="F23" s="8">
        <v>39661.879999999997</v>
      </c>
      <c r="G23" s="2"/>
      <c r="H23" s="2">
        <v>39736.879999999997</v>
      </c>
    </row>
    <row r="24" spans="1:8" ht="24.95" customHeight="1" x14ac:dyDescent="0.25">
      <c r="D24" s="2"/>
      <c r="E24" s="2"/>
      <c r="F24" s="8"/>
      <c r="G24" s="2"/>
      <c r="H24" s="2"/>
    </row>
    <row r="25" spans="1:8" ht="24.95" customHeight="1" x14ac:dyDescent="0.25">
      <c r="A25" t="s">
        <v>99</v>
      </c>
      <c r="C25" t="s">
        <v>70</v>
      </c>
      <c r="D25" s="2">
        <v>500</v>
      </c>
      <c r="E25" s="2">
        <v>0</v>
      </c>
      <c r="F25" s="8">
        <v>19521.810000000001</v>
      </c>
      <c r="G25" s="2"/>
      <c r="H25" s="2">
        <v>19596.810000000001</v>
      </c>
    </row>
    <row r="26" spans="1:8" ht="24.95" customHeight="1" x14ac:dyDescent="0.25">
      <c r="D26" s="2"/>
      <c r="E26" s="2"/>
      <c r="F26" s="8"/>
      <c r="G26" s="2"/>
      <c r="H26" s="2"/>
    </row>
    <row r="27" spans="1:8" ht="24.95" customHeight="1" x14ac:dyDescent="0.25">
      <c r="A27" t="s">
        <v>58</v>
      </c>
      <c r="C27" t="s">
        <v>25</v>
      </c>
      <c r="D27" s="2">
        <v>950</v>
      </c>
      <c r="E27" s="2">
        <v>0</v>
      </c>
      <c r="F27" s="8">
        <v>37247</v>
      </c>
      <c r="G27" s="2"/>
      <c r="H27" s="2">
        <v>37322</v>
      </c>
    </row>
    <row r="28" spans="1:8" ht="24.95" customHeight="1" x14ac:dyDescent="0.25">
      <c r="D28" s="2"/>
      <c r="E28" s="2"/>
      <c r="F28" s="2"/>
      <c r="G28" s="2"/>
      <c r="H28" s="2"/>
    </row>
    <row r="29" spans="1:8" ht="24.95" customHeight="1" x14ac:dyDescent="0.25">
      <c r="A29" t="s">
        <v>38</v>
      </c>
      <c r="C29" t="s">
        <v>25</v>
      </c>
      <c r="D29" s="2">
        <v>750</v>
      </c>
      <c r="E29" s="2">
        <v>0</v>
      </c>
      <c r="F29" s="2">
        <v>25115.75</v>
      </c>
      <c r="G29" s="2"/>
      <c r="H29" s="2">
        <v>25190.75</v>
      </c>
    </row>
    <row r="30" spans="1:8" ht="24.95" customHeight="1" x14ac:dyDescent="0.25">
      <c r="A30" t="s">
        <v>38</v>
      </c>
      <c r="C30" t="s">
        <v>25</v>
      </c>
      <c r="D30" s="2">
        <v>650</v>
      </c>
      <c r="E30" s="2">
        <v>0</v>
      </c>
      <c r="F30" s="2">
        <v>24042.79</v>
      </c>
      <c r="G30" s="8">
        <f>SUM(F29:F30)</f>
        <v>49158.54</v>
      </c>
      <c r="H30" s="2">
        <v>24117.79</v>
      </c>
    </row>
    <row r="31" spans="1:8" ht="24.95" customHeight="1" x14ac:dyDescent="0.25">
      <c r="D31" s="2"/>
      <c r="E31" s="2"/>
      <c r="F31" s="2"/>
      <c r="G31" s="2"/>
      <c r="H31" s="2"/>
    </row>
    <row r="32" spans="1:8" ht="24.95" customHeight="1" x14ac:dyDescent="0.25">
      <c r="A32" t="s">
        <v>65</v>
      </c>
      <c r="C32" t="s">
        <v>25</v>
      </c>
      <c r="D32" s="2">
        <v>650</v>
      </c>
      <c r="E32" s="2">
        <v>0</v>
      </c>
      <c r="F32" s="8">
        <v>22858.63</v>
      </c>
      <c r="G32" s="2"/>
      <c r="H32" s="2">
        <v>22933.63</v>
      </c>
    </row>
    <row r="33" spans="1:8" ht="24.95" customHeight="1" x14ac:dyDescent="0.25">
      <c r="D33" s="2"/>
      <c r="E33" s="2"/>
      <c r="F33" s="8"/>
      <c r="G33" s="2"/>
      <c r="H33" s="2"/>
    </row>
    <row r="34" spans="1:8" ht="24.95" customHeight="1" x14ac:dyDescent="0.25">
      <c r="A34" t="s">
        <v>88</v>
      </c>
      <c r="C34" t="s">
        <v>25</v>
      </c>
      <c r="D34" s="2">
        <v>300</v>
      </c>
      <c r="E34" s="2">
        <v>0</v>
      </c>
      <c r="F34" s="8">
        <v>14821.24</v>
      </c>
      <c r="G34" s="2"/>
      <c r="H34" s="2">
        <v>14896.24</v>
      </c>
    </row>
    <row r="35" spans="1:8" ht="24.95" customHeight="1" x14ac:dyDescent="0.25">
      <c r="D35" s="2"/>
      <c r="E35" s="2"/>
      <c r="F35" s="2"/>
      <c r="G35" s="2"/>
      <c r="H35" s="2"/>
    </row>
    <row r="36" spans="1:8" ht="14.25" customHeight="1" x14ac:dyDescent="0.25">
      <c r="A36" s="1"/>
      <c r="B36" s="1"/>
      <c r="C36" s="1"/>
      <c r="D36" s="3">
        <f>SUM(D4:D34)</f>
        <v>13650</v>
      </c>
      <c r="E36" s="3">
        <f>SUM(E4:E34)</f>
        <v>0</v>
      </c>
      <c r="F36" s="3">
        <f>SUM(F4:F34)</f>
        <v>520018.14999999997</v>
      </c>
      <c r="G36" s="3"/>
      <c r="H36" s="3">
        <f>SUM(H4:H34)</f>
        <v>521293.14999999997</v>
      </c>
    </row>
  </sheetData>
  <mergeCells count="2">
    <mergeCell ref="A2:D2"/>
    <mergeCell ref="E2:H2"/>
  </mergeCells>
  <pageMargins left="0.7" right="0.7" top="0.75" bottom="0.75" header="0.3" footer="0.3"/>
  <pageSetup scale="91" fitToHeight="0" orientation="landscape" r:id="rId1"/>
  <headerFooter>
    <oddFooter>Page &amp;P of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EC425-09E8-4F73-A1F0-DB75E5527F26}">
  <dimension ref="A1:F21"/>
  <sheetViews>
    <sheetView workbookViewId="0">
      <selection activeCell="K22" sqref="J22:K22"/>
    </sheetView>
  </sheetViews>
  <sheetFormatPr defaultRowHeight="15" x14ac:dyDescent="0.25"/>
  <cols>
    <col min="1" max="1" width="13.85546875" customWidth="1"/>
    <col min="2" max="2" width="8.140625" customWidth="1"/>
    <col min="3" max="3" width="16.7109375" customWidth="1"/>
    <col min="4" max="4" width="5.7109375" customWidth="1"/>
    <col min="5" max="5" width="17.42578125" customWidth="1"/>
    <col min="6" max="6" width="23.7109375" customWidth="1"/>
  </cols>
  <sheetData>
    <row r="1" spans="1:6" ht="24.95" customHeight="1" x14ac:dyDescent="0.25">
      <c r="A1" t="s">
        <v>120</v>
      </c>
      <c r="D1" s="4"/>
      <c r="F1" s="4">
        <v>45925.999988425923</v>
      </c>
    </row>
    <row r="2" spans="1:6" ht="24.95" customHeight="1" x14ac:dyDescent="0.25">
      <c r="A2" s="5" t="s">
        <v>0</v>
      </c>
      <c r="B2" s="6"/>
      <c r="C2" s="6"/>
      <c r="D2" s="7" t="s">
        <v>101</v>
      </c>
      <c r="E2" s="6"/>
      <c r="F2" s="6"/>
    </row>
    <row r="3" spans="1:6" ht="24.95" customHeight="1" x14ac:dyDescent="0.25">
      <c r="A3" t="s">
        <v>3</v>
      </c>
      <c r="B3" t="s">
        <v>5</v>
      </c>
      <c r="C3" t="s">
        <v>6</v>
      </c>
      <c r="D3" t="s">
        <v>7</v>
      </c>
      <c r="E3" t="s">
        <v>8</v>
      </c>
      <c r="F3" t="s">
        <v>15</v>
      </c>
    </row>
    <row r="4" spans="1:6" ht="24.95" customHeight="1" x14ac:dyDescent="0.25">
      <c r="A4" t="s">
        <v>55</v>
      </c>
      <c r="B4" t="s">
        <v>56</v>
      </c>
      <c r="C4" t="s">
        <v>57</v>
      </c>
      <c r="E4" t="s">
        <v>58</v>
      </c>
    </row>
    <row r="5" spans="1:6" ht="24.95" customHeight="1" x14ac:dyDescent="0.25">
      <c r="A5" t="s">
        <v>86</v>
      </c>
      <c r="B5" t="s">
        <v>56</v>
      </c>
      <c r="C5" t="s">
        <v>87</v>
      </c>
      <c r="E5" t="s">
        <v>88</v>
      </c>
    </row>
    <row r="6" spans="1:6" ht="24.95" customHeight="1" x14ac:dyDescent="0.25">
      <c r="A6" s="1"/>
      <c r="B6" s="1"/>
      <c r="C6" s="1" t="s">
        <v>119</v>
      </c>
      <c r="D6" s="1"/>
      <c r="E6" s="1"/>
      <c r="F6" s="1"/>
    </row>
    <row r="11" spans="1:6" x14ac:dyDescent="0.25">
      <c r="A11" t="s">
        <v>121</v>
      </c>
      <c r="B11" s="10"/>
      <c r="C11" s="10"/>
      <c r="D11" s="10"/>
      <c r="E11" s="10"/>
    </row>
    <row r="16" spans="1:6" x14ac:dyDescent="0.25">
      <c r="A16" t="s">
        <v>122</v>
      </c>
      <c r="B16" s="10"/>
      <c r="C16" s="10"/>
      <c r="D16" s="10"/>
      <c r="E16" s="10"/>
    </row>
    <row r="21" spans="1:3" x14ac:dyDescent="0.25">
      <c r="A21" t="s">
        <v>123</v>
      </c>
      <c r="B21" s="10"/>
      <c r="C21" s="10"/>
    </row>
  </sheetData>
  <mergeCells count="2">
    <mergeCell ref="A2:C2"/>
    <mergeCell ref="D2:F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2025-09-25T19:49:42Z</cp:lastPrinted>
  <dcterms:created xsi:type="dcterms:W3CDTF">2025-09-25T18:35:30Z</dcterms:created>
  <dcterms:modified xsi:type="dcterms:W3CDTF">2025-09-25T19:56:18Z</dcterms:modified>
</cp:coreProperties>
</file>