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7CD29C99-BDFB-43BB-A44E-4CC34E0A43D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7" i="1"/>
  <c r="E17" i="1"/>
  <c r="D17" i="1"/>
  <c r="C17" i="1"/>
</calcChain>
</file>

<file path=xl/sharedStrings.xml><?xml version="1.0" encoding="utf-8"?>
<sst xmlns="http://schemas.openxmlformats.org/spreadsheetml/2006/main" count="122" uniqueCount="77">
  <si>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</si>
  <si>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</si>
  <si>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</si>
  <si>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</si>
  <si>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</si>
  <si>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</si>
  <si>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</si>
  <si>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</si>
  <si>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</si>
  <si>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</si>
  <si>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Coastal Volkswagon</t>
  </si>
  <si>
    <t>Neli Oliveira</t>
  </si>
  <si>
    <t>Hiller Co Inc</t>
  </si>
  <si>
    <t>Marlene Braganca</t>
  </si>
  <si>
    <t>Mathieu Ford Sales, Inc</t>
  </si>
  <si>
    <t>NARSA AMC LLC d/b/a</t>
  </si>
  <si>
    <t>Rachel Gorham</t>
  </si>
  <si>
    <t>Patriot Auto Group Inc d/b/a</t>
  </si>
  <si>
    <t>Planet Subaru</t>
  </si>
  <si>
    <t>Salvadore Chrysler</t>
  </si>
  <si>
    <t>Column1</t>
  </si>
  <si>
    <t>Column2</t>
  </si>
  <si>
    <t># 7</t>
  </si>
  <si>
    <t>Roberts</t>
  </si>
  <si>
    <t>merider@yahoo.com</t>
  </si>
  <si>
    <t>RIDER, MEGHAN</t>
  </si>
  <si>
    <t>E Contract</t>
  </si>
  <si>
    <t>Route One</t>
  </si>
  <si>
    <t>151210590e</t>
  </si>
  <si>
    <t>AUDET</t>
  </si>
  <si>
    <t>GREGORYLAMB123@GMAIL.COM</t>
  </si>
  <si>
    <t>LAMB, GREGORY</t>
  </si>
  <si>
    <t>Paper</t>
  </si>
  <si>
    <t>DealerTrack</t>
  </si>
  <si>
    <t>151210574</t>
  </si>
  <si>
    <t>KOHLER</t>
  </si>
  <si>
    <t>CASWELL</t>
  </si>
  <si>
    <t>Amymags5@gmail.com</t>
  </si>
  <si>
    <t>michael_maguire@putnam.com</t>
  </si>
  <si>
    <t>MAGUIRE, AMY</t>
  </si>
  <si>
    <t>MAGUIRE, MICHAEL</t>
  </si>
  <si>
    <t>151210566e</t>
  </si>
  <si>
    <t>COHEN</t>
  </si>
  <si>
    <t>RBLUESTEIN@GMAIL.COM</t>
  </si>
  <si>
    <t>BLUESTEIN, ROBYN</t>
  </si>
  <si>
    <t>151210475e</t>
  </si>
  <si>
    <t>BARRETT</t>
  </si>
  <si>
    <t>JOYCEC249@GMAIL.COM</t>
  </si>
  <si>
    <t>CHRISTENSON, JOYCE</t>
  </si>
  <si>
    <t>151210441e</t>
  </si>
  <si>
    <t>MATTOS</t>
  </si>
  <si>
    <t>VIB74@ME.COM</t>
  </si>
  <si>
    <t>BROWNING, VERONICA</t>
  </si>
  <si>
    <t>151210433e</t>
  </si>
  <si>
    <t>CORMIER</t>
  </si>
  <si>
    <t>MARLLET</t>
  </si>
  <si>
    <t>charlesgesner@gmail.com</t>
  </si>
  <si>
    <t>brittanygesner@yahoo.com</t>
  </si>
  <si>
    <t>GESNER, CHARLES</t>
  </si>
  <si>
    <t>GESNER, BRITTANY</t>
  </si>
  <si>
    <t>151210342e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</si>
  <si>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</si>
  <si>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</si>
  <si>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</si>
  <si>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</si>
  <si>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</si>
  <si>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</si>
  <si>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</si>
  <si>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</si>
  <si>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</si>
  <si>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</si>
  <si>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</si>
  <si>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</t>
  </si>
  <si>
    <t>Received By_____________________________________________________________________________</t>
  </si>
  <si>
    <t>Delivered By___________________________________________________________________________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</si>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</sst>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5BEA9F6D-3A20-4E35-91C2-FD96A9320238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7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D41E306-090B-44D3-8D9D-CB6285806255}" name="Column1" dataDxfId="24"/>
    <tableColumn id="8" xr3:uid="{7961B6BB-863D-438B-B674-DA8C5A7C5394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83CB0C-6D91-4719-BAD4-65A13C697136}" name="Table_13" displayName="Table_13" ref="A3:L1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9917BF-33EA-4A79-934B-706D75C641A6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workbookViewId="0">
      <pane ySplit="3" topLeftCell="A4" activePane="bottomLeft" state="frozen"/>
      <selection pane="bottomLeft" activeCell="G24" sqref="G24"/>
    </sheetView>
  </sheetViews>
  <sheetFormatPr defaultRowHeight="15" x14ac:dyDescent="0.25"/>
  <cols>
    <col min="1" max="1" width="26.7109375" bestFit="1" customWidth="1"/>
    <col min="2" max="2" width="17.7109375" bestFit="1" customWidth="1"/>
    <col min="3" max="3" width="11.140625" bestFit="1" customWidth="1"/>
    <col min="4" max="4" width="1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45875</v>
      </c>
      <c r="E1" t="s">
        <v>2</v>
      </c>
      <c r="H1" s="4">
        <v>45875.999988425923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20</v>
      </c>
      <c r="G3" t="s">
        <v>21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24443.06</v>
      </c>
      <c r="F4" s="2"/>
      <c r="G4" s="2"/>
      <c r="H4" s="2">
        <v>24518.06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1350</v>
      </c>
      <c r="D6" s="2">
        <v>0</v>
      </c>
      <c r="E6" s="2">
        <v>67181.02</v>
      </c>
      <c r="F6" s="2"/>
      <c r="G6" s="2"/>
      <c r="H6" s="2">
        <v>67256.02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650</v>
      </c>
      <c r="D8" s="2">
        <v>0</v>
      </c>
      <c r="E8" s="2">
        <v>23826.06</v>
      </c>
      <c r="F8" s="2"/>
      <c r="G8" s="2"/>
      <c r="H8" s="2">
        <v>23901.06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16</v>
      </c>
      <c r="C10" s="2">
        <v>750</v>
      </c>
      <c r="D10" s="2">
        <v>0</v>
      </c>
      <c r="E10" s="2">
        <v>27672.19</v>
      </c>
      <c r="F10" s="2"/>
      <c r="G10" s="2"/>
      <c r="H10" s="2">
        <v>27747.19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17</v>
      </c>
      <c r="B12" t="s">
        <v>16</v>
      </c>
      <c r="C12" s="2">
        <v>650</v>
      </c>
      <c r="D12" s="2">
        <v>0</v>
      </c>
      <c r="E12" s="2">
        <v>22939.69</v>
      </c>
      <c r="F12" s="2"/>
      <c r="G12" s="2"/>
      <c r="H12" s="2">
        <v>23014.69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18</v>
      </c>
      <c r="B14" t="s">
        <v>13</v>
      </c>
      <c r="C14" s="2">
        <v>1050</v>
      </c>
      <c r="D14" s="2">
        <v>0</v>
      </c>
      <c r="E14" s="2">
        <v>40045.75</v>
      </c>
      <c r="F14" s="2"/>
      <c r="G14" s="2"/>
      <c r="H14" s="2">
        <v>40120.75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19</v>
      </c>
      <c r="B16" t="s">
        <v>11</v>
      </c>
      <c r="C16" s="2">
        <v>1150</v>
      </c>
      <c r="D16" s="2">
        <v>0</v>
      </c>
      <c r="E16" s="2">
        <v>49257.69</v>
      </c>
      <c r="F16" s="2"/>
      <c r="G16" s="2"/>
      <c r="H16" s="2">
        <v>49332.69</v>
      </c>
    </row>
    <row r="17" spans="1:8" x14ac:dyDescent="0.25">
      <c r="A17" s="1"/>
      <c r="B17" s="1"/>
      <c r="C17" s="3">
        <f>SUM(C4:C16)</f>
        <v>6250</v>
      </c>
      <c r="D17" s="3">
        <f>SUM(D4:D16)</f>
        <v>0</v>
      </c>
      <c r="E17" s="3">
        <f>SUM(E4:E16)</f>
        <v>255365.46</v>
      </c>
      <c r="F17" s="3"/>
      <c r="G17" s="3"/>
      <c r="H17" s="3">
        <f>SUM(H4:H16)</f>
        <v>255890.46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BB47-36CB-47E3-895E-0B5FD83166C6}">
  <sheetPr>
    <pageSetUpPr fitToPage="1"/>
  </sheetPr>
  <dimension ref="A1:M13"/>
  <sheetViews>
    <sheetView tabSelected="1" workbookViewId="0">
      <pane ySplit="3" topLeftCell="A4" activePane="bottomLeft" state="frozen"/>
      <selection pane="bottomLeft" activeCell="H8" sqref="H8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.28515625" style="8" bestFit="1" customWidth="1"/>
    <col min="5" max="5" width="18.7109375" style="8" bestFit="1" customWidth="1"/>
    <col min="6" max="6" width="26.7109375" style="8" bestFit="1" customWidth="1"/>
    <col min="7" max="7" width="17.7109375" style="8" bestFit="1" customWidth="1"/>
    <col min="8" max="8" width="17.140625" style="8" bestFit="1" customWidth="1"/>
    <col min="9" max="9" width="31.28515625" style="8" bestFit="1" customWidth="1"/>
    <col min="10" max="10" width="25.42578125" style="8" bestFit="1" customWidth="1"/>
    <col min="11" max="11" width="1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45875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71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70</v>
      </c>
      <c r="B3" s="9" t="s">
        <v>69</v>
      </c>
      <c r="C3" s="9" t="s">
        <v>68</v>
      </c>
      <c r="D3" s="9" t="s">
        <v>67</v>
      </c>
      <c r="E3" s="9" t="s">
        <v>66</v>
      </c>
      <c r="F3" s="9" t="s">
        <v>4</v>
      </c>
      <c r="G3" s="9" t="s">
        <v>5</v>
      </c>
      <c r="H3" s="9" t="s">
        <v>65</v>
      </c>
      <c r="I3" s="9" t="s">
        <v>64</v>
      </c>
      <c r="J3" s="9" t="s">
        <v>63</v>
      </c>
      <c r="K3" s="9" t="s">
        <v>62</v>
      </c>
      <c r="L3" s="9" t="s">
        <v>61</v>
      </c>
      <c r="M3" s="9"/>
    </row>
    <row r="4" spans="1:13" ht="35.1" customHeight="1" x14ac:dyDescent="0.25">
      <c r="A4" s="9" t="s">
        <v>60</v>
      </c>
      <c r="B4" s="9" t="s">
        <v>27</v>
      </c>
      <c r="C4" s="9" t="s">
        <v>26</v>
      </c>
      <c r="D4" s="9" t="s">
        <v>59</v>
      </c>
      <c r="E4" s="9" t="s">
        <v>58</v>
      </c>
      <c r="F4" s="9" t="s">
        <v>19</v>
      </c>
      <c r="G4" s="9" t="s">
        <v>11</v>
      </c>
      <c r="H4" s="14">
        <v>49332.69</v>
      </c>
      <c r="I4" s="9" t="s">
        <v>57</v>
      </c>
      <c r="J4" s="9" t="s">
        <v>56</v>
      </c>
      <c r="K4" s="9" t="s">
        <v>55</v>
      </c>
      <c r="L4" s="9" t="s">
        <v>54</v>
      </c>
      <c r="M4" s="9"/>
    </row>
    <row r="5" spans="1:13" ht="35.1" customHeight="1" x14ac:dyDescent="0.25">
      <c r="A5" s="9" t="s">
        <v>53</v>
      </c>
      <c r="B5" s="9" t="s">
        <v>33</v>
      </c>
      <c r="C5" s="9" t="s">
        <v>26</v>
      </c>
      <c r="D5" s="9" t="s">
        <v>52</v>
      </c>
      <c r="E5" s="9"/>
      <c r="F5" s="9" t="s">
        <v>10</v>
      </c>
      <c r="G5" s="9" t="s">
        <v>11</v>
      </c>
      <c r="H5" s="14">
        <v>24518.06</v>
      </c>
      <c r="I5" s="9" t="s">
        <v>51</v>
      </c>
      <c r="J5" s="9"/>
      <c r="K5" s="9" t="s">
        <v>50</v>
      </c>
      <c r="L5" s="9"/>
      <c r="M5" s="9"/>
    </row>
    <row r="6" spans="1:13" ht="35.1" customHeight="1" x14ac:dyDescent="0.25">
      <c r="A6" s="9" t="s">
        <v>49</v>
      </c>
      <c r="B6" s="9" t="s">
        <v>27</v>
      </c>
      <c r="C6" s="9" t="s">
        <v>26</v>
      </c>
      <c r="D6" s="9" t="s">
        <v>48</v>
      </c>
      <c r="E6" s="9"/>
      <c r="F6" s="9" t="s">
        <v>14</v>
      </c>
      <c r="G6" s="9" t="s">
        <v>11</v>
      </c>
      <c r="H6" s="14">
        <v>23901.06</v>
      </c>
      <c r="I6" s="9" t="s">
        <v>47</v>
      </c>
      <c r="J6" s="9"/>
      <c r="K6" s="9" t="s">
        <v>46</v>
      </c>
      <c r="L6" s="9"/>
      <c r="M6" s="9"/>
    </row>
    <row r="7" spans="1:13" ht="35.1" customHeight="1" x14ac:dyDescent="0.25">
      <c r="A7" s="9" t="s">
        <v>45</v>
      </c>
      <c r="B7" s="9" t="s">
        <v>33</v>
      </c>
      <c r="C7" s="9" t="s">
        <v>26</v>
      </c>
      <c r="D7" s="9" t="s">
        <v>44</v>
      </c>
      <c r="E7" s="9"/>
      <c r="F7" s="9" t="s">
        <v>18</v>
      </c>
      <c r="G7" s="9" t="s">
        <v>13</v>
      </c>
      <c r="H7" s="14">
        <v>40120.75</v>
      </c>
      <c r="I7" s="9" t="s">
        <v>43</v>
      </c>
      <c r="J7" s="9"/>
      <c r="K7" s="9" t="s">
        <v>42</v>
      </c>
      <c r="L7" s="9"/>
      <c r="M7" s="9"/>
    </row>
    <row r="8" spans="1:13" ht="35.1" customHeight="1" x14ac:dyDescent="0.25">
      <c r="A8" s="9" t="s">
        <v>41</v>
      </c>
      <c r="B8" s="9" t="s">
        <v>27</v>
      </c>
      <c r="C8" s="9" t="s">
        <v>26</v>
      </c>
      <c r="D8" s="9" t="s">
        <v>40</v>
      </c>
      <c r="E8" s="9" t="s">
        <v>39</v>
      </c>
      <c r="F8" s="9" t="s">
        <v>17</v>
      </c>
      <c r="G8" s="9" t="s">
        <v>16</v>
      </c>
      <c r="H8" s="14">
        <v>23014.69</v>
      </c>
      <c r="I8" s="9" t="s">
        <v>38</v>
      </c>
      <c r="J8" s="9" t="s">
        <v>37</v>
      </c>
      <c r="K8" s="9" t="s">
        <v>36</v>
      </c>
      <c r="L8" s="9" t="s">
        <v>35</v>
      </c>
      <c r="M8" s="9"/>
    </row>
    <row r="9" spans="1:13" ht="35.1" customHeight="1" x14ac:dyDescent="0.25">
      <c r="A9" s="9" t="s">
        <v>34</v>
      </c>
      <c r="B9" s="9" t="s">
        <v>33</v>
      </c>
      <c r="C9" s="9" t="s">
        <v>32</v>
      </c>
      <c r="D9" s="9" t="s">
        <v>31</v>
      </c>
      <c r="E9" s="9"/>
      <c r="F9" s="9" t="s">
        <v>15</v>
      </c>
      <c r="G9" s="9" t="s">
        <v>16</v>
      </c>
      <c r="H9" s="14">
        <v>27747.19</v>
      </c>
      <c r="I9" s="9" t="s">
        <v>30</v>
      </c>
      <c r="J9" s="9"/>
      <c r="K9" s="9" t="s">
        <v>29</v>
      </c>
      <c r="L9" s="9"/>
      <c r="M9" s="9"/>
    </row>
    <row r="10" spans="1:13" ht="35.1" customHeight="1" x14ac:dyDescent="0.25">
      <c r="A10" s="9" t="s">
        <v>28</v>
      </c>
      <c r="B10" s="9" t="s">
        <v>27</v>
      </c>
      <c r="C10" s="9" t="s">
        <v>26</v>
      </c>
      <c r="D10" s="9" t="s">
        <v>25</v>
      </c>
      <c r="E10" s="9"/>
      <c r="F10" s="9" t="s">
        <v>12</v>
      </c>
      <c r="G10" s="9" t="s">
        <v>13</v>
      </c>
      <c r="H10" s="14">
        <v>67256.02</v>
      </c>
      <c r="I10" s="9" t="s">
        <v>24</v>
      </c>
      <c r="J10" s="9"/>
      <c r="K10" s="9" t="s">
        <v>23</v>
      </c>
      <c r="L10" s="9"/>
      <c r="M10" s="9"/>
    </row>
    <row r="11" spans="1:13" ht="35.1" customHeight="1" x14ac:dyDescent="0.25">
      <c r="A11" s="15"/>
      <c r="B11" s="15"/>
      <c r="C11" s="15"/>
      <c r="D11" s="15" t="s">
        <v>22</v>
      </c>
      <c r="E11" s="15"/>
      <c r="F11" s="15"/>
      <c r="G11" s="15"/>
      <c r="H11" s="16">
        <f>SUM(H4:H10)</f>
        <v>255890.46000000002</v>
      </c>
      <c r="I11" s="15"/>
      <c r="J11" s="15"/>
      <c r="K11" s="15"/>
      <c r="L11" s="15"/>
      <c r="M11" s="9"/>
    </row>
    <row r="12" spans="1:13" ht="35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ht="35.1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</sheetData>
  <mergeCells count="2">
    <mergeCell ref="A2:F2"/>
    <mergeCell ref="G2:L2"/>
  </mergeCells>
  <pageMargins left="0.7" right="0.7" top="0.75" bottom="0.75" header="0.3" footer="0.3"/>
  <pageSetup paperSize="5" scale="6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32F1-592A-497D-AC77-E418FA3A7750}">
  <sheetPr>
    <pageSetUpPr fitToPage="1"/>
  </sheetPr>
  <dimension ref="A1:E21"/>
  <sheetViews>
    <sheetView workbookViewId="0">
      <pane ySplit="3" topLeftCell="A4" activePane="bottomLeft" state="frozen"/>
      <selection pane="bottomLeft" activeCell="C14" sqref="C14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2.28515625" style="8" bestFit="1" customWidth="1"/>
    <col min="4" max="4" width="18.7109375" style="8" bestFit="1" customWidth="1"/>
    <col min="5" max="5" width="26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45875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76</v>
      </c>
      <c r="E2" s="12"/>
    </row>
    <row r="3" spans="1:5" x14ac:dyDescent="0.25">
      <c r="A3" s="9" t="s">
        <v>70</v>
      </c>
      <c r="B3" s="9" t="s">
        <v>68</v>
      </c>
      <c r="C3" s="9" t="s">
        <v>67</v>
      </c>
      <c r="D3" s="9" t="s">
        <v>66</v>
      </c>
      <c r="E3" s="9" t="s">
        <v>4</v>
      </c>
    </row>
    <row r="4" spans="1:5" x14ac:dyDescent="0.25">
      <c r="A4" s="9" t="s">
        <v>34</v>
      </c>
      <c r="B4" s="9" t="s">
        <v>32</v>
      </c>
      <c r="C4" s="9" t="s">
        <v>31</v>
      </c>
      <c r="D4" s="9"/>
      <c r="E4" s="9" t="s">
        <v>15</v>
      </c>
    </row>
    <row r="5" spans="1:5" x14ac:dyDescent="0.25">
      <c r="A5" s="15"/>
      <c r="B5" s="15"/>
      <c r="C5" s="15" t="s">
        <v>75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 t="s">
        <v>74</v>
      </c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73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72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</sheetData>
  <mergeCells count="2">
    <mergeCell ref="A2:C2"/>
    <mergeCell ref="D2:E2"/>
  </mergeCells>
  <pageMargins left="0.7" right="0.7" top="0.75" bottom="0.75" header="0.3" footer="0.3"/>
  <pageSetup scale="9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2025-08-06T18:19:29Z</cp:lastPrinted>
  <dcterms:created xsi:type="dcterms:W3CDTF">2025-08-06T18:10:12Z</dcterms:created>
  <dcterms:modified xsi:type="dcterms:W3CDTF">2025-08-06T18:19:33Z</dcterms:modified>
</cp:coreProperties>
</file>