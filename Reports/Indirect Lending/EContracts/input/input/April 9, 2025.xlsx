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8814E0E7-AA79-44F3-A7B3-D889382951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F21" i="1"/>
  <c r="H22" i="1"/>
  <c r="E22" i="1"/>
  <c r="D22" i="1"/>
  <c r="C22" i="1"/>
</calcChain>
</file>

<file path=xl/sharedStrings.xml><?xml version="1.0" encoding="utf-8"?>
<sst xmlns="http://schemas.openxmlformats.org/spreadsheetml/2006/main" count="166" uniqueCount="89">
  <si>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</si>
  <si>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</si>
  <si>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</si>
  <si>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</si>
  <si>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</si>
  <si>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</si>
  <si>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</si>
  <si>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</si>
  <si>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</si>
  <si>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</si>
  <si>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AutoMax Preowned(Framingham)</t>
  </si>
  <si>
    <t>Rachel Gorham</t>
  </si>
  <si>
    <t>Bourne Enterprises Inc</t>
  </si>
  <si>
    <t>Neli Oliveira</t>
  </si>
  <si>
    <t>Gesner Auto Inc</t>
  </si>
  <si>
    <t>Grieco Enterprises, LLC d/b/a</t>
  </si>
  <si>
    <t>Patriot Auto Group Inc d/b/a</t>
  </si>
  <si>
    <t>Planet Subaru</t>
  </si>
  <si>
    <t>Richard Lundgren, Inc. d/b/a</t>
  </si>
  <si>
    <t>Salvadore Chrysler</t>
  </si>
  <si>
    <t>T F Murphy Enterprises Inc</t>
  </si>
  <si>
    <t>Column1</t>
  </si>
  <si>
    <t>Column2</t>
  </si>
  <si>
    <t># 10</t>
  </si>
  <si>
    <t>OSBORN</t>
  </si>
  <si>
    <t>BRIANNACAROLIS@YAHOO.COM</t>
  </si>
  <si>
    <t>CAROLIS, BRIANNA</t>
  </si>
  <si>
    <t>Paper</t>
  </si>
  <si>
    <t>DealerTrack</t>
  </si>
  <si>
    <t>151166157</t>
  </si>
  <si>
    <t>MACPHELEMY</t>
  </si>
  <si>
    <t>HATCH.BRIDGET@GMAIL.COM</t>
  </si>
  <si>
    <t>HATCH, BRIDGET</t>
  </si>
  <si>
    <t>E Contract</t>
  </si>
  <si>
    <t>151166149e</t>
  </si>
  <si>
    <t>Ahlen</t>
  </si>
  <si>
    <t>RONDE_ROUSSEAU@ICLOUD.COM</t>
  </si>
  <si>
    <t>CARL_BERGESON@ME.COM</t>
  </si>
  <si>
    <t>ROUSSEAU, RONDE</t>
  </si>
  <si>
    <t>BERGESON, CARL</t>
  </si>
  <si>
    <t>151166131e</t>
  </si>
  <si>
    <t>ROSS</t>
  </si>
  <si>
    <t>FRANCIS</t>
  </si>
  <si>
    <t>pmgormley12@gmail.com</t>
  </si>
  <si>
    <t>HAMILTON, ALICIA</t>
  </si>
  <si>
    <t>GORMLEY, PAUL</t>
  </si>
  <si>
    <t>Route One</t>
  </si>
  <si>
    <t>151166123</t>
  </si>
  <si>
    <t>JACKSON</t>
  </si>
  <si>
    <t>MOLTON</t>
  </si>
  <si>
    <t>TROTTCAPE@GMAIL.COM</t>
  </si>
  <si>
    <t>TROTT, MELVIN</t>
  </si>
  <si>
    <t>TROTT, STEPHANIE</t>
  </si>
  <si>
    <t>151166107</t>
  </si>
  <si>
    <t>FELTON</t>
  </si>
  <si>
    <t>JBGITTLE@AOL.COM</t>
  </si>
  <si>
    <t>BURGESS, JANE</t>
  </si>
  <si>
    <t>151166032e</t>
  </si>
  <si>
    <t>GASOREK</t>
  </si>
  <si>
    <t>JWESTON@FUTURAPRODUCTIONS.COM</t>
  </si>
  <si>
    <t>WESTON, JOHN</t>
  </si>
  <si>
    <t>151166024e</t>
  </si>
  <si>
    <t>D'AMROISE</t>
  </si>
  <si>
    <t>seann71@gmail.com</t>
  </si>
  <si>
    <t>Nye, Sean</t>
  </si>
  <si>
    <t>151166016e</t>
  </si>
  <si>
    <t>CHAUPETTA</t>
  </si>
  <si>
    <t>CONANT, LAURIE</t>
  </si>
  <si>
    <t>151165919e</t>
  </si>
  <si>
    <t>HAMMOND</t>
  </si>
  <si>
    <t>JOHNDCARROLL66@HOTMAIL.COM</t>
  </si>
  <si>
    <t>CARROLL, JOHN</t>
  </si>
  <si>
    <t>151165901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</si>
  <si>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</si>
  <si>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</si>
  <si>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</si>
  <si>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</si>
  <si>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</si>
  <si>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</si>
  <si>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</si>
  <si>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</si>
  <si>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</si>
  <si>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</si>
  <si>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</si>
  <si>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</t>
  </si>
  <si>
    <t>Received By____________________________________________________________________</t>
  </si>
  <si>
    <t>Delivered By______________________________________________________________________</t>
  </si>
  <si>
    <t># 4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</si>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</sst>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E5823202-0040-4C94-813B-0395DC1497AC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2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DC142CA2-02A4-4FC7-AE92-5503F4097323}" name="Column1" dataDxfId="23"/>
    <tableColumn id="8" xr3:uid="{9EE4DD14-AD30-497D-9AC1-B23D6D93FBD1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D80581-DEF7-4956-8221-7B00011E01DF}" name="Table_13" displayName="Table_13" ref="A3:L14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B60F56-883D-4F25-9348-B6AFD4A9E141}" name="Table_14" displayName="Table_14" ref="A3:E8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tabSelected="1" workbookViewId="0">
      <pane ySplit="3" topLeftCell="A4" activePane="bottomLeft" state="frozen"/>
      <selection pane="bottomLeft" activeCell="N22" sqref="N22"/>
    </sheetView>
  </sheetViews>
  <sheetFormatPr defaultRowHeight="15" x14ac:dyDescent="0.25"/>
  <cols>
    <col min="1" max="1" width="31.85546875" bestFit="1" customWidth="1"/>
    <col min="2" max="2" width="15.140625" bestFit="1" customWidth="1"/>
    <col min="3" max="3" width="11.140625" bestFit="1" customWidth="1"/>
    <col min="4" max="4" width="12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45756</v>
      </c>
      <c r="E1" t="s">
        <v>2</v>
      </c>
      <c r="H1" s="4">
        <v>45756.999988425923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21</v>
      </c>
      <c r="G3" t="s">
        <v>22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20244.310000000001</v>
      </c>
      <c r="F4" s="2"/>
      <c r="G4" s="2"/>
      <c r="H4" s="2">
        <v>20319.310000000001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950</v>
      </c>
      <c r="D6" s="2">
        <v>0</v>
      </c>
      <c r="E6" s="2">
        <v>37818.78</v>
      </c>
      <c r="F6" s="2"/>
      <c r="G6" s="2"/>
      <c r="H6" s="2">
        <v>37893.78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500</v>
      </c>
      <c r="D8" s="2">
        <v>0</v>
      </c>
      <c r="E8" s="2">
        <v>15030</v>
      </c>
      <c r="F8" s="2"/>
      <c r="G8" s="2"/>
      <c r="H8" s="2">
        <v>15105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13</v>
      </c>
      <c r="C10" s="2">
        <v>1350</v>
      </c>
      <c r="D10" s="2">
        <v>0</v>
      </c>
      <c r="E10" s="2">
        <v>50807.75</v>
      </c>
      <c r="F10" s="2"/>
      <c r="G10" s="2"/>
      <c r="H10" s="2">
        <v>50882.75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13</v>
      </c>
      <c r="C12" s="2">
        <v>750</v>
      </c>
      <c r="D12" s="2">
        <v>0</v>
      </c>
      <c r="E12" s="2">
        <v>28144</v>
      </c>
      <c r="F12" s="2"/>
      <c r="G12" s="2"/>
      <c r="H12" s="2">
        <v>28219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850</v>
      </c>
      <c r="D14" s="2">
        <v>0</v>
      </c>
      <c r="E14" s="2">
        <v>30809.31</v>
      </c>
      <c r="F14" s="2"/>
      <c r="G14" s="2"/>
      <c r="H14" s="2">
        <v>30884.31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13</v>
      </c>
      <c r="C16" s="2">
        <v>300</v>
      </c>
      <c r="D16" s="2">
        <v>0</v>
      </c>
      <c r="E16" s="2">
        <v>10929</v>
      </c>
      <c r="F16" s="2"/>
      <c r="G16" s="2"/>
      <c r="H16" s="2">
        <v>11004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13</v>
      </c>
      <c r="C18" s="2">
        <v>650</v>
      </c>
      <c r="D18" s="2">
        <v>0</v>
      </c>
      <c r="E18" s="2">
        <v>24291.62</v>
      </c>
      <c r="F18" s="2"/>
      <c r="G18" s="2"/>
      <c r="H18" s="2">
        <v>24366.62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20</v>
      </c>
      <c r="B20" t="s">
        <v>11</v>
      </c>
      <c r="C20" s="2">
        <v>1150</v>
      </c>
      <c r="D20" s="2">
        <v>0</v>
      </c>
      <c r="E20" s="2">
        <v>47426.19</v>
      </c>
      <c r="F20" s="2"/>
      <c r="G20" s="2"/>
      <c r="H20" s="2">
        <v>47501.19</v>
      </c>
    </row>
    <row r="21" spans="1:8" x14ac:dyDescent="0.25">
      <c r="A21" t="s">
        <v>20</v>
      </c>
      <c r="B21" t="s">
        <v>13</v>
      </c>
      <c r="C21" s="2">
        <v>750</v>
      </c>
      <c r="D21" s="2">
        <v>0</v>
      </c>
      <c r="E21" s="2">
        <v>26520.81</v>
      </c>
      <c r="F21" s="2">
        <f>SUM(E20:E21)</f>
        <v>73947</v>
      </c>
      <c r="G21" s="2"/>
      <c r="H21" s="2">
        <v>26595.81</v>
      </c>
    </row>
    <row r="22" spans="1:8" x14ac:dyDescent="0.25">
      <c r="A22" s="1"/>
      <c r="B22" s="1"/>
      <c r="C22" s="3">
        <f>SUM(C4:C21)</f>
        <v>7900</v>
      </c>
      <c r="D22" s="3">
        <f>SUM(D4:D21)</f>
        <v>0</v>
      </c>
      <c r="E22" s="3">
        <f>SUM(E4:E21)</f>
        <v>292021.76999999996</v>
      </c>
      <c r="F22" s="3"/>
      <c r="G22" s="3"/>
      <c r="H22" s="3">
        <f>SUM(H4:H21)</f>
        <v>292771.76999999996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0C2E-A36C-4097-8181-BA1F74325756}">
  <sheetPr>
    <pageSetUpPr fitToPage="1"/>
  </sheetPr>
  <dimension ref="A1:L19"/>
  <sheetViews>
    <sheetView workbookViewId="0">
      <pane ySplit="3" topLeftCell="A4" activePane="bottomLeft" state="frozen"/>
      <selection pane="bottomLeft" activeCell="F10" sqref="F10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18.5703125" style="8" bestFit="1" customWidth="1"/>
    <col min="5" max="5" width="19" style="8" bestFit="1" customWidth="1"/>
    <col min="6" max="6" width="31.85546875" style="8" bestFit="1" customWidth="1"/>
    <col min="7" max="7" width="15.140625" style="8" bestFit="1" customWidth="1"/>
    <col min="8" max="8" width="17.140625" style="8" bestFit="1" customWidth="1"/>
    <col min="9" max="9" width="37.28515625" style="8" bestFit="1" customWidth="1"/>
    <col min="10" max="10" width="32.5703125" style="8" bestFit="1" customWidth="1"/>
    <col min="11" max="11" width="13.710937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45756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83</v>
      </c>
      <c r="H2" s="12"/>
      <c r="I2" s="12"/>
      <c r="J2" s="12"/>
      <c r="K2" s="12"/>
      <c r="L2" s="12"/>
    </row>
    <row r="3" spans="1:12" ht="35.1" customHeight="1" x14ac:dyDescent="0.25">
      <c r="A3" s="9" t="s">
        <v>82</v>
      </c>
      <c r="B3" s="9" t="s">
        <v>81</v>
      </c>
      <c r="C3" s="9" t="s">
        <v>80</v>
      </c>
      <c r="D3" s="9" t="s">
        <v>79</v>
      </c>
      <c r="E3" s="9" t="s">
        <v>78</v>
      </c>
      <c r="F3" s="9" t="s">
        <v>4</v>
      </c>
      <c r="G3" s="9" t="s">
        <v>5</v>
      </c>
      <c r="H3" s="9" t="s">
        <v>77</v>
      </c>
      <c r="I3" s="9" t="s">
        <v>76</v>
      </c>
      <c r="J3" s="9" t="s">
        <v>75</v>
      </c>
      <c r="K3" s="9" t="s">
        <v>74</v>
      </c>
      <c r="L3" s="9" t="s">
        <v>73</v>
      </c>
    </row>
    <row r="4" spans="1:12" ht="35.1" customHeight="1" x14ac:dyDescent="0.25">
      <c r="A4" s="9" t="s">
        <v>72</v>
      </c>
      <c r="B4" s="9" t="s">
        <v>28</v>
      </c>
      <c r="C4" s="9" t="s">
        <v>27</v>
      </c>
      <c r="D4" s="9" t="s">
        <v>71</v>
      </c>
      <c r="E4" s="9"/>
      <c r="F4" s="9" t="s">
        <v>14</v>
      </c>
      <c r="G4" s="9" t="s">
        <v>11</v>
      </c>
      <c r="H4" s="14">
        <v>15105</v>
      </c>
      <c r="I4" s="9" t="s">
        <v>70</v>
      </c>
      <c r="J4" s="9"/>
      <c r="K4" s="9" t="s">
        <v>69</v>
      </c>
      <c r="L4" s="9"/>
    </row>
    <row r="5" spans="1:12" ht="35.1" customHeight="1" x14ac:dyDescent="0.25">
      <c r="A5" s="9" t="s">
        <v>68</v>
      </c>
      <c r="B5" s="9" t="s">
        <v>28</v>
      </c>
      <c r="C5" s="9" t="s">
        <v>33</v>
      </c>
      <c r="D5" s="9" t="s">
        <v>67</v>
      </c>
      <c r="E5" s="9"/>
      <c r="F5" s="9" t="s">
        <v>10</v>
      </c>
      <c r="G5" s="9" t="s">
        <v>11</v>
      </c>
      <c r="H5" s="14">
        <v>20319.310000000001</v>
      </c>
      <c r="I5" s="9"/>
      <c r="J5" s="9"/>
      <c r="K5" s="9" t="s">
        <v>66</v>
      </c>
      <c r="L5" s="9"/>
    </row>
    <row r="6" spans="1:12" ht="35.1" customHeight="1" x14ac:dyDescent="0.25">
      <c r="A6" s="9" t="s">
        <v>65</v>
      </c>
      <c r="B6" s="9" t="s">
        <v>46</v>
      </c>
      <c r="C6" s="9" t="s">
        <v>33</v>
      </c>
      <c r="D6" s="9" t="s">
        <v>64</v>
      </c>
      <c r="E6" s="9"/>
      <c r="F6" s="9" t="s">
        <v>19</v>
      </c>
      <c r="G6" s="9" t="s">
        <v>13</v>
      </c>
      <c r="H6" s="14">
        <v>24366.62</v>
      </c>
      <c r="I6" s="9" t="s">
        <v>63</v>
      </c>
      <c r="J6" s="9"/>
      <c r="K6" s="9" t="s">
        <v>62</v>
      </c>
      <c r="L6" s="9"/>
    </row>
    <row r="7" spans="1:12" ht="35.1" customHeight="1" x14ac:dyDescent="0.25">
      <c r="A7" s="9" t="s">
        <v>61</v>
      </c>
      <c r="B7" s="9" t="s">
        <v>46</v>
      </c>
      <c r="C7" s="9" t="s">
        <v>33</v>
      </c>
      <c r="D7" s="9" t="s">
        <v>60</v>
      </c>
      <c r="E7" s="9"/>
      <c r="F7" s="9" t="s">
        <v>16</v>
      </c>
      <c r="G7" s="9" t="s">
        <v>13</v>
      </c>
      <c r="H7" s="14">
        <v>28219</v>
      </c>
      <c r="I7" s="9" t="s">
        <v>59</v>
      </c>
      <c r="J7" s="9"/>
      <c r="K7" s="9" t="s">
        <v>58</v>
      </c>
      <c r="L7" s="9"/>
    </row>
    <row r="8" spans="1:12" ht="35.1" customHeight="1" x14ac:dyDescent="0.25">
      <c r="A8" s="9" t="s">
        <v>57</v>
      </c>
      <c r="B8" s="9" t="s">
        <v>28</v>
      </c>
      <c r="C8" s="9" t="s">
        <v>33</v>
      </c>
      <c r="D8" s="9" t="s">
        <v>56</v>
      </c>
      <c r="E8" s="9"/>
      <c r="F8" s="9" t="s">
        <v>15</v>
      </c>
      <c r="G8" s="9" t="s">
        <v>13</v>
      </c>
      <c r="H8" s="14">
        <v>50882.75</v>
      </c>
      <c r="I8" s="9" t="s">
        <v>55</v>
      </c>
      <c r="J8" s="9"/>
      <c r="K8" s="9" t="s">
        <v>54</v>
      </c>
      <c r="L8" s="9"/>
    </row>
    <row r="9" spans="1:12" ht="35.1" customHeight="1" x14ac:dyDescent="0.25">
      <c r="A9" s="9" t="s">
        <v>53</v>
      </c>
      <c r="B9" s="9" t="s">
        <v>46</v>
      </c>
      <c r="C9" s="9" t="s">
        <v>27</v>
      </c>
      <c r="D9" s="9" t="s">
        <v>52</v>
      </c>
      <c r="E9" s="9" t="s">
        <v>51</v>
      </c>
      <c r="F9" s="9" t="s">
        <v>20</v>
      </c>
      <c r="G9" s="9" t="s">
        <v>13</v>
      </c>
      <c r="H9" s="14">
        <v>26595.81</v>
      </c>
      <c r="I9" s="9" t="s">
        <v>50</v>
      </c>
      <c r="J9" s="9"/>
      <c r="K9" s="9" t="s">
        <v>49</v>
      </c>
      <c r="L9" s="9" t="s">
        <v>48</v>
      </c>
    </row>
    <row r="10" spans="1:12" ht="35.1" customHeight="1" x14ac:dyDescent="0.25">
      <c r="A10" s="9" t="s">
        <v>47</v>
      </c>
      <c r="B10" s="9" t="s">
        <v>46</v>
      </c>
      <c r="C10" s="9" t="s">
        <v>27</v>
      </c>
      <c r="D10" s="9" t="s">
        <v>45</v>
      </c>
      <c r="E10" s="9" t="s">
        <v>44</v>
      </c>
      <c r="F10" s="9" t="s">
        <v>20</v>
      </c>
      <c r="G10" s="9" t="s">
        <v>11</v>
      </c>
      <c r="H10" s="14">
        <v>47501.19</v>
      </c>
      <c r="I10" s="9" t="s">
        <v>43</v>
      </c>
      <c r="J10" s="9"/>
      <c r="K10" s="9" t="s">
        <v>42</v>
      </c>
      <c r="L10" s="9" t="s">
        <v>41</v>
      </c>
    </row>
    <row r="11" spans="1:12" ht="35.1" customHeight="1" x14ac:dyDescent="0.25">
      <c r="A11" s="9" t="s">
        <v>40</v>
      </c>
      <c r="B11" s="9" t="s">
        <v>28</v>
      </c>
      <c r="C11" s="9" t="s">
        <v>33</v>
      </c>
      <c r="D11" s="9" t="s">
        <v>39</v>
      </c>
      <c r="E11" s="9" t="s">
        <v>38</v>
      </c>
      <c r="F11" s="9" t="s">
        <v>18</v>
      </c>
      <c r="G11" s="9" t="s">
        <v>13</v>
      </c>
      <c r="H11" s="14">
        <v>11004</v>
      </c>
      <c r="I11" s="9" t="s">
        <v>37</v>
      </c>
      <c r="J11" s="9" t="s">
        <v>36</v>
      </c>
      <c r="K11" s="9" t="s">
        <v>35</v>
      </c>
      <c r="L11" s="9" t="s">
        <v>35</v>
      </c>
    </row>
    <row r="12" spans="1:12" ht="35.1" customHeight="1" x14ac:dyDescent="0.25">
      <c r="A12" s="9" t="s">
        <v>34</v>
      </c>
      <c r="B12" s="9" t="s">
        <v>28</v>
      </c>
      <c r="C12" s="9" t="s">
        <v>33</v>
      </c>
      <c r="D12" s="9" t="s">
        <v>32</v>
      </c>
      <c r="E12" s="9"/>
      <c r="F12" s="9" t="s">
        <v>17</v>
      </c>
      <c r="G12" s="9" t="s">
        <v>11</v>
      </c>
      <c r="H12" s="14">
        <v>30884.31</v>
      </c>
      <c r="I12" s="9" t="s">
        <v>31</v>
      </c>
      <c r="J12" s="9"/>
      <c r="K12" s="9" t="s">
        <v>30</v>
      </c>
      <c r="L12" s="9"/>
    </row>
    <row r="13" spans="1:12" ht="35.1" customHeight="1" x14ac:dyDescent="0.25">
      <c r="A13" s="9" t="s">
        <v>29</v>
      </c>
      <c r="B13" s="9" t="s">
        <v>28</v>
      </c>
      <c r="C13" s="9" t="s">
        <v>27</v>
      </c>
      <c r="D13" s="9" t="s">
        <v>26</v>
      </c>
      <c r="E13" s="9"/>
      <c r="F13" s="9" t="s">
        <v>12</v>
      </c>
      <c r="G13" s="9" t="s">
        <v>13</v>
      </c>
      <c r="H13" s="14">
        <v>37893.78</v>
      </c>
      <c r="I13" s="9" t="s">
        <v>25</v>
      </c>
      <c r="J13" s="9"/>
      <c r="K13" s="9" t="s">
        <v>24</v>
      </c>
      <c r="L13" s="9"/>
    </row>
    <row r="14" spans="1:12" ht="35.1" customHeight="1" x14ac:dyDescent="0.25">
      <c r="A14" s="15"/>
      <c r="B14" s="15"/>
      <c r="C14" s="15"/>
      <c r="D14" s="15" t="s">
        <v>23</v>
      </c>
      <c r="E14" s="15"/>
      <c r="F14" s="15"/>
      <c r="G14" s="15"/>
      <c r="H14" s="16">
        <f>SUM(H4:H13)</f>
        <v>292771.77</v>
      </c>
      <c r="I14" s="15"/>
      <c r="J14" s="15"/>
      <c r="K14" s="15"/>
      <c r="L14" s="15"/>
    </row>
    <row r="15" spans="1:12" ht="35.1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5.1" customHeight="1" x14ac:dyDescent="0.25"/>
    <row r="17" ht="35.1" customHeight="1" x14ac:dyDescent="0.25"/>
    <row r="18" ht="35.1" customHeight="1" x14ac:dyDescent="0.25"/>
    <row r="19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1A52-1852-4EAF-8054-07CF6BFCE31A}">
  <sheetPr>
    <pageSetUpPr fitToPage="1"/>
  </sheetPr>
  <dimension ref="A1:G30"/>
  <sheetViews>
    <sheetView workbookViewId="0">
      <pane ySplit="3" topLeftCell="A4" activePane="bottomLeft" state="frozen"/>
      <selection pane="bottomLeft" activeCell="G30" sqref="A1:G30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18.5703125" style="8" bestFit="1" customWidth="1"/>
    <col min="4" max="4" width="19" style="8" bestFit="1" customWidth="1"/>
    <col min="5" max="5" width="31.85546875" style="8" bestFit="1" customWidth="1"/>
    <col min="6" max="16384" width="9.140625" style="8"/>
  </cols>
  <sheetData>
    <row r="1" spans="1:7" x14ac:dyDescent="0.25">
      <c r="A1" s="9"/>
      <c r="B1" s="9"/>
      <c r="C1" s="9" t="s">
        <v>3</v>
      </c>
      <c r="D1" s="10">
        <v>45756</v>
      </c>
      <c r="E1" s="9" t="s">
        <v>2</v>
      </c>
      <c r="F1" s="9"/>
      <c r="G1" s="9"/>
    </row>
    <row r="2" spans="1:7" x14ac:dyDescent="0.25">
      <c r="A2" s="11" t="s">
        <v>0</v>
      </c>
      <c r="B2" s="12"/>
      <c r="C2" s="12"/>
      <c r="D2" s="13" t="s">
        <v>88</v>
      </c>
      <c r="E2" s="12"/>
      <c r="F2" s="9"/>
      <c r="G2" s="9"/>
    </row>
    <row r="3" spans="1:7" x14ac:dyDescent="0.25">
      <c r="A3" s="9" t="s">
        <v>82</v>
      </c>
      <c r="B3" s="9" t="s">
        <v>80</v>
      </c>
      <c r="C3" s="9" t="s">
        <v>79</v>
      </c>
      <c r="D3" s="9" t="s">
        <v>78</v>
      </c>
      <c r="E3" s="9" t="s">
        <v>4</v>
      </c>
      <c r="F3" s="9"/>
      <c r="G3" s="9"/>
    </row>
    <row r="4" spans="1:7" x14ac:dyDescent="0.25">
      <c r="A4" s="9" t="s">
        <v>72</v>
      </c>
      <c r="B4" s="9" t="s">
        <v>27</v>
      </c>
      <c r="C4" s="9" t="s">
        <v>71</v>
      </c>
      <c r="D4" s="9"/>
      <c r="E4" s="9" t="s">
        <v>14</v>
      </c>
      <c r="F4" s="9"/>
      <c r="G4" s="9"/>
    </row>
    <row r="5" spans="1:7" x14ac:dyDescent="0.25">
      <c r="A5" s="9" t="s">
        <v>53</v>
      </c>
      <c r="B5" s="9" t="s">
        <v>27</v>
      </c>
      <c r="C5" s="9" t="s">
        <v>52</v>
      </c>
      <c r="D5" s="9" t="s">
        <v>51</v>
      </c>
      <c r="E5" s="9" t="s">
        <v>20</v>
      </c>
      <c r="F5" s="9"/>
      <c r="G5" s="9"/>
    </row>
    <row r="6" spans="1:7" x14ac:dyDescent="0.25">
      <c r="A6" s="9" t="s">
        <v>47</v>
      </c>
      <c r="B6" s="9" t="s">
        <v>27</v>
      </c>
      <c r="C6" s="9" t="s">
        <v>45</v>
      </c>
      <c r="D6" s="9" t="s">
        <v>44</v>
      </c>
      <c r="E6" s="9" t="s">
        <v>20</v>
      </c>
      <c r="F6" s="9"/>
      <c r="G6" s="9"/>
    </row>
    <row r="7" spans="1:7" x14ac:dyDescent="0.25">
      <c r="A7" s="9" t="s">
        <v>29</v>
      </c>
      <c r="B7" s="9" t="s">
        <v>27</v>
      </c>
      <c r="C7" s="9" t="s">
        <v>26</v>
      </c>
      <c r="D7" s="9"/>
      <c r="E7" s="9" t="s">
        <v>12</v>
      </c>
      <c r="F7" s="9"/>
      <c r="G7" s="9"/>
    </row>
    <row r="8" spans="1:7" x14ac:dyDescent="0.25">
      <c r="A8" s="15"/>
      <c r="B8" s="15"/>
      <c r="C8" s="15" t="s">
        <v>87</v>
      </c>
      <c r="D8" s="15"/>
      <c r="E8" s="15"/>
      <c r="F8" s="9"/>
      <c r="G8" s="9"/>
    </row>
    <row r="9" spans="1:7" x14ac:dyDescent="0.25">
      <c r="A9" s="9"/>
      <c r="B9" s="9"/>
      <c r="C9" s="9"/>
      <c r="D9" s="9"/>
      <c r="E9" s="9"/>
      <c r="F9" s="9"/>
      <c r="G9" s="9"/>
    </row>
    <row r="10" spans="1:7" x14ac:dyDescent="0.25">
      <c r="A10" s="9"/>
      <c r="B10" s="9"/>
      <c r="C10" s="9"/>
      <c r="D10" s="9"/>
      <c r="E10" s="9"/>
      <c r="F10" s="9"/>
      <c r="G10" s="9"/>
    </row>
    <row r="11" spans="1:7" x14ac:dyDescent="0.25">
      <c r="A11" s="9" t="s">
        <v>86</v>
      </c>
      <c r="B11" s="9"/>
      <c r="C11" s="9"/>
      <c r="D11" s="9"/>
      <c r="E11" s="9"/>
      <c r="F11" s="9"/>
      <c r="G11" s="9"/>
    </row>
    <row r="12" spans="1:7" x14ac:dyDescent="0.25">
      <c r="A12" s="9"/>
      <c r="B12" s="9"/>
      <c r="C12" s="9"/>
      <c r="D12" s="9"/>
      <c r="E12" s="9"/>
      <c r="F12" s="9"/>
      <c r="G12" s="9"/>
    </row>
    <row r="13" spans="1:7" x14ac:dyDescent="0.25">
      <c r="A13" s="9"/>
      <c r="B13" s="9"/>
      <c r="C13" s="9"/>
      <c r="D13" s="9"/>
      <c r="E13" s="9"/>
      <c r="F13" s="9"/>
      <c r="G13" s="9"/>
    </row>
    <row r="14" spans="1:7" x14ac:dyDescent="0.25">
      <c r="A14" s="9" t="s">
        <v>85</v>
      </c>
      <c r="B14" s="9"/>
      <c r="C14" s="9"/>
      <c r="D14" s="9"/>
      <c r="E14" s="9"/>
      <c r="F14" s="9"/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9"/>
      <c r="B16" s="9"/>
      <c r="C16" s="9"/>
      <c r="D16" s="9"/>
      <c r="E16" s="9"/>
      <c r="F16" s="9"/>
      <c r="G16" s="9"/>
    </row>
    <row r="17" spans="1:7" x14ac:dyDescent="0.25">
      <c r="A17" s="9"/>
      <c r="B17" s="9"/>
      <c r="C17" s="9"/>
      <c r="D17" s="9"/>
      <c r="E17" s="9"/>
      <c r="F17" s="9"/>
      <c r="G17" s="9"/>
    </row>
    <row r="18" spans="1:7" x14ac:dyDescent="0.25">
      <c r="A18" s="9" t="s">
        <v>84</v>
      </c>
      <c r="B18" s="9"/>
      <c r="C18" s="9"/>
      <c r="D18" s="9"/>
      <c r="E18" s="9"/>
      <c r="F18" s="9"/>
      <c r="G18" s="9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x14ac:dyDescent="0.25">
      <c r="A20" s="9"/>
      <c r="B20" s="9"/>
      <c r="C20" s="9"/>
      <c r="D20" s="9"/>
      <c r="E20" s="9"/>
      <c r="F20" s="9"/>
      <c r="G20" s="9"/>
    </row>
    <row r="21" spans="1:7" x14ac:dyDescent="0.25">
      <c r="A21" s="9"/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3" spans="1:7" x14ac:dyDescent="0.25">
      <c r="A23" s="9"/>
      <c r="B23" s="9"/>
      <c r="C23" s="9"/>
      <c r="D23" s="9"/>
      <c r="E23" s="9"/>
      <c r="F23" s="9"/>
      <c r="G23" s="9"/>
    </row>
    <row r="24" spans="1:7" x14ac:dyDescent="0.25">
      <c r="A24" s="9"/>
      <c r="B24" s="9"/>
      <c r="C24" s="9"/>
      <c r="D24" s="9"/>
      <c r="E24" s="9"/>
      <c r="F24" s="9"/>
      <c r="G24" s="9"/>
    </row>
    <row r="25" spans="1:7" x14ac:dyDescent="0.25">
      <c r="A25" s="9"/>
      <c r="B25" s="9"/>
      <c r="C25" s="9"/>
      <c r="D25" s="9"/>
      <c r="E25" s="9"/>
      <c r="F25" s="9"/>
      <c r="G25" s="9"/>
    </row>
    <row r="26" spans="1:7" x14ac:dyDescent="0.25">
      <c r="A26" s="9"/>
      <c r="B26" s="9"/>
      <c r="C26" s="9"/>
      <c r="D26" s="9"/>
      <c r="E26" s="9"/>
      <c r="F26" s="9"/>
      <c r="G26" s="9"/>
    </row>
    <row r="27" spans="1:7" x14ac:dyDescent="0.25">
      <c r="A27" s="9"/>
      <c r="B27" s="9"/>
      <c r="C27" s="9"/>
      <c r="D27" s="9"/>
      <c r="E27" s="9"/>
      <c r="F27" s="9"/>
      <c r="G27" s="9"/>
    </row>
    <row r="28" spans="1:7" x14ac:dyDescent="0.25">
      <c r="A28" s="9"/>
      <c r="B28" s="9"/>
      <c r="C28" s="9"/>
      <c r="D28" s="9"/>
      <c r="E28" s="9"/>
      <c r="F28" s="9"/>
      <c r="G28" s="9"/>
    </row>
    <row r="29" spans="1:7" x14ac:dyDescent="0.25">
      <c r="A29" s="9"/>
      <c r="B29" s="9"/>
      <c r="C29" s="9"/>
      <c r="D29" s="9"/>
      <c r="E29" s="9"/>
      <c r="F29" s="9"/>
      <c r="G29" s="9"/>
    </row>
    <row r="30" spans="1:7" x14ac:dyDescent="0.25">
      <c r="A30" s="9"/>
      <c r="B30" s="9"/>
      <c r="C30" s="9"/>
      <c r="D30" s="9"/>
      <c r="E30" s="9"/>
      <c r="F30" s="9"/>
      <c r="G30" s="9"/>
    </row>
  </sheetData>
  <mergeCells count="2">
    <mergeCell ref="A2:C2"/>
    <mergeCell ref="D2:E2"/>
  </mergeCells>
  <pageMargins left="0.7" right="0.7" top="0.75" bottom="0.75" header="0.3" footer="0.3"/>
  <pageSetup scale="9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2025-04-09T18:51:37Z</cp:lastPrinted>
  <dcterms:created xsi:type="dcterms:W3CDTF">2025-04-09T18:41:48Z</dcterms:created>
  <dcterms:modified xsi:type="dcterms:W3CDTF">2025-04-09T19:09:04Z</dcterms:modified>
</cp:coreProperties>
</file>