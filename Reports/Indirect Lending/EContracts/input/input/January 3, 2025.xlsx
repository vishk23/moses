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199AE6CE-60AB-49F4-89FF-BCA0AF6FD8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2" l="1"/>
  <c r="H15" i="1"/>
  <c r="E15" i="1"/>
  <c r="D15" i="1"/>
  <c r="C15" i="1"/>
</calcChain>
</file>

<file path=xl/sharedStrings.xml><?xml version="1.0" encoding="utf-8"?>
<sst xmlns="http://schemas.openxmlformats.org/spreadsheetml/2006/main" count="109" uniqueCount="69">
  <si>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</si>
  <si>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</si>
  <si>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</si>
  <si>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</si>
  <si>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</si>
  <si>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</si>
  <si>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</si>
  <si>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</si>
  <si>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</si>
  <si>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</si>
  <si>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Coastal Volkswagon</t>
  </si>
  <si>
    <t>Rachel Gorham</t>
  </si>
  <si>
    <t>Grieco Toyota</t>
  </si>
  <si>
    <t>Marlene Braganca</t>
  </si>
  <si>
    <t>Infiniti of Norwood</t>
  </si>
  <si>
    <t>Neli Oliveira</t>
  </si>
  <si>
    <t>Metro Honda</t>
  </si>
  <si>
    <t>Patriot Auto Group Inc d/b/a</t>
  </si>
  <si>
    <t>Wareham Ford</t>
  </si>
  <si>
    <t>Column1</t>
  </si>
  <si>
    <t>Column2</t>
  </si>
  <si>
    <t># 6</t>
  </si>
  <si>
    <t>Chrichlow</t>
  </si>
  <si>
    <t>jarmash55@comcast.net</t>
  </si>
  <si>
    <t>JARVIS, STEPHEN</t>
  </si>
  <si>
    <t>E Contract</t>
  </si>
  <si>
    <t>Route One</t>
  </si>
  <si>
    <t>De La Rosa</t>
  </si>
  <si>
    <t>AMADOSTERLING@GMAIL.COM</t>
  </si>
  <si>
    <t>STERLING, AMADO</t>
  </si>
  <si>
    <t>BUSSER</t>
  </si>
  <si>
    <t>NEALE</t>
  </si>
  <si>
    <t>KRYSTALNHAYDEN@GMAIL.COM</t>
  </si>
  <si>
    <t>HAYDEN, WARD</t>
  </si>
  <si>
    <t>HAYDEN, KRYSTAL</t>
  </si>
  <si>
    <t>DealerTrack</t>
  </si>
  <si>
    <t>GOLDSWORTHY</t>
  </si>
  <si>
    <t>SHARONSABADO@GMAIL.COM</t>
  </si>
  <si>
    <t>SABADO, SHARON</t>
  </si>
  <si>
    <t>SILVESTRO</t>
  </si>
  <si>
    <t>DAVERINALDI80@GMAIL.COM</t>
  </si>
  <si>
    <t>RINALDI, DAVID</t>
  </si>
  <si>
    <t>Robbins</t>
  </si>
  <si>
    <t>ASGOLD987@GMAIL.COM</t>
  </si>
  <si>
    <t>GOLDSTEIN, ADAM</t>
  </si>
  <si>
    <t>Paper</t>
  </si>
  <si>
    <t>151133247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</si>
  <si>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</si>
  <si>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</si>
  <si>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</si>
  <si>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</si>
  <si>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</si>
  <si>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</si>
  <si>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</si>
  <si>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</si>
  <si>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</si>
  <si>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</si>
  <si>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</si>
  <si>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</si>
  <si>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151133263e</t>
  </si>
  <si>
    <t>151133297e</t>
  </si>
  <si>
    <t>151133320e</t>
  </si>
  <si>
    <t>151133370e</t>
  </si>
  <si>
    <t>151133461e</t>
  </si>
  <si>
    <t>Funding Worksheet - Signoff Version</t>
  </si>
  <si>
    <t># 1</t>
  </si>
  <si>
    <t>Delivered By____________________________________________________________________</t>
  </si>
  <si>
    <t>Received By____________________________________________________________________</t>
  </si>
  <si>
    <t>Date Signed 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</si>
</sst>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C35D3125-43EF-431C-ACA3-36FA89F1F95B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5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AC041D95-D8A8-4914-BA68-6074CB2A051F}" name="Column1" dataDxfId="25"/>
    <tableColumn id="8" xr3:uid="{31A01C6C-E864-4E76-8149-E26A681ED83A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F81354-D46C-4253-B1F4-5696B391F93B}" name="Table_13" displayName="Table_13" ref="A3:M10" headerRowDxfId="10" dataDxfId="8" totalsRowDxfId="9">
  <tableColumns count="13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  <tableColumn id="13" xr3:uid="{00000000-0010-0000-0000-00000D000000}" name="Business Nam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FCB7D9-EC83-4038-98B8-A809FFBA123A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tabSelected="1" workbookViewId="0">
      <pane ySplit="3" topLeftCell="A4" activePane="bottomLeft" state="frozen"/>
      <selection pane="bottomLeft" activeCell="E14" sqref="E14"/>
    </sheetView>
  </sheetViews>
  <sheetFormatPr defaultRowHeight="15" x14ac:dyDescent="0.25"/>
  <cols>
    <col min="1" max="1" width="26.7109375" bestFit="1" customWidth="1"/>
    <col min="2" max="2" width="17.7109375" bestFit="1" customWidth="1"/>
    <col min="3" max="3" width="11.140625" bestFit="1" customWidth="1"/>
    <col min="4" max="4" width="15.57031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45660</v>
      </c>
      <c r="E1" t="s">
        <v>2</v>
      </c>
      <c r="H1" s="4">
        <v>45660.999988425923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19</v>
      </c>
      <c r="G3" t="s">
        <v>20</v>
      </c>
      <c r="H3" t="s">
        <v>9</v>
      </c>
    </row>
    <row r="4" spans="1:8" ht="16.5" customHeight="1" x14ac:dyDescent="0.25">
      <c r="A4" t="s">
        <v>10</v>
      </c>
      <c r="B4" t="s">
        <v>11</v>
      </c>
      <c r="C4" s="2">
        <v>600</v>
      </c>
      <c r="D4" s="2">
        <v>0</v>
      </c>
      <c r="E4" s="2">
        <v>30272.63</v>
      </c>
      <c r="F4" s="2"/>
      <c r="G4" s="2"/>
      <c r="H4" s="2">
        <v>30347.63</v>
      </c>
    </row>
    <row r="5" spans="1:8" ht="16.5" customHeight="1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700</v>
      </c>
      <c r="D6" s="2">
        <v>0</v>
      </c>
      <c r="E6" s="2">
        <v>44792.94</v>
      </c>
      <c r="F6" s="2"/>
      <c r="G6" s="2"/>
      <c r="H6" s="2">
        <v>44867.94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15</v>
      </c>
      <c r="C8" s="2">
        <v>100</v>
      </c>
      <c r="D8" s="2">
        <v>0</v>
      </c>
      <c r="E8" s="2">
        <v>9397.5</v>
      </c>
      <c r="F8" s="2"/>
      <c r="G8" s="2"/>
      <c r="H8" s="2">
        <v>9472.5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16</v>
      </c>
      <c r="B10" t="s">
        <v>13</v>
      </c>
      <c r="C10" s="2">
        <v>500</v>
      </c>
      <c r="D10" s="2">
        <v>0</v>
      </c>
      <c r="E10" s="2">
        <v>25884.9</v>
      </c>
      <c r="F10" s="2"/>
      <c r="G10" s="2"/>
      <c r="H10" s="2">
        <v>25959.9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17</v>
      </c>
      <c r="B12" t="s">
        <v>11</v>
      </c>
      <c r="C12" s="2">
        <v>500</v>
      </c>
      <c r="D12" s="2">
        <v>0</v>
      </c>
      <c r="E12" s="2">
        <v>29615.5</v>
      </c>
      <c r="F12" s="2"/>
      <c r="G12" s="2"/>
      <c r="H12" s="2">
        <v>29690.5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18</v>
      </c>
      <c r="B14" t="s">
        <v>13</v>
      </c>
      <c r="C14" s="2">
        <v>600</v>
      </c>
      <c r="D14" s="2">
        <v>0</v>
      </c>
      <c r="E14" s="2">
        <v>30767.01</v>
      </c>
      <c r="F14" s="2"/>
      <c r="G14" s="2"/>
      <c r="H14" s="2">
        <v>30842.01</v>
      </c>
    </row>
    <row r="15" spans="1:8" x14ac:dyDescent="0.25">
      <c r="A15" s="1"/>
      <c r="B15" s="1"/>
      <c r="C15" s="3">
        <f>SUM(C4:C14)</f>
        <v>3000</v>
      </c>
      <c r="D15" s="3">
        <f>SUM(D4:D14)</f>
        <v>0</v>
      </c>
      <c r="E15" s="3">
        <f>SUM(E4:E14)</f>
        <v>170730.48</v>
      </c>
      <c r="F15" s="3"/>
      <c r="G15" s="3"/>
      <c r="H15" s="3">
        <f>SUM(H4:H14)</f>
        <v>171180.48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7E85-3212-40ED-BAE1-FCEE7DB2A0CB}">
  <sheetPr>
    <pageSetUpPr fitToPage="1"/>
  </sheetPr>
  <dimension ref="A1:N18"/>
  <sheetViews>
    <sheetView workbookViewId="0">
      <pane ySplit="3" topLeftCell="A4" activePane="bottomLeft" state="frozen"/>
      <selection pane="bottomLeft" activeCell="A4" sqref="A4:A9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18.42578125" style="8" bestFit="1" customWidth="1"/>
    <col min="5" max="5" width="18.7109375" style="8" bestFit="1" customWidth="1"/>
    <col min="6" max="6" width="26.7109375" style="8" bestFit="1" customWidth="1"/>
    <col min="7" max="7" width="17.7109375" style="8" bestFit="1" customWidth="1"/>
    <col min="8" max="8" width="17.140625" style="8" bestFit="1" customWidth="1"/>
    <col min="9" max="9" width="30.85546875" style="8" bestFit="1" customWidth="1"/>
    <col min="10" max="10" width="18.42578125" style="8" bestFit="1" customWidth="1"/>
    <col min="11" max="11" width="15.7109375" style="8" bestFit="1" customWidth="1"/>
    <col min="12" max="12" width="12.85546875" style="8" bestFit="1" customWidth="1"/>
    <col min="13" max="13" width="15.5703125" style="8" bestFit="1" customWidth="1"/>
    <col min="14" max="16384" width="9.140625" style="8"/>
  </cols>
  <sheetData>
    <row r="1" spans="1:14" ht="39.950000000000003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45660</v>
      </c>
      <c r="L1" s="9" t="s">
        <v>2</v>
      </c>
      <c r="M1" s="10">
        <v>45660.999988425923</v>
      </c>
      <c r="N1" s="9"/>
    </row>
    <row r="2" spans="1:14" ht="39.950000000000003" customHeight="1" x14ac:dyDescent="0.25">
      <c r="A2" s="11" t="s">
        <v>0</v>
      </c>
      <c r="B2" s="12"/>
      <c r="C2" s="12"/>
      <c r="D2" s="12"/>
      <c r="E2" s="12"/>
      <c r="F2" s="12"/>
      <c r="G2" s="13" t="s">
        <v>58</v>
      </c>
      <c r="H2" s="12"/>
      <c r="I2" s="12"/>
      <c r="J2" s="12"/>
      <c r="K2" s="12"/>
      <c r="L2" s="12"/>
      <c r="M2" s="12"/>
      <c r="N2" s="9"/>
    </row>
    <row r="3" spans="1:14" ht="39.950000000000003" customHeight="1" x14ac:dyDescent="0.25">
      <c r="A3" s="9" t="s">
        <v>57</v>
      </c>
      <c r="B3" s="9" t="s">
        <v>56</v>
      </c>
      <c r="C3" s="9" t="s">
        <v>55</v>
      </c>
      <c r="D3" s="9" t="s">
        <v>54</v>
      </c>
      <c r="E3" s="9" t="s">
        <v>53</v>
      </c>
      <c r="F3" s="9" t="s">
        <v>4</v>
      </c>
      <c r="G3" s="9" t="s">
        <v>5</v>
      </c>
      <c r="H3" s="9" t="s">
        <v>52</v>
      </c>
      <c r="I3" s="9" t="s">
        <v>51</v>
      </c>
      <c r="J3" s="9" t="s">
        <v>50</v>
      </c>
      <c r="K3" s="9" t="s">
        <v>49</v>
      </c>
      <c r="L3" s="9" t="s">
        <v>48</v>
      </c>
      <c r="M3" s="9" t="s">
        <v>47</v>
      </c>
      <c r="N3" s="9"/>
    </row>
    <row r="4" spans="1:14" ht="39.950000000000003" customHeight="1" x14ac:dyDescent="0.25">
      <c r="A4" s="9" t="s">
        <v>46</v>
      </c>
      <c r="B4" s="9" t="s">
        <v>35</v>
      </c>
      <c r="C4" s="9" t="s">
        <v>45</v>
      </c>
      <c r="D4" s="9" t="s">
        <v>44</v>
      </c>
      <c r="E4" s="9"/>
      <c r="F4" s="9" t="s">
        <v>14</v>
      </c>
      <c r="G4" s="9" t="s">
        <v>15</v>
      </c>
      <c r="H4" s="14">
        <v>9472.5</v>
      </c>
      <c r="I4" s="9" t="s">
        <v>43</v>
      </c>
      <c r="J4" s="9"/>
      <c r="K4" s="9" t="s">
        <v>42</v>
      </c>
      <c r="L4" s="9"/>
      <c r="M4" s="9"/>
      <c r="N4" s="9"/>
    </row>
    <row r="5" spans="1:14" ht="39.950000000000003" customHeight="1" x14ac:dyDescent="0.25">
      <c r="A5" s="9" t="s">
        <v>59</v>
      </c>
      <c r="B5" s="9" t="s">
        <v>35</v>
      </c>
      <c r="C5" s="9" t="s">
        <v>25</v>
      </c>
      <c r="D5" s="9" t="s">
        <v>41</v>
      </c>
      <c r="E5" s="9"/>
      <c r="F5" s="9" t="s">
        <v>16</v>
      </c>
      <c r="G5" s="9" t="s">
        <v>13</v>
      </c>
      <c r="H5" s="14">
        <v>25959.9</v>
      </c>
      <c r="I5" s="9" t="s">
        <v>40</v>
      </c>
      <c r="J5" s="9"/>
      <c r="K5" s="9" t="s">
        <v>39</v>
      </c>
      <c r="L5" s="9"/>
      <c r="M5" s="9"/>
      <c r="N5" s="9"/>
    </row>
    <row r="6" spans="1:14" ht="39.950000000000003" customHeight="1" x14ac:dyDescent="0.25">
      <c r="A6" s="9" t="s">
        <v>60</v>
      </c>
      <c r="B6" s="9" t="s">
        <v>26</v>
      </c>
      <c r="C6" s="9" t="s">
        <v>25</v>
      </c>
      <c r="D6" s="9" t="s">
        <v>38</v>
      </c>
      <c r="E6" s="9"/>
      <c r="F6" s="9" t="s">
        <v>17</v>
      </c>
      <c r="G6" s="9" t="s">
        <v>11</v>
      </c>
      <c r="H6" s="14">
        <v>29690.5</v>
      </c>
      <c r="I6" s="9" t="s">
        <v>37</v>
      </c>
      <c r="J6" s="9"/>
      <c r="K6" s="9" t="s">
        <v>36</v>
      </c>
      <c r="L6" s="9"/>
      <c r="M6" s="9"/>
      <c r="N6" s="9"/>
    </row>
    <row r="7" spans="1:14" ht="39.950000000000003" customHeight="1" x14ac:dyDescent="0.25">
      <c r="A7" s="9" t="s">
        <v>61</v>
      </c>
      <c r="B7" s="9" t="s">
        <v>35</v>
      </c>
      <c r="C7" s="9" t="s">
        <v>25</v>
      </c>
      <c r="D7" s="9" t="s">
        <v>34</v>
      </c>
      <c r="E7" s="9" t="s">
        <v>33</v>
      </c>
      <c r="F7" s="9" t="s">
        <v>10</v>
      </c>
      <c r="G7" s="9" t="s">
        <v>11</v>
      </c>
      <c r="H7" s="14">
        <v>30347.63</v>
      </c>
      <c r="I7" s="9" t="s">
        <v>32</v>
      </c>
      <c r="J7" s="9"/>
      <c r="K7" s="9" t="s">
        <v>31</v>
      </c>
      <c r="L7" s="9" t="s">
        <v>30</v>
      </c>
      <c r="M7" s="9"/>
      <c r="N7" s="9"/>
    </row>
    <row r="8" spans="1:14" ht="39.950000000000003" customHeight="1" x14ac:dyDescent="0.25">
      <c r="A8" s="9" t="s">
        <v>62</v>
      </c>
      <c r="B8" s="9" t="s">
        <v>26</v>
      </c>
      <c r="C8" s="9" t="s">
        <v>25</v>
      </c>
      <c r="D8" s="9" t="s">
        <v>29</v>
      </c>
      <c r="E8" s="9"/>
      <c r="F8" s="9" t="s">
        <v>12</v>
      </c>
      <c r="G8" s="9" t="s">
        <v>13</v>
      </c>
      <c r="H8" s="14">
        <v>44867.94</v>
      </c>
      <c r="I8" s="9" t="s">
        <v>28</v>
      </c>
      <c r="J8" s="9"/>
      <c r="K8" s="9" t="s">
        <v>27</v>
      </c>
      <c r="L8" s="9"/>
      <c r="M8" s="9"/>
      <c r="N8" s="9"/>
    </row>
    <row r="9" spans="1:14" ht="39.950000000000003" customHeight="1" x14ac:dyDescent="0.25">
      <c r="A9" s="9" t="s">
        <v>63</v>
      </c>
      <c r="B9" s="9" t="s">
        <v>26</v>
      </c>
      <c r="C9" s="9" t="s">
        <v>25</v>
      </c>
      <c r="D9" s="9" t="s">
        <v>24</v>
      </c>
      <c r="E9" s="9"/>
      <c r="F9" s="9" t="s">
        <v>18</v>
      </c>
      <c r="G9" s="9" t="s">
        <v>13</v>
      </c>
      <c r="H9" s="14">
        <v>30842.01</v>
      </c>
      <c r="I9" s="9" t="s">
        <v>23</v>
      </c>
      <c r="J9" s="9"/>
      <c r="K9" s="9" t="s">
        <v>22</v>
      </c>
      <c r="L9" s="9"/>
      <c r="M9" s="9"/>
      <c r="N9" s="9"/>
    </row>
    <row r="10" spans="1:14" ht="39.950000000000003" customHeight="1" x14ac:dyDescent="0.25">
      <c r="A10" s="15"/>
      <c r="B10" s="15"/>
      <c r="C10" s="15"/>
      <c r="D10" s="15" t="s">
        <v>21</v>
      </c>
      <c r="E10" s="15"/>
      <c r="F10" s="15"/>
      <c r="G10" s="15"/>
      <c r="H10" s="16">
        <f>SUM(H4:H9)</f>
        <v>171180.48</v>
      </c>
      <c r="I10" s="15"/>
      <c r="J10" s="15"/>
      <c r="K10" s="15"/>
      <c r="L10" s="15"/>
      <c r="M10" s="15"/>
      <c r="N10" s="9"/>
    </row>
    <row r="11" spans="1:14" ht="39.950000000000003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ht="39.950000000000003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ht="39.950000000000003" customHeight="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ht="39.950000000000003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ht="39.950000000000003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ht="39.950000000000003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ht="39.950000000000003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39.950000000000003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</sheetData>
  <mergeCells count="2">
    <mergeCell ref="A2:F2"/>
    <mergeCell ref="G2:M2"/>
  </mergeCells>
  <pageMargins left="0.7" right="0.7" top="0.75" bottom="0.75" header="0.3" footer="0.3"/>
  <pageSetup paperSize="5" scale="6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EB17-86D9-4FDE-8FBE-2AE0F984488E}">
  <sheetPr>
    <pageSetUpPr fitToPage="1"/>
  </sheetPr>
  <dimension ref="A1:E23"/>
  <sheetViews>
    <sheetView workbookViewId="0">
      <pane ySplit="3" topLeftCell="A4" activePane="bottomLeft" state="frozen"/>
      <selection pane="bottomLeft" activeCell="F1" sqref="F1:F1048576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18.42578125" style="8" bestFit="1" customWidth="1"/>
    <col min="4" max="4" width="18.7109375" style="8" bestFit="1" customWidth="1"/>
    <col min="5" max="5" width="26.710937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45660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64</v>
      </c>
      <c r="E2" s="12"/>
    </row>
    <row r="3" spans="1:5" x14ac:dyDescent="0.25">
      <c r="A3" s="9" t="s">
        <v>57</v>
      </c>
      <c r="B3" s="9" t="s">
        <v>55</v>
      </c>
      <c r="C3" s="9" t="s">
        <v>54</v>
      </c>
      <c r="D3" s="9" t="s">
        <v>53</v>
      </c>
      <c r="E3" s="9" t="s">
        <v>4</v>
      </c>
    </row>
    <row r="4" spans="1:5" x14ac:dyDescent="0.25">
      <c r="A4" s="9" t="s">
        <v>46</v>
      </c>
      <c r="B4" s="9" t="s">
        <v>45</v>
      </c>
      <c r="C4" s="9" t="s">
        <v>44</v>
      </c>
      <c r="D4" s="9"/>
      <c r="E4" s="9" t="s">
        <v>14</v>
      </c>
    </row>
    <row r="5" spans="1:5" x14ac:dyDescent="0.25">
      <c r="A5" s="15"/>
      <c r="B5" s="15"/>
      <c r="C5" s="15" t="s">
        <v>65</v>
      </c>
      <c r="D5" s="15"/>
      <c r="E5" s="15"/>
    </row>
    <row r="6" spans="1:5" x14ac:dyDescent="0.25">
      <c r="A6" s="9"/>
      <c r="B6" s="9"/>
      <c r="C6" s="9"/>
      <c r="D6" s="9"/>
      <c r="E6" s="9"/>
    </row>
    <row r="7" spans="1:5" x14ac:dyDescent="0.25">
      <c r="A7" s="9"/>
      <c r="B7" s="9"/>
      <c r="C7" s="9"/>
      <c r="D7" s="9"/>
      <c r="E7" s="9"/>
    </row>
    <row r="8" spans="1:5" x14ac:dyDescent="0.25">
      <c r="A8" s="9" t="s">
        <v>66</v>
      </c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 t="s">
        <v>67</v>
      </c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 t="s">
        <v>68</v>
      </c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</sheetData>
  <mergeCells count="2">
    <mergeCell ref="A2:C2"/>
    <mergeCell ref="D2:E2"/>
  </mergeCells>
  <pageMargins left="0.7" right="0.7" top="0.75" bottom="0.75" header="0.3" footer="0.3"/>
  <pageSetup scale="95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2025-01-03T19:11:32Z</cp:lastPrinted>
  <dcterms:created xsi:type="dcterms:W3CDTF">2025-01-03T19:03:57Z</dcterms:created>
  <dcterms:modified xsi:type="dcterms:W3CDTF">2025-01-03T19:30:20Z</dcterms:modified>
</cp:coreProperties>
</file>