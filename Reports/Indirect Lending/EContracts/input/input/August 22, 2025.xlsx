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610AEBDB-95E6-4CC3-A6F5-22DE8510D53C}" xr6:coauthVersionLast="47" xr6:coauthVersionMax="47" xr10:uidLastSave="{00000000-0000-0000-0000-000000000000}"/>
  <bookViews>
    <workbookView xWindow="30510" yWindow="195" windowWidth="24795" windowHeight="150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2" l="1"/>
  <c r="G22" i="2"/>
  <c r="G17" i="2"/>
  <c r="H35" i="2"/>
  <c r="F35" i="2"/>
  <c r="E35" i="2"/>
  <c r="D35" i="2"/>
  <c r="H21" i="1" l="1"/>
</calcChain>
</file>

<file path=xl/sharedStrings.xml><?xml version="1.0" encoding="utf-8"?>
<sst xmlns="http://schemas.openxmlformats.org/spreadsheetml/2006/main" count="229" uniqueCount="118">
  <si>
    <t>Bristol County Savings Bank</t>
  </si>
  <si>
    <t>Funding Worksheet - Folder Version</t>
  </si>
  <si>
    <t>To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</si>
  <si>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</si>
  <si>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</si>
  <si>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</si>
  <si>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</si>
  <si>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</si>
  <si>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</si>
  <si>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</si>
  <si>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</si>
  <si>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</si>
  <si>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</si>
  <si>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</si>
  <si>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</si>
  <si>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</si>
  <si>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</si>
  <si>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</si>
  <si>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PEREZ VENTURA, ENRIQUE</t>
  </si>
  <si>
    <t>Tasca Automotive Group Rt 6 One Inc</t>
  </si>
  <si>
    <t>Marlene Braganca</t>
  </si>
  <si>
    <t>heoyanvventura95@gmail.com</t>
  </si>
  <si>
    <t>Ventura Ixcuna</t>
  </si>
  <si>
    <t>DealerTrack</t>
  </si>
  <si>
    <t>LOCKWOOD, KEITH</t>
  </si>
  <si>
    <t>Battles Nissan, LLC</t>
  </si>
  <si>
    <t>KMLOCKWOOD77@GMAIL.COM</t>
  </si>
  <si>
    <t>Smith</t>
  </si>
  <si>
    <t>151216184</t>
  </si>
  <si>
    <t>Paper</t>
  </si>
  <si>
    <t>MAHONEY, FRANK</t>
  </si>
  <si>
    <t>Planet Automotive Sales LLC</t>
  </si>
  <si>
    <t>Rachel Gorham</t>
  </si>
  <si>
    <t>FRANK-BLUEDIAMONDCC@COMCAST.NET</t>
  </si>
  <si>
    <t>SAVINI</t>
  </si>
  <si>
    <t>151216217</t>
  </si>
  <si>
    <t>MATINZI, DONALD</t>
  </si>
  <si>
    <t>Patriot Auto Group Inc d/b/a</t>
  </si>
  <si>
    <t>lcd32r@comcast.net</t>
  </si>
  <si>
    <t>TAVARES</t>
  </si>
  <si>
    <t>JOYCE-KILLARNEY, GERALDINE</t>
  </si>
  <si>
    <t>kkillarney@gmail.com</t>
  </si>
  <si>
    <t>Walsh</t>
  </si>
  <si>
    <t>CAREY, CHRISTOPHER</t>
  </si>
  <si>
    <t>Toyota of Dartmouth</t>
  </si>
  <si>
    <t>LLOYD</t>
  </si>
  <si>
    <t>CABRAL, DAVID</t>
  </si>
  <si>
    <t>BID Cars Boston</t>
  </si>
  <si>
    <t>DAVID.P.CABRAL@OUTLOOK.COM</t>
  </si>
  <si>
    <t>CHAVES</t>
  </si>
  <si>
    <t>MAYBEN, THOMAS</t>
  </si>
  <si>
    <t>Priority Automotive LLC</t>
  </si>
  <si>
    <t>RAYMOND1787@AOL.COM</t>
  </si>
  <si>
    <t>HOUDE</t>
  </si>
  <si>
    <t>COSTA, SCOTT</t>
  </si>
  <si>
    <t>RAH FALL RIVER VW, LLC</t>
  </si>
  <si>
    <t>COSTA0710@HOTMAIL.COM</t>
  </si>
  <si>
    <t>BRAZIL</t>
  </si>
  <si>
    <t>151216366</t>
  </si>
  <si>
    <t>BLAKE, KRISTEN</t>
  </si>
  <si>
    <t>S&amp;E Auto Services and Sales Inc</t>
  </si>
  <si>
    <t>kdolan2007@yahoo.com</t>
  </si>
  <si>
    <t>McGee</t>
  </si>
  <si>
    <t>BAXTER, RICHARD</t>
  </si>
  <si>
    <t>Alden Mazda</t>
  </si>
  <si>
    <t>BAXTER508@COMCAST.NET</t>
  </si>
  <si>
    <t>O'Donnell</t>
  </si>
  <si>
    <t>151216390</t>
  </si>
  <si>
    <t>DANN, MARY</t>
  </si>
  <si>
    <t>Kelley</t>
  </si>
  <si>
    <t>MILLER, MELISSA</t>
  </si>
  <si>
    <t>Hiller Co Inc</t>
  </si>
  <si>
    <t>missxray2@yahoo.com</t>
  </si>
  <si>
    <t>ROSS</t>
  </si>
  <si>
    <t>151216481</t>
  </si>
  <si>
    <t>COOPER, ALLAN</t>
  </si>
  <si>
    <t>NARSA AMC LLC d/b/a</t>
  </si>
  <si>
    <t>allancooper297@gmail.com</t>
  </si>
  <si>
    <t>Lockyer</t>
  </si>
  <si>
    <t>HARDJOSUWITO, DAVID</t>
  </si>
  <si>
    <t>AutoMax Preowned(Framingham)</t>
  </si>
  <si>
    <t>Fenny Andayani</t>
  </si>
  <si>
    <t>151216522</t>
  </si>
  <si>
    <t>HALL, ADAM</t>
  </si>
  <si>
    <t>HALL.ADAMMICHAEL@GMAIL.COM</t>
  </si>
  <si>
    <t>HOWARD</t>
  </si>
  <si>
    <t>Funding Worksheet - ACH Version</t>
  </si>
  <si>
    <t>Dealer Flat</t>
  </si>
  <si>
    <t>Dealer Split</t>
  </si>
  <si>
    <t>Net to Dealer</t>
  </si>
  <si>
    <t>Contracted Amount Financed</t>
  </si>
  <si>
    <t>CIFFOLILLO, JAMES</t>
  </si>
  <si>
    <t>Alden Buick Pontiac GMC</t>
  </si>
  <si>
    <t>JAMIE@SHEARWATERCOMPANIES.COM</t>
  </si>
  <si>
    <t>FINK</t>
  </si>
  <si>
    <t># 17</t>
  </si>
  <si>
    <t># 6</t>
  </si>
  <si>
    <t xml:space="preserve">Original Notes Delivered </t>
  </si>
  <si>
    <t>Delivered by:</t>
  </si>
  <si>
    <t>Received by:</t>
  </si>
  <si>
    <t xml:space="preserve">Date Signed: </t>
  </si>
  <si>
    <t>Column1</t>
  </si>
  <si>
    <t>Column2</t>
  </si>
  <si>
    <t>Auto Mall-NARSA AMC LLC d/b/a</t>
  </si>
  <si>
    <t>honda-Patriot Auto Group Inc d/b/a</t>
  </si>
  <si>
    <t>3376-3754</t>
  </si>
  <si>
    <t>NE AutoMax Preowned(Framingham)</t>
  </si>
  <si>
    <t>151216035 E</t>
  </si>
  <si>
    <t>151216085 E</t>
  </si>
  <si>
    <t>151216267 E</t>
  </si>
  <si>
    <t>151216275 E</t>
  </si>
  <si>
    <t>151216291 E</t>
  </si>
  <si>
    <t>151216308 E</t>
  </si>
  <si>
    <t>151216316 E</t>
  </si>
  <si>
    <t>151216374 E</t>
  </si>
  <si>
    <t>151216457 E</t>
  </si>
  <si>
    <t>151216514 E</t>
  </si>
  <si>
    <t>151216564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</si>
</sst>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7" fontId="2" fillId="0" borderId="0" xfId="0" applyNumberFormat="1" applyFont="1"/>
    <xf numFmtId="7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7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21">
  <tableColumns count="13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  <tableColumn id="13" xr3:uid="{00000000-0010-0000-0000-00000D000000}" name="Business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A055A9-5BB1-4CFE-9878-F8E0A63FAC7A}" name="Table_16" displayName="Table_16" ref="A3:H35" headerRowDxfId="2" dataDxfId="0" totalsRowDxfId="1">
  <sortState xmlns:xlrd2="http://schemas.microsoft.com/office/spreadsheetml/2017/richdata2" ref="A4:H35">
    <sortCondition ref="A4:A35"/>
  </sortState>
  <tableColumns count="8">
    <tableColumn id="1" xr3:uid="{8BE2CE6E-C288-4A44-A777-14A6041EAE8F}" name="Dealer Name" dataDxfId="10"/>
    <tableColumn id="7" xr3:uid="{C0EF306D-99D3-448F-806D-95FAF0462D2C}" name="Column1" dataDxfId="9"/>
    <tableColumn id="2" xr3:uid="{4988BB8C-C0FD-4026-8A1C-DC9F46975CEC}" name="Funded by" dataDxfId="8"/>
    <tableColumn id="3" xr3:uid="{B148D819-B5DA-4644-A9F3-46A494DC62EA}" name="Dealer Flat" dataDxfId="7"/>
    <tableColumn id="4" xr3:uid="{AC2C2A31-A1EF-41E4-AD77-FCCFABEDB3A8}" name="Dealer Split" dataDxfId="6"/>
    <tableColumn id="5" xr3:uid="{E13CCD8D-53FE-493F-B37D-ED23A9FDDBD5}" name="Net to Dealer" dataDxfId="5"/>
    <tableColumn id="8" xr3:uid="{A916D74D-3451-4F26-87E8-F5909BAE3BD5}" name="Column2" dataDxfId="4"/>
    <tableColumn id="6" xr3:uid="{18DE0F31-5BC5-4D57-8F08-A0B36114A2EB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8E69B6-A3C2-417E-BEF9-7AA03FFBAA9E}" name="Table_18" displayName="Table_18" ref="A3:D10">
  <tableColumns count="4">
    <tableColumn id="1" xr3:uid="{03F09743-683C-4239-A7F0-238EFC14B95F}" name="Account Number"/>
    <tableColumn id="2" xr3:uid="{95882B9B-3580-4DFA-BDFD-4378D4F3D155}" name="Contract Type"/>
    <tableColumn id="3" xr3:uid="{455F01D6-273A-4C0A-B0A9-82DE62794B2D}" name="Applicant Name"/>
    <tableColumn id="5" xr3:uid="{86FE2542-AA8F-4514-928F-CF3D4EAFDA3B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1"/>
  <sheetViews>
    <sheetView tabSelected="1" workbookViewId="0">
      <pane ySplit="3" topLeftCell="A10" activePane="bottomLeft" state="frozen"/>
      <selection pane="bottomLeft" activeCell="F25" sqref="F25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14" bestFit="1" customWidth="1"/>
    <col min="4" max="4" width="29" bestFit="1" customWidth="1"/>
    <col min="5" max="5" width="18.7109375" hidden="1" customWidth="1"/>
    <col min="6" max="6" width="35.7109375" bestFit="1" customWidth="1"/>
    <col min="7" max="7" width="17.7109375" bestFit="1" customWidth="1"/>
    <col min="8" max="8" width="17.140625" bestFit="1" customWidth="1"/>
    <col min="9" max="9" width="39.42578125" bestFit="1" customWidth="1"/>
    <col min="10" max="10" width="18.42578125" hidden="1" customWidth="1"/>
    <col min="11" max="11" width="16.140625" bestFit="1" customWidth="1"/>
    <col min="12" max="12" width="12.85546875" hidden="1" customWidth="1"/>
    <col min="13" max="13" width="16.140625" hidden="1" customWidth="1"/>
  </cols>
  <sheetData>
    <row r="1" spans="1:13" x14ac:dyDescent="0.25">
      <c r="I1" s="21">
        <v>45891</v>
      </c>
      <c r="K1" s="4"/>
      <c r="L1" t="s">
        <v>2</v>
      </c>
      <c r="M1" s="4">
        <v>45891.999988425923</v>
      </c>
    </row>
    <row r="2" spans="1:13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  <c r="M2" s="6"/>
    </row>
    <row r="3" spans="1:13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</row>
    <row r="4" spans="1:13" ht="33" customHeight="1" x14ac:dyDescent="0.25">
      <c r="A4" t="s">
        <v>107</v>
      </c>
      <c r="B4" t="s">
        <v>16</v>
      </c>
      <c r="C4" t="s">
        <v>17</v>
      </c>
      <c r="D4" t="s">
        <v>18</v>
      </c>
      <c r="F4" t="s">
        <v>19</v>
      </c>
      <c r="G4" t="s">
        <v>20</v>
      </c>
      <c r="H4" s="2">
        <v>35069.760000000002</v>
      </c>
      <c r="I4" t="s">
        <v>21</v>
      </c>
      <c r="K4" t="s">
        <v>22</v>
      </c>
    </row>
    <row r="5" spans="1:13" ht="33" customHeight="1" x14ac:dyDescent="0.25">
      <c r="A5" t="s">
        <v>108</v>
      </c>
      <c r="B5" t="s">
        <v>23</v>
      </c>
      <c r="C5" t="s">
        <v>17</v>
      </c>
      <c r="D5" t="s">
        <v>24</v>
      </c>
      <c r="F5" t="s">
        <v>25</v>
      </c>
      <c r="G5" t="s">
        <v>20</v>
      </c>
      <c r="H5" s="2">
        <v>35949.629999999997</v>
      </c>
      <c r="I5" t="s">
        <v>26</v>
      </c>
      <c r="K5" t="s">
        <v>27</v>
      </c>
    </row>
    <row r="6" spans="1:13" ht="33" customHeight="1" x14ac:dyDescent="0.25">
      <c r="A6" t="s">
        <v>28</v>
      </c>
      <c r="B6" t="s">
        <v>23</v>
      </c>
      <c r="C6" t="s">
        <v>29</v>
      </c>
      <c r="D6" t="s">
        <v>30</v>
      </c>
      <c r="F6" t="s">
        <v>31</v>
      </c>
      <c r="G6" t="s">
        <v>32</v>
      </c>
      <c r="H6" s="2">
        <v>38122</v>
      </c>
      <c r="I6" t="s">
        <v>33</v>
      </c>
      <c r="K6" t="s">
        <v>34</v>
      </c>
    </row>
    <row r="7" spans="1:13" ht="33" customHeight="1" x14ac:dyDescent="0.25">
      <c r="A7" t="s">
        <v>35</v>
      </c>
      <c r="B7" t="s">
        <v>16</v>
      </c>
      <c r="C7" t="s">
        <v>29</v>
      </c>
      <c r="D7" t="s">
        <v>36</v>
      </c>
      <c r="F7" t="s">
        <v>37</v>
      </c>
      <c r="G7" t="s">
        <v>20</v>
      </c>
      <c r="H7" s="2">
        <v>16762.009999999998</v>
      </c>
      <c r="I7" t="s">
        <v>38</v>
      </c>
      <c r="K7" t="s">
        <v>39</v>
      </c>
    </row>
    <row r="8" spans="1:13" ht="33" customHeight="1" x14ac:dyDescent="0.25">
      <c r="A8" t="s">
        <v>109</v>
      </c>
      <c r="B8" t="s">
        <v>16</v>
      </c>
      <c r="C8" t="s">
        <v>17</v>
      </c>
      <c r="D8" t="s">
        <v>40</v>
      </c>
      <c r="F8" t="s">
        <v>37</v>
      </c>
      <c r="G8" t="s">
        <v>20</v>
      </c>
      <c r="H8" s="2">
        <v>17504.88</v>
      </c>
      <c r="I8" t="s">
        <v>41</v>
      </c>
      <c r="K8" t="s">
        <v>42</v>
      </c>
    </row>
    <row r="9" spans="1:13" ht="33" customHeight="1" x14ac:dyDescent="0.25">
      <c r="A9" t="s">
        <v>110</v>
      </c>
      <c r="B9" t="s">
        <v>16</v>
      </c>
      <c r="C9" t="s">
        <v>17</v>
      </c>
      <c r="D9" t="s">
        <v>43</v>
      </c>
      <c r="F9" t="s">
        <v>44</v>
      </c>
      <c r="G9" t="s">
        <v>20</v>
      </c>
      <c r="H9" s="2">
        <v>40333.5</v>
      </c>
      <c r="K9" t="s">
        <v>45</v>
      </c>
    </row>
    <row r="10" spans="1:13" ht="33" customHeight="1" x14ac:dyDescent="0.25">
      <c r="A10" t="s">
        <v>111</v>
      </c>
      <c r="B10" t="s">
        <v>23</v>
      </c>
      <c r="C10" t="s">
        <v>17</v>
      </c>
      <c r="D10" t="s">
        <v>46</v>
      </c>
      <c r="F10" t="s">
        <v>47</v>
      </c>
      <c r="G10" t="s">
        <v>20</v>
      </c>
      <c r="H10" s="2">
        <v>14000</v>
      </c>
      <c r="I10" t="s">
        <v>48</v>
      </c>
      <c r="K10" t="s">
        <v>49</v>
      </c>
    </row>
    <row r="11" spans="1:13" ht="33" customHeight="1" x14ac:dyDescent="0.25">
      <c r="A11" t="s">
        <v>112</v>
      </c>
      <c r="B11" t="s">
        <v>23</v>
      </c>
      <c r="C11" t="s">
        <v>17</v>
      </c>
      <c r="D11" t="s">
        <v>50</v>
      </c>
      <c r="F11" t="s">
        <v>51</v>
      </c>
      <c r="G11" t="s">
        <v>32</v>
      </c>
      <c r="H11" s="2">
        <v>14212.84</v>
      </c>
      <c r="I11" t="s">
        <v>52</v>
      </c>
      <c r="K11" t="s">
        <v>53</v>
      </c>
    </row>
    <row r="12" spans="1:13" ht="33" customHeight="1" x14ac:dyDescent="0.25">
      <c r="A12" t="s">
        <v>113</v>
      </c>
      <c r="B12" t="s">
        <v>23</v>
      </c>
      <c r="C12" t="s">
        <v>17</v>
      </c>
      <c r="D12" t="s">
        <v>54</v>
      </c>
      <c r="F12" t="s">
        <v>55</v>
      </c>
      <c r="G12" t="s">
        <v>32</v>
      </c>
      <c r="H12" s="2">
        <v>63934.71</v>
      </c>
      <c r="I12" t="s">
        <v>56</v>
      </c>
      <c r="K12" t="s">
        <v>57</v>
      </c>
    </row>
    <row r="13" spans="1:13" ht="33" customHeight="1" x14ac:dyDescent="0.25">
      <c r="A13" t="s">
        <v>58</v>
      </c>
      <c r="B13" t="s">
        <v>23</v>
      </c>
      <c r="C13" t="s">
        <v>29</v>
      </c>
      <c r="D13" t="s">
        <v>59</v>
      </c>
      <c r="F13" t="s">
        <v>60</v>
      </c>
      <c r="G13" t="s">
        <v>20</v>
      </c>
      <c r="H13" s="2">
        <v>26013.31</v>
      </c>
      <c r="I13" t="s">
        <v>61</v>
      </c>
      <c r="K13" t="s">
        <v>62</v>
      </c>
    </row>
    <row r="14" spans="1:13" ht="33" customHeight="1" x14ac:dyDescent="0.25">
      <c r="A14" t="s">
        <v>114</v>
      </c>
      <c r="B14" t="s">
        <v>16</v>
      </c>
      <c r="C14" t="s">
        <v>17</v>
      </c>
      <c r="D14" t="s">
        <v>63</v>
      </c>
      <c r="F14" t="s">
        <v>64</v>
      </c>
      <c r="G14" t="s">
        <v>20</v>
      </c>
      <c r="H14" s="2">
        <v>36805.08</v>
      </c>
      <c r="I14" t="s">
        <v>65</v>
      </c>
      <c r="K14" t="s">
        <v>66</v>
      </c>
    </row>
    <row r="15" spans="1:13" ht="33" customHeight="1" x14ac:dyDescent="0.25">
      <c r="A15" t="s">
        <v>67</v>
      </c>
      <c r="B15" t="s">
        <v>23</v>
      </c>
      <c r="C15" t="s">
        <v>29</v>
      </c>
      <c r="D15" t="s">
        <v>68</v>
      </c>
      <c r="F15" t="s">
        <v>60</v>
      </c>
      <c r="G15" t="s">
        <v>20</v>
      </c>
      <c r="H15" s="2">
        <v>10373.69</v>
      </c>
      <c r="K15" t="s">
        <v>69</v>
      </c>
    </row>
    <row r="16" spans="1:13" ht="33" customHeight="1" x14ac:dyDescent="0.25">
      <c r="A16" t="s">
        <v>115</v>
      </c>
      <c r="B16" t="s">
        <v>16</v>
      </c>
      <c r="C16" t="s">
        <v>17</v>
      </c>
      <c r="D16" t="s">
        <v>70</v>
      </c>
      <c r="F16" t="s">
        <v>71</v>
      </c>
      <c r="G16" t="s">
        <v>32</v>
      </c>
      <c r="H16" s="2">
        <v>26724.81</v>
      </c>
      <c r="I16" t="s">
        <v>72</v>
      </c>
      <c r="K16" t="s">
        <v>73</v>
      </c>
    </row>
    <row r="17" spans="1:13" ht="33" customHeight="1" x14ac:dyDescent="0.25">
      <c r="A17" t="s">
        <v>74</v>
      </c>
      <c r="B17" t="s">
        <v>23</v>
      </c>
      <c r="C17" t="s">
        <v>29</v>
      </c>
      <c r="D17" t="s">
        <v>75</v>
      </c>
      <c r="F17" t="s">
        <v>76</v>
      </c>
      <c r="G17" t="s">
        <v>20</v>
      </c>
      <c r="H17" s="2">
        <v>8953.44</v>
      </c>
      <c r="I17" t="s">
        <v>77</v>
      </c>
      <c r="K17" t="s">
        <v>78</v>
      </c>
    </row>
    <row r="18" spans="1:13" ht="33" customHeight="1" x14ac:dyDescent="0.25">
      <c r="A18" t="s">
        <v>116</v>
      </c>
      <c r="B18" t="s">
        <v>23</v>
      </c>
      <c r="C18" t="s">
        <v>17</v>
      </c>
      <c r="D18" t="s">
        <v>79</v>
      </c>
      <c r="F18" t="s">
        <v>80</v>
      </c>
      <c r="G18" t="s">
        <v>20</v>
      </c>
      <c r="H18" s="2">
        <v>20607</v>
      </c>
      <c r="K18" t="s">
        <v>81</v>
      </c>
    </row>
    <row r="19" spans="1:13" ht="33" customHeight="1" x14ac:dyDescent="0.25">
      <c r="A19" t="s">
        <v>82</v>
      </c>
      <c r="B19" t="s">
        <v>23</v>
      </c>
      <c r="C19" t="s">
        <v>29</v>
      </c>
      <c r="D19" t="s">
        <v>83</v>
      </c>
      <c r="F19" t="s">
        <v>31</v>
      </c>
      <c r="G19" t="s">
        <v>32</v>
      </c>
      <c r="H19" s="2">
        <v>25775.94</v>
      </c>
      <c r="I19" t="s">
        <v>84</v>
      </c>
      <c r="K19" t="s">
        <v>85</v>
      </c>
    </row>
    <row r="20" spans="1:13" ht="33" customHeight="1" x14ac:dyDescent="0.25">
      <c r="A20" t="s">
        <v>117</v>
      </c>
      <c r="B20" t="s">
        <v>16</v>
      </c>
      <c r="C20" t="s">
        <v>17</v>
      </c>
      <c r="D20" t="s">
        <v>91</v>
      </c>
      <c r="F20" t="s">
        <v>92</v>
      </c>
      <c r="G20" t="s">
        <v>32</v>
      </c>
      <c r="H20" s="2">
        <v>65245.81</v>
      </c>
      <c r="I20" t="s">
        <v>93</v>
      </c>
      <c r="K20" t="s">
        <v>94</v>
      </c>
    </row>
    <row r="21" spans="1:13" x14ac:dyDescent="0.25">
      <c r="A21" s="1"/>
      <c r="B21" s="1"/>
      <c r="C21" s="1"/>
      <c r="D21" s="1" t="s">
        <v>95</v>
      </c>
      <c r="E21" s="1"/>
      <c r="F21" s="1"/>
      <c r="G21" s="1"/>
      <c r="H21" s="3">
        <f>SUM(H4:H19)</f>
        <v>431142.60000000003</v>
      </c>
      <c r="I21" s="1"/>
      <c r="J21" s="1"/>
      <c r="K21" s="1"/>
      <c r="L21" s="1"/>
      <c r="M21" s="1"/>
    </row>
  </sheetData>
  <mergeCells count="2">
    <mergeCell ref="A2:F2"/>
    <mergeCell ref="G2:M2"/>
  </mergeCells>
  <pageMargins left="0.7" right="0.7" top="0.75" bottom="0.75" header="0.3" footer="0.3"/>
  <pageSetup paperSize="5" scale="7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DADA-1503-4101-8E05-023DDE6A51FB}">
  <sheetPr>
    <pageSetUpPr fitToPage="1"/>
  </sheetPr>
  <dimension ref="A1:H35"/>
  <sheetViews>
    <sheetView workbookViewId="0">
      <selection activeCell="K11" sqref="K11"/>
    </sheetView>
  </sheetViews>
  <sheetFormatPr defaultRowHeight="15.75" x14ac:dyDescent="0.25"/>
  <cols>
    <col min="1" max="1" width="25.85546875" style="9" customWidth="1"/>
    <col min="2" max="2" width="16.42578125" style="9" customWidth="1"/>
    <col min="3" max="3" width="18.85546875" style="9" customWidth="1"/>
    <col min="4" max="4" width="21.42578125" style="9" customWidth="1"/>
    <col min="5" max="5" width="15" style="9" customWidth="1"/>
    <col min="6" max="6" width="20.5703125" style="9" customWidth="1"/>
    <col min="7" max="7" width="14.42578125" style="9" customWidth="1"/>
    <col min="8" max="8" width="17.140625" style="9" customWidth="1"/>
    <col min="9" max="16384" width="9.140625" style="9"/>
  </cols>
  <sheetData>
    <row r="1" spans="1:8" x14ac:dyDescent="0.25">
      <c r="E1" s="10"/>
      <c r="H1" s="10">
        <v>45891.999988425923</v>
      </c>
    </row>
    <row r="2" spans="1:8" x14ac:dyDescent="0.25">
      <c r="A2" s="11" t="s">
        <v>0</v>
      </c>
      <c r="B2" s="11"/>
      <c r="C2" s="12"/>
      <c r="D2" s="12"/>
      <c r="E2" s="13" t="s">
        <v>86</v>
      </c>
      <c r="F2" s="12"/>
      <c r="G2" s="12"/>
      <c r="H2" s="12"/>
    </row>
    <row r="3" spans="1:8" x14ac:dyDescent="0.25">
      <c r="A3" s="9" t="s">
        <v>8</v>
      </c>
      <c r="B3" s="9" t="s">
        <v>101</v>
      </c>
      <c r="C3" s="9" t="s">
        <v>9</v>
      </c>
      <c r="D3" s="9" t="s">
        <v>87</v>
      </c>
      <c r="E3" s="9" t="s">
        <v>88</v>
      </c>
      <c r="F3" s="9" t="s">
        <v>89</v>
      </c>
      <c r="G3" s="9" t="s">
        <v>102</v>
      </c>
      <c r="H3" s="9" t="s">
        <v>90</v>
      </c>
    </row>
    <row r="4" spans="1:8" ht="27" customHeight="1" x14ac:dyDescent="0.25">
      <c r="A4" s="9" t="s">
        <v>92</v>
      </c>
      <c r="B4" s="14"/>
      <c r="C4" s="9" t="s">
        <v>32</v>
      </c>
      <c r="D4" s="15">
        <v>1350</v>
      </c>
      <c r="E4" s="15">
        <v>0</v>
      </c>
      <c r="F4" s="16">
        <v>65170.81</v>
      </c>
      <c r="G4" s="15"/>
      <c r="H4" s="15">
        <v>65245.81</v>
      </c>
    </row>
    <row r="5" spans="1:8" ht="27" customHeight="1" x14ac:dyDescent="0.25">
      <c r="B5" s="14"/>
      <c r="D5" s="15"/>
      <c r="E5" s="15"/>
      <c r="F5" s="16"/>
      <c r="G5" s="15"/>
      <c r="H5" s="15"/>
    </row>
    <row r="6" spans="1:8" ht="27" customHeight="1" x14ac:dyDescent="0.25">
      <c r="A6" s="9" t="s">
        <v>64</v>
      </c>
      <c r="B6" s="14"/>
      <c r="C6" s="9" t="s">
        <v>20</v>
      </c>
      <c r="D6" s="15">
        <v>950</v>
      </c>
      <c r="E6" s="15">
        <v>0</v>
      </c>
      <c r="F6" s="16">
        <v>36730.080000000002</v>
      </c>
      <c r="G6" s="15"/>
      <c r="H6" s="15">
        <v>36805.08</v>
      </c>
    </row>
    <row r="7" spans="1:8" ht="27" customHeight="1" x14ac:dyDescent="0.25">
      <c r="B7" s="14"/>
      <c r="D7" s="15"/>
      <c r="E7" s="15"/>
      <c r="F7" s="16"/>
      <c r="G7" s="15"/>
      <c r="H7" s="15"/>
    </row>
    <row r="8" spans="1:8" ht="27" customHeight="1" x14ac:dyDescent="0.25">
      <c r="A8" s="9" t="s">
        <v>103</v>
      </c>
      <c r="B8" s="14"/>
      <c r="C8" s="9" t="s">
        <v>20</v>
      </c>
      <c r="D8" s="15">
        <v>150</v>
      </c>
      <c r="E8" s="15">
        <v>0</v>
      </c>
      <c r="F8" s="16">
        <v>8878.44</v>
      </c>
      <c r="G8" s="15"/>
      <c r="H8" s="15">
        <v>8953.44</v>
      </c>
    </row>
    <row r="9" spans="1:8" ht="27" customHeight="1" x14ac:dyDescent="0.25">
      <c r="B9" s="14"/>
      <c r="D9" s="15"/>
      <c r="E9" s="15"/>
      <c r="F9" s="16"/>
      <c r="G9" s="15"/>
      <c r="H9" s="15"/>
    </row>
    <row r="10" spans="1:8" ht="27" customHeight="1" x14ac:dyDescent="0.25">
      <c r="A10" s="9" t="s">
        <v>25</v>
      </c>
      <c r="B10" s="14"/>
      <c r="C10" s="9" t="s">
        <v>20</v>
      </c>
      <c r="D10" s="15">
        <v>950</v>
      </c>
      <c r="E10" s="15">
        <v>0</v>
      </c>
      <c r="F10" s="16">
        <v>35874.629999999997</v>
      </c>
      <c r="G10" s="15"/>
      <c r="H10" s="15">
        <v>35949.629999999997</v>
      </c>
    </row>
    <row r="11" spans="1:8" ht="27" customHeight="1" x14ac:dyDescent="0.25">
      <c r="B11" s="14"/>
      <c r="D11" s="15"/>
      <c r="E11" s="15"/>
      <c r="F11" s="16"/>
      <c r="G11" s="15"/>
      <c r="H11" s="15"/>
    </row>
    <row r="12" spans="1:8" ht="27" customHeight="1" x14ac:dyDescent="0.25">
      <c r="A12" s="9" t="s">
        <v>47</v>
      </c>
      <c r="B12" s="14"/>
      <c r="C12" s="9" t="s">
        <v>20</v>
      </c>
      <c r="D12" s="15">
        <v>300</v>
      </c>
      <c r="E12" s="15">
        <v>0</v>
      </c>
      <c r="F12" s="16">
        <v>13925</v>
      </c>
      <c r="G12" s="15"/>
      <c r="H12" s="15">
        <v>14000</v>
      </c>
    </row>
    <row r="13" spans="1:8" ht="27" customHeight="1" x14ac:dyDescent="0.25">
      <c r="B13" s="14"/>
      <c r="D13" s="15"/>
      <c r="E13" s="15"/>
      <c r="F13" s="16"/>
      <c r="G13" s="15"/>
      <c r="H13" s="15"/>
    </row>
    <row r="14" spans="1:8" ht="27" customHeight="1" x14ac:dyDescent="0.25">
      <c r="A14" s="9" t="s">
        <v>71</v>
      </c>
      <c r="B14" s="14"/>
      <c r="C14" s="9" t="s">
        <v>32</v>
      </c>
      <c r="D14" s="15">
        <v>750</v>
      </c>
      <c r="E14" s="15">
        <v>0</v>
      </c>
      <c r="F14" s="16">
        <v>26649.81</v>
      </c>
      <c r="G14" s="15"/>
      <c r="H14" s="15">
        <v>26724.81</v>
      </c>
    </row>
    <row r="15" spans="1:8" ht="27" customHeight="1" x14ac:dyDescent="0.25">
      <c r="B15" s="14"/>
      <c r="D15" s="15"/>
      <c r="E15" s="15"/>
      <c r="F15" s="15"/>
      <c r="G15" s="15"/>
      <c r="H15" s="15"/>
    </row>
    <row r="16" spans="1:8" ht="27" customHeight="1" x14ac:dyDescent="0.25">
      <c r="A16" s="9" t="s">
        <v>104</v>
      </c>
      <c r="B16" s="14"/>
      <c r="C16" s="9" t="s">
        <v>20</v>
      </c>
      <c r="D16" s="15">
        <v>500</v>
      </c>
      <c r="E16" s="15">
        <v>0</v>
      </c>
      <c r="F16" s="15">
        <v>16687.009999999998</v>
      </c>
      <c r="G16" s="15"/>
      <c r="H16" s="15">
        <v>16762.009999999998</v>
      </c>
    </row>
    <row r="17" spans="1:8" ht="27" customHeight="1" x14ac:dyDescent="0.25">
      <c r="A17" s="9" t="s">
        <v>104</v>
      </c>
      <c r="B17" s="14"/>
      <c r="C17" s="9" t="s">
        <v>20</v>
      </c>
      <c r="D17" s="15">
        <v>500</v>
      </c>
      <c r="E17" s="15">
        <v>0</v>
      </c>
      <c r="F17" s="15">
        <v>17429.88</v>
      </c>
      <c r="G17" s="16">
        <f>SUM(F16:F17)</f>
        <v>34116.89</v>
      </c>
      <c r="H17" s="15">
        <v>17504.88</v>
      </c>
    </row>
    <row r="18" spans="1:8" ht="27" customHeight="1" x14ac:dyDescent="0.25">
      <c r="B18" s="14"/>
      <c r="D18" s="15"/>
      <c r="E18" s="15"/>
      <c r="F18" s="15"/>
      <c r="G18" s="15"/>
      <c r="H18" s="15"/>
    </row>
    <row r="19" spans="1:8" ht="27" customHeight="1" x14ac:dyDescent="0.25">
      <c r="A19" s="9" t="s">
        <v>106</v>
      </c>
      <c r="B19" s="14"/>
      <c r="C19" s="9" t="s">
        <v>20</v>
      </c>
      <c r="D19" s="15">
        <v>650</v>
      </c>
      <c r="E19" s="15">
        <v>0</v>
      </c>
      <c r="F19" s="16">
        <v>20532</v>
      </c>
      <c r="G19" s="15"/>
      <c r="H19" s="15">
        <v>20607</v>
      </c>
    </row>
    <row r="20" spans="1:8" ht="27" customHeight="1" x14ac:dyDescent="0.25">
      <c r="B20" s="14"/>
      <c r="D20" s="15"/>
      <c r="E20" s="15"/>
      <c r="F20" s="15"/>
      <c r="G20" s="15"/>
      <c r="H20" s="15"/>
    </row>
    <row r="21" spans="1:8" ht="27" customHeight="1" x14ac:dyDescent="0.25">
      <c r="A21" s="9" t="s">
        <v>31</v>
      </c>
      <c r="B21" s="14"/>
      <c r="C21" s="9" t="s">
        <v>32</v>
      </c>
      <c r="D21" s="15">
        <v>950</v>
      </c>
      <c r="E21" s="15">
        <v>0</v>
      </c>
      <c r="F21" s="15">
        <v>38047</v>
      </c>
      <c r="G21" s="15"/>
      <c r="H21" s="15">
        <v>38122</v>
      </c>
    </row>
    <row r="22" spans="1:8" ht="27" customHeight="1" x14ac:dyDescent="0.25">
      <c r="A22" s="9" t="s">
        <v>31</v>
      </c>
      <c r="B22" s="14"/>
      <c r="C22" s="9" t="s">
        <v>32</v>
      </c>
      <c r="D22" s="15">
        <v>750</v>
      </c>
      <c r="E22" s="15">
        <v>0</v>
      </c>
      <c r="F22" s="15">
        <v>25700.94</v>
      </c>
      <c r="G22" s="16">
        <f>SUM(F21:F22)</f>
        <v>63747.94</v>
      </c>
      <c r="H22" s="15">
        <v>25775.94</v>
      </c>
    </row>
    <row r="23" spans="1:8" ht="27" customHeight="1" x14ac:dyDescent="0.25">
      <c r="B23" s="14"/>
      <c r="D23" s="15"/>
      <c r="E23" s="15"/>
      <c r="F23" s="15"/>
      <c r="G23" s="15"/>
      <c r="H23" s="15"/>
    </row>
    <row r="24" spans="1:8" ht="27" customHeight="1" x14ac:dyDescent="0.25">
      <c r="A24" s="9" t="s">
        <v>51</v>
      </c>
      <c r="B24" s="14"/>
      <c r="C24" s="9" t="s">
        <v>32</v>
      </c>
      <c r="D24" s="15">
        <v>300</v>
      </c>
      <c r="E24" s="15">
        <v>0</v>
      </c>
      <c r="F24" s="16">
        <v>14137.84</v>
      </c>
      <c r="G24" s="15"/>
      <c r="H24" s="15">
        <v>14212.84</v>
      </c>
    </row>
    <row r="25" spans="1:8" ht="27" customHeight="1" x14ac:dyDescent="0.25">
      <c r="B25" s="14"/>
      <c r="D25" s="15"/>
      <c r="E25" s="15"/>
      <c r="F25" s="16"/>
      <c r="G25" s="15"/>
      <c r="H25" s="15"/>
    </row>
    <row r="26" spans="1:8" ht="27" customHeight="1" x14ac:dyDescent="0.25">
      <c r="A26" s="9" t="s">
        <v>55</v>
      </c>
      <c r="B26" s="14"/>
      <c r="C26" s="9" t="s">
        <v>32</v>
      </c>
      <c r="D26" s="15">
        <v>1350</v>
      </c>
      <c r="E26" s="15">
        <v>0</v>
      </c>
      <c r="F26" s="16">
        <v>63859.71</v>
      </c>
      <c r="G26" s="15"/>
      <c r="H26" s="15">
        <v>63934.71</v>
      </c>
    </row>
    <row r="27" spans="1:8" ht="27" customHeight="1" x14ac:dyDescent="0.25">
      <c r="B27" s="14"/>
      <c r="D27" s="15"/>
      <c r="E27" s="15"/>
      <c r="F27" s="15"/>
      <c r="G27" s="15"/>
      <c r="H27" s="15"/>
    </row>
    <row r="28" spans="1:8" ht="27" customHeight="1" x14ac:dyDescent="0.25">
      <c r="A28" s="9" t="s">
        <v>60</v>
      </c>
      <c r="B28" s="14"/>
      <c r="C28" s="9" t="s">
        <v>20</v>
      </c>
      <c r="D28" s="15">
        <v>300</v>
      </c>
      <c r="E28" s="15">
        <v>0</v>
      </c>
      <c r="F28" s="15">
        <v>10298.69</v>
      </c>
      <c r="G28" s="15"/>
      <c r="H28" s="15">
        <v>10373.69</v>
      </c>
    </row>
    <row r="29" spans="1:8" ht="27" customHeight="1" x14ac:dyDescent="0.25">
      <c r="A29" s="9" t="s">
        <v>60</v>
      </c>
      <c r="B29" s="14"/>
      <c r="C29" s="9" t="s">
        <v>20</v>
      </c>
      <c r="D29" s="15">
        <v>750</v>
      </c>
      <c r="E29" s="15">
        <v>0</v>
      </c>
      <c r="F29" s="15">
        <v>25938.31</v>
      </c>
      <c r="G29" s="16">
        <f>SUM(F28:F29)</f>
        <v>36237</v>
      </c>
      <c r="H29" s="15">
        <v>26013.31</v>
      </c>
    </row>
    <row r="30" spans="1:8" ht="27" customHeight="1" x14ac:dyDescent="0.25">
      <c r="B30" s="14"/>
      <c r="D30" s="15"/>
      <c r="E30" s="15"/>
      <c r="F30" s="15"/>
      <c r="G30" s="15"/>
      <c r="H30" s="15"/>
    </row>
    <row r="31" spans="1:8" ht="27" customHeight="1" x14ac:dyDescent="0.25">
      <c r="A31" s="9" t="s">
        <v>19</v>
      </c>
      <c r="B31" s="14"/>
      <c r="C31" s="9" t="s">
        <v>20</v>
      </c>
      <c r="D31" s="15">
        <v>950</v>
      </c>
      <c r="E31" s="15">
        <v>0</v>
      </c>
      <c r="F31" s="16">
        <v>34994.76</v>
      </c>
      <c r="G31" s="15"/>
      <c r="H31" s="15">
        <v>35069.760000000002</v>
      </c>
    </row>
    <row r="32" spans="1:8" ht="27" customHeight="1" x14ac:dyDescent="0.25">
      <c r="B32" s="14"/>
      <c r="D32" s="15"/>
      <c r="E32" s="15"/>
      <c r="F32" s="16"/>
      <c r="G32" s="15"/>
      <c r="H32" s="15"/>
    </row>
    <row r="33" spans="1:8" ht="27" customHeight="1" x14ac:dyDescent="0.25">
      <c r="A33" s="9" t="s">
        <v>44</v>
      </c>
      <c r="B33" s="17" t="s">
        <v>105</v>
      </c>
      <c r="C33" s="9" t="s">
        <v>20</v>
      </c>
      <c r="D33" s="15">
        <v>1050</v>
      </c>
      <c r="E33" s="15">
        <v>0</v>
      </c>
      <c r="F33" s="16">
        <v>40258.5</v>
      </c>
      <c r="G33" s="15"/>
      <c r="H33" s="15">
        <v>40333.5</v>
      </c>
    </row>
    <row r="34" spans="1:8" ht="27" customHeight="1" x14ac:dyDescent="0.25">
      <c r="B34" s="17"/>
      <c r="D34" s="15"/>
      <c r="E34" s="15"/>
      <c r="F34" s="15"/>
      <c r="G34" s="15"/>
      <c r="H34" s="15"/>
    </row>
    <row r="35" spans="1:8" x14ac:dyDescent="0.25">
      <c r="A35" s="18"/>
      <c r="B35" s="19"/>
      <c r="C35" s="18"/>
      <c r="D35" s="20">
        <f>SUM(D4:D33)</f>
        <v>12500</v>
      </c>
      <c r="E35" s="20">
        <f>SUM(E4:E33)</f>
        <v>0</v>
      </c>
      <c r="F35" s="20">
        <f>SUM(F4:F33)</f>
        <v>495113.41000000009</v>
      </c>
      <c r="G35" s="20"/>
      <c r="H35" s="20">
        <f>SUM(H4:H33)</f>
        <v>496388.41000000009</v>
      </c>
    </row>
  </sheetData>
  <mergeCells count="2">
    <mergeCell ref="A2:D2"/>
    <mergeCell ref="E2:H2"/>
  </mergeCells>
  <pageMargins left="0.7" right="0.2" top="0.75" bottom="0.75" header="0.3" footer="0.3"/>
  <pageSetup scale="80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7765-5C46-49F7-AC98-18C2A659B27B}">
  <dimension ref="A1:D24"/>
  <sheetViews>
    <sheetView workbookViewId="0">
      <selection activeCell="G7" sqref="G7"/>
    </sheetView>
  </sheetViews>
  <sheetFormatPr defaultRowHeight="15" x14ac:dyDescent="0.25"/>
  <cols>
    <col min="1" max="1" width="13.7109375" customWidth="1"/>
    <col min="2" max="2" width="10.5703125" customWidth="1"/>
    <col min="3" max="3" width="20.7109375" customWidth="1"/>
    <col min="4" max="4" width="29.85546875" customWidth="1"/>
  </cols>
  <sheetData>
    <row r="1" spans="1:4" ht="24.95" customHeight="1" x14ac:dyDescent="0.25">
      <c r="A1" t="s">
        <v>97</v>
      </c>
      <c r="D1" s="4">
        <v>45891.999988425923</v>
      </c>
    </row>
    <row r="2" spans="1:4" ht="24.95" customHeight="1" x14ac:dyDescent="0.25">
      <c r="A2" s="5" t="s">
        <v>0</v>
      </c>
      <c r="B2" s="6"/>
      <c r="C2" s="6"/>
    </row>
    <row r="3" spans="1:4" ht="24.95" customHeight="1" x14ac:dyDescent="0.25">
      <c r="A3" t="s">
        <v>3</v>
      </c>
      <c r="B3" t="s">
        <v>5</v>
      </c>
      <c r="C3" t="s">
        <v>6</v>
      </c>
      <c r="D3" t="s">
        <v>8</v>
      </c>
    </row>
    <row r="4" spans="1:4" ht="24.95" customHeight="1" x14ac:dyDescent="0.25">
      <c r="A4" t="s">
        <v>28</v>
      </c>
      <c r="B4" t="s">
        <v>29</v>
      </c>
      <c r="C4" t="s">
        <v>30</v>
      </c>
      <c r="D4" t="s">
        <v>31</v>
      </c>
    </row>
    <row r="5" spans="1:4" ht="24.95" customHeight="1" x14ac:dyDescent="0.25">
      <c r="A5" t="s">
        <v>35</v>
      </c>
      <c r="B5" t="s">
        <v>29</v>
      </c>
      <c r="C5" t="s">
        <v>36</v>
      </c>
      <c r="D5" t="s">
        <v>37</v>
      </c>
    </row>
    <row r="6" spans="1:4" ht="24.95" customHeight="1" x14ac:dyDescent="0.25">
      <c r="A6" t="s">
        <v>58</v>
      </c>
      <c r="B6" t="s">
        <v>29</v>
      </c>
      <c r="C6" t="s">
        <v>59</v>
      </c>
      <c r="D6" t="s">
        <v>60</v>
      </c>
    </row>
    <row r="7" spans="1:4" ht="24.95" customHeight="1" x14ac:dyDescent="0.25">
      <c r="A7" t="s">
        <v>67</v>
      </c>
      <c r="B7" t="s">
        <v>29</v>
      </c>
      <c r="C7" t="s">
        <v>68</v>
      </c>
      <c r="D7" t="s">
        <v>60</v>
      </c>
    </row>
    <row r="8" spans="1:4" ht="24.95" customHeight="1" x14ac:dyDescent="0.25">
      <c r="A8" t="s">
        <v>74</v>
      </c>
      <c r="B8" t="s">
        <v>29</v>
      </c>
      <c r="C8" t="s">
        <v>75</v>
      </c>
      <c r="D8" t="s">
        <v>76</v>
      </c>
    </row>
    <row r="9" spans="1:4" ht="24.95" customHeight="1" x14ac:dyDescent="0.25">
      <c r="A9" t="s">
        <v>82</v>
      </c>
      <c r="B9" t="s">
        <v>29</v>
      </c>
      <c r="C9" t="s">
        <v>83</v>
      </c>
      <c r="D9" t="s">
        <v>31</v>
      </c>
    </row>
    <row r="10" spans="1:4" ht="24.95" customHeight="1" x14ac:dyDescent="0.25">
      <c r="A10" s="1"/>
      <c r="B10" s="1"/>
      <c r="C10" s="1" t="s">
        <v>96</v>
      </c>
      <c r="D10" s="1"/>
    </row>
    <row r="15" spans="1:4" x14ac:dyDescent="0.25">
      <c r="A15" t="s">
        <v>98</v>
      </c>
      <c r="B15" s="8"/>
      <c r="C15" s="8"/>
      <c r="D15" s="8"/>
    </row>
    <row r="20" spans="1:4" x14ac:dyDescent="0.25">
      <c r="A20" t="s">
        <v>99</v>
      </c>
      <c r="B20" s="8"/>
      <c r="C20" s="8"/>
      <c r="D20" s="8"/>
    </row>
    <row r="24" spans="1:4" x14ac:dyDescent="0.25">
      <c r="A24" t="s">
        <v>100</v>
      </c>
      <c r="B24" s="8"/>
      <c r="C24" s="8"/>
    </row>
  </sheetData>
  <mergeCells count="1">
    <mergeCell ref="A2:C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2025-08-22T19:30:19Z</cp:lastPrinted>
  <dcterms:created xsi:type="dcterms:W3CDTF">2025-08-22T17:39:00Z</dcterms:created>
  <dcterms:modified xsi:type="dcterms:W3CDTF">2025-08-22T19:30:20Z</dcterms:modified>
</cp:coreProperties>
</file>