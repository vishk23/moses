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05D2093-003F-40C2-AB96-308BF98CD7AD}" xr6:coauthVersionLast="47" xr6:coauthVersionMax="47" xr10:uidLastSave="{00000000-0000-0000-0000-000000000000}"/>
  <bookViews>
    <workbookView xWindow="29535" yWindow="735" windowWidth="22755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34" i="2"/>
  <c r="G27" i="2"/>
  <c r="G10" i="2"/>
  <c r="H38" i="2"/>
  <c r="F38" i="2"/>
  <c r="E38" i="2"/>
  <c r="D38" i="2"/>
  <c r="H24" i="1"/>
</calcChain>
</file>

<file path=xl/sharedStrings.xml><?xml version="1.0" encoding="utf-8"?>
<sst xmlns="http://schemas.openxmlformats.org/spreadsheetml/2006/main" count="286" uniqueCount="149">
  <si>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</si>
  <si>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</si>
  <si>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</si>
  <si>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</si>
  <si>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</si>
  <si>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</si>
  <si>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</si>
  <si>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</si>
  <si>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</si>
  <si>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</si>
  <si>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</si>
  <si>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</si>
  <si>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</si>
  <si>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</si>
  <si>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</si>
  <si>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</si>
  <si>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</si>
  <si>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boynton, matthew</t>
  </si>
  <si>
    <t>Alden Buick Pontiac GMC</t>
  </si>
  <si>
    <t>Marlene Braganca</t>
  </si>
  <si>
    <t>mattboy2@comcast.net</t>
  </si>
  <si>
    <t>McFarlane</t>
  </si>
  <si>
    <t>DealerTrack</t>
  </si>
  <si>
    <t>CANHA, RICHARD</t>
  </si>
  <si>
    <t>Grieco Enterprises, LLC d/b/a</t>
  </si>
  <si>
    <t>Rachel Gorham</t>
  </si>
  <si>
    <t>CALLRICHTHEPHONEGUY@GMAIL.COM</t>
  </si>
  <si>
    <t>LIMA</t>
  </si>
  <si>
    <t>MAHONEY, BRIAN</t>
  </si>
  <si>
    <t>Mastria Kia</t>
  </si>
  <si>
    <t>MAHONEY0017@GMAIL.COM</t>
  </si>
  <si>
    <t>PLOTNER</t>
  </si>
  <si>
    <t>151232643</t>
  </si>
  <si>
    <t>Paper</t>
  </si>
  <si>
    <t>COTTER, ROBERT</t>
  </si>
  <si>
    <t>COTTER, TINA</t>
  </si>
  <si>
    <t>Planet Automotive Sales LLC</t>
  </si>
  <si>
    <t>MOALRM6023@SBCGLOBAL.NET</t>
  </si>
  <si>
    <t>HOUG</t>
  </si>
  <si>
    <t>O'DELL</t>
  </si>
  <si>
    <t>ASPDEN, ERIN</t>
  </si>
  <si>
    <t>Wareham Ford</t>
  </si>
  <si>
    <t>Erin1258b@comcast.net</t>
  </si>
  <si>
    <t>BRIGHTMAN</t>
  </si>
  <si>
    <t>POULAIN, FREDERIQUE</t>
  </si>
  <si>
    <t>Patriot Auto Group Inc d/b/a</t>
  </si>
  <si>
    <t>Neli Oliveira</t>
  </si>
  <si>
    <t>bonjourfrederique@hotmail.com</t>
  </si>
  <si>
    <t>GODON</t>
  </si>
  <si>
    <t>LAMBERT, XAVIER</t>
  </si>
  <si>
    <t>LAMBERT, DONNA</t>
  </si>
  <si>
    <t>T F Murphy Enterprises Inc</t>
  </si>
  <si>
    <t>xdaplambert@gmail.com</t>
  </si>
  <si>
    <t>Guyot</t>
  </si>
  <si>
    <t>Millette</t>
  </si>
  <si>
    <t>NUSS, DENNIS</t>
  </si>
  <si>
    <t>R3V Motors, Inc</t>
  </si>
  <si>
    <t>DENNISNUSS50@GMAIL.COM</t>
  </si>
  <si>
    <t>PERRY</t>
  </si>
  <si>
    <t>WAITE, HEIDI</t>
  </si>
  <si>
    <t>WAITE, KEVIN</t>
  </si>
  <si>
    <t>Bourne Enterprises Inc</t>
  </si>
  <si>
    <t>HEIDIWAITE@GMAIL.COM</t>
  </si>
  <si>
    <t>KEVINWAITE@GMAIL.COM</t>
  </si>
  <si>
    <t>MILLER</t>
  </si>
  <si>
    <t>DEPALMA</t>
  </si>
  <si>
    <t>kirby, wendy</t>
  </si>
  <si>
    <t>sasin, amy</t>
  </si>
  <si>
    <t>wild.kirby@gmail.com</t>
  </si>
  <si>
    <t>FERREIRA</t>
  </si>
  <si>
    <t>Crowley</t>
  </si>
  <si>
    <t>LITCHFIELD, ELIZABETH</t>
  </si>
  <si>
    <t>LITCHFIELD, JOHN</t>
  </si>
  <si>
    <t>Lucchettis Service Center Inc</t>
  </si>
  <si>
    <t>LIZLITCH@YAHOO.COM</t>
  </si>
  <si>
    <t>Rachalski</t>
  </si>
  <si>
    <t>ODELL</t>
  </si>
  <si>
    <t>KELLEY, JONELLE</t>
  </si>
  <si>
    <t>jonellecarreiro@gmail.com</t>
  </si>
  <si>
    <t>LEUSCHNER</t>
  </si>
  <si>
    <t>151232833</t>
  </si>
  <si>
    <t>CROCHIERE, LISA</t>
  </si>
  <si>
    <t>LCROCHIERE@YAHOO.COM</t>
  </si>
  <si>
    <t>BOURQUE</t>
  </si>
  <si>
    <t>MERNICK, JENNIFER</t>
  </si>
  <si>
    <t>AutoMax Preowned(Framingham)</t>
  </si>
  <si>
    <t>JENNIFERMERNIUCK@GMAIL.COM</t>
  </si>
  <si>
    <t>GEAGAN</t>
  </si>
  <si>
    <t>151232867</t>
  </si>
  <si>
    <t>BOUCHARD, PAUL</t>
  </si>
  <si>
    <t>BOUCHARD, ASHLEY</t>
  </si>
  <si>
    <t>Priority Automotive LLC</t>
  </si>
  <si>
    <t>BOUCHARD0327@GMAIL.COM</t>
  </si>
  <si>
    <t>McALARY</t>
  </si>
  <si>
    <t>CLUKEY</t>
  </si>
  <si>
    <t>151232940</t>
  </si>
  <si>
    <t>ROUSSEAU, SETH</t>
  </si>
  <si>
    <t>NARSA AMC LLC d/b/a</t>
  </si>
  <si>
    <t>RWS4JESUS@GMAIL.COM</t>
  </si>
  <si>
    <t>Crawford</t>
  </si>
  <si>
    <t>151232958</t>
  </si>
  <si>
    <t>CHASSE, KAREN</t>
  </si>
  <si>
    <t>CHASSE77@AOL.COM</t>
  </si>
  <si>
    <t>ANDREWS</t>
  </si>
  <si>
    <t>151232966</t>
  </si>
  <si>
    <t>SALEEM, MOHAMMAD</t>
  </si>
  <si>
    <t>SSPRODUCTIONS@GMAIL.COM</t>
  </si>
  <si>
    <t>MISBAH</t>
  </si>
  <si>
    <t>151232974</t>
  </si>
  <si>
    <t>EMMONS, ROBERT</t>
  </si>
  <si>
    <t>RPEMMONS11@GMAIL.COM</t>
  </si>
  <si>
    <t>FLANAGAN</t>
  </si>
  <si>
    <t>WORTHY, MELISSA</t>
  </si>
  <si>
    <t>WORTHY, WILLIAM</t>
  </si>
  <si>
    <t>Metro Honda</t>
  </si>
  <si>
    <t>WORTHY1530@GMAIL.COM</t>
  </si>
  <si>
    <t>McGINN</t>
  </si>
  <si>
    <t>CARLSON</t>
  </si>
  <si>
    <t># 20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</si>
  <si>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</si>
  <si>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</si>
  <si>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</si>
  <si>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</si>
  <si>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</si>
  <si>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</si>
  <si>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</si>
  <si>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</si>
  <si>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auto mall-NARSA AMC LLC d/b/a</t>
  </si>
  <si>
    <t>ne-AutoMax Preowned(Framingham)</t>
  </si>
  <si>
    <t>Funding Worksheet - Signoff Version</t>
  </si>
  <si>
    <t>5099-5689</t>
  </si>
  <si>
    <t>151232560 E</t>
  </si>
  <si>
    <t>151232601 E</t>
  </si>
  <si>
    <t>151232619 E</t>
  </si>
  <si>
    <t>151232669 E</t>
  </si>
  <si>
    <t>151232693 E</t>
  </si>
  <si>
    <t>151232726 E</t>
  </si>
  <si>
    <t>151232734 E</t>
  </si>
  <si>
    <t>151232742 E</t>
  </si>
  <si>
    <t>151232776 E</t>
  </si>
  <si>
    <t>151232784 E</t>
  </si>
  <si>
    <t>151232817 E</t>
  </si>
  <si>
    <t>151232859 E</t>
  </si>
  <si>
    <t>151233005 E</t>
  </si>
  <si>
    <t># 7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</si>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</sst>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/>
    <xf numFmtId="16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right"/>
    </xf>
    <xf numFmtId="7" fontId="4" fillId="0" borderId="0" xfId="0" applyNumberFormat="1" applyFont="1"/>
    <xf numFmtId="0" fontId="6" fillId="0" borderId="0" xfId="0" applyFont="1"/>
    <xf numFmtId="7" fontId="6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4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4E4B92-6275-4887-973C-C12E84889145}" name="Table_14" displayName="Table_14" ref="A3:H38">
  <sortState xmlns:xlrd2="http://schemas.microsoft.com/office/spreadsheetml/2017/richdata2" ref="A4:H38">
    <sortCondition ref="A4:A38"/>
  </sortState>
  <tableColumns count="8">
    <tableColumn id="1" xr3:uid="{9E04DACC-78C3-4C0F-8608-0D5CB9D923E2}" name="Dealer Name"/>
    <tableColumn id="8" xr3:uid="{FC2E5000-8B1C-4D1B-9AC2-B7D42CC3E3D1}" name="Column2"/>
    <tableColumn id="2" xr3:uid="{BBE1E362-6A43-43B1-A379-C73F7821DA03}" name="Funded by"/>
    <tableColumn id="3" xr3:uid="{3480F9D3-1DA3-480B-B3F9-7CF8CE7A4F1C}" name="Dealer Flat"/>
    <tableColumn id="4" xr3:uid="{BFEC702F-395B-4D23-9E3A-31D4EC9CD507}" name="Dealer Split"/>
    <tableColumn id="5" xr3:uid="{34287344-FD46-432D-B55A-340194EE2B88}" name="Net to Dealer"/>
    <tableColumn id="7" xr3:uid="{64486C58-E4CC-4E60-A1F0-E54F3875F1CE}" name="Column1" dataDxfId="16"/>
    <tableColumn id="6" xr3:uid="{B72B5FD1-1054-4AEC-BE3E-31F95FAEBC99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67DC52-ADC3-4968-9D3E-0D2A505922FA}" name="Table_16" displayName="Table_16" ref="A3:E11">
  <tableColumns count="5">
    <tableColumn id="1" xr3:uid="{02AF30CE-B687-43D0-9203-9163C631D2A4}" name="Account Number"/>
    <tableColumn id="2" xr3:uid="{DC3F114E-44C4-4F25-BDFC-E1219682E04D}" name="Contract Type"/>
    <tableColumn id="3" xr3:uid="{001DD476-4862-44CE-AE7D-437D41FE855A}" name="Applicant Name"/>
    <tableColumn id="4" xr3:uid="{5F23A038-5EE0-4220-B87D-6E19CFBC1783}" name="Co-Applicant Name"/>
    <tableColumn id="5" xr3:uid="{E84D4931-916A-4EF8-AE5D-950E397D4AB0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abSelected="1" workbookViewId="0">
      <pane ySplit="3" topLeftCell="A12" activePane="bottomLeft" state="frozen"/>
      <selection pane="bottomLeft" activeCell="A2" sqref="A2:F2"/>
    </sheetView>
  </sheetViews>
  <sheetFormatPr defaultRowHeight="15.75" x14ac:dyDescent="0.25"/>
  <cols>
    <col min="1" max="1" width="14.140625" style="13" customWidth="1"/>
    <col min="2" max="2" width="12.140625" style="13" bestFit="1" customWidth="1"/>
    <col min="3" max="3" width="14" style="13" bestFit="1" customWidth="1"/>
    <col min="4" max="4" width="22.85546875" style="13" bestFit="1" customWidth="1"/>
    <col min="5" max="5" width="20" style="13" bestFit="1" customWidth="1"/>
    <col min="6" max="6" width="31.85546875" style="13" bestFit="1" customWidth="1"/>
    <col min="7" max="7" width="17.7109375" style="13" bestFit="1" customWidth="1"/>
    <col min="8" max="8" width="17.140625" style="13" bestFit="1" customWidth="1"/>
    <col min="9" max="9" width="31.28515625" style="13" customWidth="1"/>
    <col min="10" max="10" width="24.140625" style="13" customWidth="1"/>
    <col min="11" max="11" width="16" style="13" bestFit="1" customWidth="1"/>
    <col min="12" max="12" width="12.85546875" style="13" bestFit="1" customWidth="1"/>
    <col min="13" max="13" width="16" style="13" hidden="1" customWidth="1"/>
    <col min="14" max="16384" width="9.140625" style="13"/>
  </cols>
  <sheetData>
    <row r="1" spans="1:13" x14ac:dyDescent="0.25">
      <c r="K1" s="14">
        <v>45937</v>
      </c>
      <c r="L1" s="15"/>
      <c r="M1" s="16">
        <v>45937.999988425923</v>
      </c>
    </row>
    <row r="2" spans="1:13" x14ac:dyDescent="0.25">
      <c r="A2" s="17" t="s">
        <v>0</v>
      </c>
      <c r="B2" s="18"/>
      <c r="C2" s="18"/>
      <c r="D2" s="18"/>
      <c r="E2" s="18"/>
      <c r="F2" s="18"/>
      <c r="G2" s="19" t="s">
        <v>1</v>
      </c>
      <c r="H2" s="18"/>
      <c r="I2" s="18"/>
      <c r="J2" s="18"/>
      <c r="K2" s="18"/>
      <c r="L2" s="18"/>
      <c r="M2" s="18"/>
    </row>
    <row r="3" spans="1:13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</row>
    <row r="4" spans="1:13" ht="30" customHeight="1" x14ac:dyDescent="0.25">
      <c r="A4" s="13" t="s">
        <v>131</v>
      </c>
      <c r="B4" s="13" t="s">
        <v>15</v>
      </c>
      <c r="C4" s="13" t="s">
        <v>16</v>
      </c>
      <c r="D4" s="13" t="s">
        <v>17</v>
      </c>
      <c r="F4" s="13" t="s">
        <v>18</v>
      </c>
      <c r="G4" s="13" t="s">
        <v>19</v>
      </c>
      <c r="H4" s="20">
        <v>53080.19</v>
      </c>
      <c r="I4" s="13" t="s">
        <v>20</v>
      </c>
      <c r="K4" s="13" t="s">
        <v>21</v>
      </c>
    </row>
    <row r="5" spans="1:13" ht="30" customHeight="1" x14ac:dyDescent="0.25">
      <c r="A5" s="13" t="s">
        <v>132</v>
      </c>
      <c r="B5" s="13" t="s">
        <v>22</v>
      </c>
      <c r="C5" s="13" t="s">
        <v>16</v>
      </c>
      <c r="D5" s="13" t="s">
        <v>23</v>
      </c>
      <c r="F5" s="13" t="s">
        <v>24</v>
      </c>
      <c r="G5" s="13" t="s">
        <v>25</v>
      </c>
      <c r="H5" s="20">
        <v>36975.93</v>
      </c>
      <c r="I5" s="13" t="s">
        <v>26</v>
      </c>
      <c r="K5" s="13" t="s">
        <v>27</v>
      </c>
    </row>
    <row r="6" spans="1:13" ht="30" customHeight="1" x14ac:dyDescent="0.25">
      <c r="A6" s="13" t="s">
        <v>133</v>
      </c>
      <c r="B6" s="13" t="s">
        <v>22</v>
      </c>
      <c r="C6" s="13" t="s">
        <v>16</v>
      </c>
      <c r="D6" s="13" t="s">
        <v>28</v>
      </c>
      <c r="F6" s="13" t="s">
        <v>29</v>
      </c>
      <c r="G6" s="13" t="s">
        <v>25</v>
      </c>
      <c r="H6" s="20">
        <v>35775.230000000003</v>
      </c>
      <c r="I6" s="13" t="s">
        <v>30</v>
      </c>
      <c r="K6" s="13" t="s">
        <v>31</v>
      </c>
    </row>
    <row r="7" spans="1:13" ht="30" customHeight="1" x14ac:dyDescent="0.25">
      <c r="A7" s="13" t="s">
        <v>32</v>
      </c>
      <c r="B7" s="13" t="s">
        <v>22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25</v>
      </c>
      <c r="H7" s="20">
        <v>19045</v>
      </c>
      <c r="I7" s="13" t="s">
        <v>37</v>
      </c>
      <c r="J7" s="13" t="s">
        <v>37</v>
      </c>
      <c r="K7" s="13" t="s">
        <v>38</v>
      </c>
      <c r="L7" s="13" t="s">
        <v>39</v>
      </c>
    </row>
    <row r="8" spans="1:13" ht="30" customHeight="1" x14ac:dyDescent="0.25">
      <c r="A8" s="13" t="s">
        <v>134</v>
      </c>
      <c r="B8" s="13" t="s">
        <v>15</v>
      </c>
      <c r="C8" s="13" t="s">
        <v>16</v>
      </c>
      <c r="D8" s="13" t="s">
        <v>40</v>
      </c>
      <c r="F8" s="13" t="s">
        <v>41</v>
      </c>
      <c r="G8" s="13" t="s">
        <v>25</v>
      </c>
      <c r="H8" s="20">
        <v>35841.129999999997</v>
      </c>
      <c r="I8" s="13" t="s">
        <v>42</v>
      </c>
      <c r="K8" s="13" t="s">
        <v>43</v>
      </c>
    </row>
    <row r="9" spans="1:13" ht="30" customHeight="1" x14ac:dyDescent="0.25">
      <c r="A9" s="13" t="s">
        <v>135</v>
      </c>
      <c r="B9" s="13" t="s">
        <v>15</v>
      </c>
      <c r="C9" s="13" t="s">
        <v>16</v>
      </c>
      <c r="D9" s="13" t="s">
        <v>44</v>
      </c>
      <c r="F9" s="13" t="s">
        <v>45</v>
      </c>
      <c r="G9" s="13" t="s">
        <v>46</v>
      </c>
      <c r="H9" s="20">
        <v>34042.31</v>
      </c>
      <c r="I9" s="13" t="s">
        <v>47</v>
      </c>
      <c r="K9" s="13" t="s">
        <v>48</v>
      </c>
    </row>
    <row r="10" spans="1:13" ht="30" customHeight="1" x14ac:dyDescent="0.25">
      <c r="A10" s="13" t="s">
        <v>136</v>
      </c>
      <c r="B10" s="13" t="s">
        <v>15</v>
      </c>
      <c r="C10" s="13" t="s">
        <v>16</v>
      </c>
      <c r="D10" s="13" t="s">
        <v>49</v>
      </c>
      <c r="E10" s="13" t="s">
        <v>50</v>
      </c>
      <c r="F10" s="13" t="s">
        <v>51</v>
      </c>
      <c r="G10" s="13" t="s">
        <v>19</v>
      </c>
      <c r="H10" s="20">
        <v>35635.19</v>
      </c>
      <c r="I10" s="13" t="s">
        <v>52</v>
      </c>
      <c r="K10" s="13" t="s">
        <v>53</v>
      </c>
      <c r="L10" s="13" t="s">
        <v>54</v>
      </c>
    </row>
    <row r="11" spans="1:13" ht="30" customHeight="1" x14ac:dyDescent="0.25">
      <c r="A11" s="13" t="s">
        <v>137</v>
      </c>
      <c r="B11" s="13" t="s">
        <v>22</v>
      </c>
      <c r="C11" s="13" t="s">
        <v>16</v>
      </c>
      <c r="D11" s="13" t="s">
        <v>55</v>
      </c>
      <c r="F11" s="13" t="s">
        <v>56</v>
      </c>
      <c r="G11" s="13" t="s">
        <v>25</v>
      </c>
      <c r="H11" s="20">
        <v>20318.810000000001</v>
      </c>
      <c r="I11" s="13" t="s">
        <v>57</v>
      </c>
      <c r="K11" s="13" t="s">
        <v>58</v>
      </c>
    </row>
    <row r="12" spans="1:13" ht="30" customHeight="1" x14ac:dyDescent="0.25">
      <c r="A12" s="13" t="s">
        <v>138</v>
      </c>
      <c r="B12" s="13" t="s">
        <v>22</v>
      </c>
      <c r="C12" s="13" t="s">
        <v>16</v>
      </c>
      <c r="D12" s="13" t="s">
        <v>59</v>
      </c>
      <c r="E12" s="13" t="s">
        <v>60</v>
      </c>
      <c r="F12" s="13" t="s">
        <v>61</v>
      </c>
      <c r="G12" s="13" t="s">
        <v>19</v>
      </c>
      <c r="H12" s="20">
        <v>22878.63</v>
      </c>
      <c r="I12" s="13" t="s">
        <v>62</v>
      </c>
      <c r="J12" s="13" t="s">
        <v>63</v>
      </c>
      <c r="K12" s="13" t="s">
        <v>64</v>
      </c>
      <c r="L12" s="13" t="s">
        <v>65</v>
      </c>
    </row>
    <row r="13" spans="1:13" ht="30" customHeight="1" x14ac:dyDescent="0.25">
      <c r="A13" s="13" t="s">
        <v>139</v>
      </c>
      <c r="B13" s="13" t="s">
        <v>15</v>
      </c>
      <c r="C13" s="13" t="s">
        <v>16</v>
      </c>
      <c r="D13" s="13" t="s">
        <v>66</v>
      </c>
      <c r="E13" s="13" t="s">
        <v>67</v>
      </c>
      <c r="F13" s="13" t="s">
        <v>18</v>
      </c>
      <c r="G13" s="13" t="s">
        <v>19</v>
      </c>
      <c r="H13" s="20">
        <v>29486.44</v>
      </c>
      <c r="I13" s="13" t="s">
        <v>68</v>
      </c>
      <c r="K13" s="13" t="s">
        <v>69</v>
      </c>
      <c r="L13" s="13" t="s">
        <v>70</v>
      </c>
    </row>
    <row r="14" spans="1:13" ht="30" customHeight="1" x14ac:dyDescent="0.25">
      <c r="A14" s="13" t="s">
        <v>140</v>
      </c>
      <c r="B14" s="13" t="s">
        <v>15</v>
      </c>
      <c r="C14" s="13" t="s">
        <v>16</v>
      </c>
      <c r="D14" s="13" t="s">
        <v>71</v>
      </c>
      <c r="E14" s="13" t="s">
        <v>72</v>
      </c>
      <c r="F14" s="13" t="s">
        <v>73</v>
      </c>
      <c r="G14" s="13" t="s">
        <v>19</v>
      </c>
      <c r="H14" s="20">
        <v>14962.31</v>
      </c>
      <c r="I14" s="13" t="s">
        <v>74</v>
      </c>
      <c r="J14" s="13" t="s">
        <v>74</v>
      </c>
      <c r="K14" s="13" t="s">
        <v>75</v>
      </c>
      <c r="L14" s="13" t="s">
        <v>76</v>
      </c>
    </row>
    <row r="15" spans="1:13" ht="30" customHeight="1" x14ac:dyDescent="0.25">
      <c r="A15" s="13" t="s">
        <v>141</v>
      </c>
      <c r="B15" s="13" t="s">
        <v>15</v>
      </c>
      <c r="C15" s="13" t="s">
        <v>16</v>
      </c>
      <c r="D15" s="13" t="s">
        <v>77</v>
      </c>
      <c r="F15" s="13" t="s">
        <v>51</v>
      </c>
      <c r="G15" s="13" t="s">
        <v>46</v>
      </c>
      <c r="H15" s="20">
        <v>35164.25</v>
      </c>
      <c r="I15" s="13" t="s">
        <v>78</v>
      </c>
      <c r="K15" s="13" t="s">
        <v>79</v>
      </c>
    </row>
    <row r="16" spans="1:13" ht="30" customHeight="1" x14ac:dyDescent="0.25">
      <c r="A16" s="13" t="s">
        <v>80</v>
      </c>
      <c r="B16" s="13" t="s">
        <v>22</v>
      </c>
      <c r="C16" s="13" t="s">
        <v>33</v>
      </c>
      <c r="D16" s="13" t="s">
        <v>81</v>
      </c>
      <c r="F16" s="13" t="s">
        <v>36</v>
      </c>
      <c r="G16" s="13" t="s">
        <v>25</v>
      </c>
      <c r="H16" s="20">
        <v>34619.440000000002</v>
      </c>
      <c r="I16" s="13" t="s">
        <v>82</v>
      </c>
      <c r="K16" s="13" t="s">
        <v>83</v>
      </c>
    </row>
    <row r="17" spans="1:13" ht="30" customHeight="1" x14ac:dyDescent="0.25">
      <c r="A17" s="13" t="s">
        <v>142</v>
      </c>
      <c r="B17" s="13" t="s">
        <v>22</v>
      </c>
      <c r="C17" s="13" t="s">
        <v>16</v>
      </c>
      <c r="D17" s="13" t="s">
        <v>84</v>
      </c>
      <c r="F17" s="13" t="s">
        <v>85</v>
      </c>
      <c r="G17" s="13" t="s">
        <v>46</v>
      </c>
      <c r="H17" s="20">
        <v>34699.31</v>
      </c>
      <c r="I17" s="13" t="s">
        <v>86</v>
      </c>
      <c r="K17" s="13" t="s">
        <v>87</v>
      </c>
    </row>
    <row r="18" spans="1:13" ht="30" customHeight="1" x14ac:dyDescent="0.25">
      <c r="A18" s="13" t="s">
        <v>88</v>
      </c>
      <c r="B18" s="13" t="s">
        <v>22</v>
      </c>
      <c r="C18" s="13" t="s">
        <v>33</v>
      </c>
      <c r="D18" s="13" t="s">
        <v>89</v>
      </c>
      <c r="E18" s="13" t="s">
        <v>90</v>
      </c>
      <c r="F18" s="13" t="s">
        <v>91</v>
      </c>
      <c r="G18" s="13" t="s">
        <v>25</v>
      </c>
      <c r="H18" s="20">
        <v>69875.990000000005</v>
      </c>
      <c r="I18" s="13" t="s">
        <v>92</v>
      </c>
      <c r="K18" s="13" t="s">
        <v>93</v>
      </c>
      <c r="L18" s="13" t="s">
        <v>94</v>
      </c>
    </row>
    <row r="19" spans="1:13" ht="30" customHeight="1" x14ac:dyDescent="0.25">
      <c r="A19" s="13" t="s">
        <v>95</v>
      </c>
      <c r="B19" s="13" t="s">
        <v>22</v>
      </c>
      <c r="C19" s="13" t="s">
        <v>33</v>
      </c>
      <c r="D19" s="13" t="s">
        <v>96</v>
      </c>
      <c r="F19" s="13" t="s">
        <v>97</v>
      </c>
      <c r="G19" s="13" t="s">
        <v>19</v>
      </c>
      <c r="H19" s="20">
        <v>22915.94</v>
      </c>
      <c r="I19" s="13" t="s">
        <v>98</v>
      </c>
      <c r="K19" s="13" t="s">
        <v>99</v>
      </c>
    </row>
    <row r="20" spans="1:13" ht="30" customHeight="1" x14ac:dyDescent="0.25">
      <c r="A20" s="13" t="s">
        <v>100</v>
      </c>
      <c r="B20" s="13" t="s">
        <v>22</v>
      </c>
      <c r="C20" s="13" t="s">
        <v>33</v>
      </c>
      <c r="D20" s="13" t="s">
        <v>101</v>
      </c>
      <c r="F20" s="13" t="s">
        <v>97</v>
      </c>
      <c r="G20" s="13" t="s">
        <v>46</v>
      </c>
      <c r="H20" s="20">
        <v>15472.19</v>
      </c>
      <c r="I20" s="13" t="s">
        <v>102</v>
      </c>
      <c r="K20" s="13" t="s">
        <v>103</v>
      </c>
    </row>
    <row r="21" spans="1:13" ht="30" customHeight="1" x14ac:dyDescent="0.25">
      <c r="A21" s="13" t="s">
        <v>104</v>
      </c>
      <c r="B21" s="13" t="s">
        <v>22</v>
      </c>
      <c r="C21" s="13" t="s">
        <v>33</v>
      </c>
      <c r="D21" s="13" t="s">
        <v>105</v>
      </c>
      <c r="F21" s="13" t="s">
        <v>97</v>
      </c>
      <c r="G21" s="13" t="s">
        <v>46</v>
      </c>
      <c r="H21" s="20">
        <v>48078.44</v>
      </c>
      <c r="I21" s="13" t="s">
        <v>106</v>
      </c>
      <c r="K21" s="13" t="s">
        <v>107</v>
      </c>
    </row>
    <row r="22" spans="1:13" ht="30" customHeight="1" x14ac:dyDescent="0.25">
      <c r="A22" s="13" t="s">
        <v>108</v>
      </c>
      <c r="B22" s="13" t="s">
        <v>22</v>
      </c>
      <c r="C22" s="13" t="s">
        <v>33</v>
      </c>
      <c r="D22" s="13" t="s">
        <v>109</v>
      </c>
      <c r="F22" s="13" t="s">
        <v>97</v>
      </c>
      <c r="G22" s="13" t="s">
        <v>19</v>
      </c>
      <c r="H22" s="20">
        <v>33122.19</v>
      </c>
      <c r="I22" s="13" t="s">
        <v>110</v>
      </c>
      <c r="K22" s="13" t="s">
        <v>111</v>
      </c>
    </row>
    <row r="23" spans="1:13" ht="30" customHeight="1" x14ac:dyDescent="0.25">
      <c r="A23" s="13" t="s">
        <v>143</v>
      </c>
      <c r="B23" s="13" t="s">
        <v>22</v>
      </c>
      <c r="C23" s="13" t="s">
        <v>16</v>
      </c>
      <c r="D23" s="13" t="s">
        <v>112</v>
      </c>
      <c r="E23" s="13" t="s">
        <v>113</v>
      </c>
      <c r="F23" s="13" t="s">
        <v>114</v>
      </c>
      <c r="G23" s="13" t="s">
        <v>25</v>
      </c>
      <c r="H23" s="20">
        <v>50881.49</v>
      </c>
      <c r="J23" s="13" t="s">
        <v>115</v>
      </c>
      <c r="K23" s="13" t="s">
        <v>116</v>
      </c>
      <c r="L23" s="13" t="s">
        <v>117</v>
      </c>
    </row>
    <row r="24" spans="1:13" x14ac:dyDescent="0.25">
      <c r="A24" s="21"/>
      <c r="B24" s="21"/>
      <c r="C24" s="21"/>
      <c r="D24" s="21" t="s">
        <v>118</v>
      </c>
      <c r="E24" s="21"/>
      <c r="F24" s="21"/>
      <c r="G24" s="21"/>
      <c r="H24" s="22">
        <f>SUM(H4:H23)</f>
        <v>682870.40999999992</v>
      </c>
      <c r="I24" s="21"/>
      <c r="J24" s="21"/>
      <c r="K24" s="21"/>
      <c r="L24" s="21"/>
      <c r="M24" s="21"/>
    </row>
  </sheetData>
  <mergeCells count="3">
    <mergeCell ref="A2:F2"/>
    <mergeCell ref="G2:M2"/>
    <mergeCell ref="K1:L1"/>
  </mergeCells>
  <pageMargins left="0.7" right="0" top="0.75" bottom="0.75" header="0.3" footer="0.3"/>
  <pageSetup paperSize="5" scale="7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A2BB-5B6E-40E8-B323-F1953143103D}">
  <sheetPr>
    <pageSetUpPr fitToPage="1"/>
  </sheetPr>
  <dimension ref="A1:H38"/>
  <sheetViews>
    <sheetView topLeftCell="A24" workbookViewId="0">
      <selection activeCell="D42" sqref="D42"/>
    </sheetView>
  </sheetViews>
  <sheetFormatPr defaultRowHeight="15" x14ac:dyDescent="0.25"/>
  <cols>
    <col min="1" max="1" width="29.5703125" customWidth="1"/>
    <col min="2" max="2" width="15.140625" customWidth="1"/>
    <col min="3" max="3" width="17.42578125" customWidth="1"/>
    <col min="4" max="4" width="16.140625" customWidth="1"/>
    <col min="5" max="5" width="18.28515625" customWidth="1"/>
    <col min="6" max="7" width="15.7109375" customWidth="1"/>
    <col min="8" max="8" width="20.140625" customWidth="1"/>
  </cols>
  <sheetData>
    <row r="1" spans="1:8" x14ac:dyDescent="0.25">
      <c r="E1" s="4"/>
      <c r="H1" s="4">
        <v>45937.999988425923</v>
      </c>
    </row>
    <row r="2" spans="1:8" x14ac:dyDescent="0.25">
      <c r="A2" s="5" t="s">
        <v>0</v>
      </c>
      <c r="B2" s="5"/>
      <c r="C2" s="6"/>
      <c r="D2" s="6"/>
      <c r="E2" s="7" t="s">
        <v>119</v>
      </c>
      <c r="F2" s="6"/>
      <c r="G2" s="6"/>
      <c r="H2" s="6"/>
    </row>
    <row r="3" spans="1:8" ht="14.25" customHeight="1" x14ac:dyDescent="0.25">
      <c r="A3" t="s">
        <v>7</v>
      </c>
      <c r="B3" t="s">
        <v>125</v>
      </c>
      <c r="C3" t="s">
        <v>8</v>
      </c>
      <c r="D3" t="s">
        <v>120</v>
      </c>
      <c r="E3" t="s">
        <v>121</v>
      </c>
      <c r="F3" t="s">
        <v>122</v>
      </c>
      <c r="G3" t="s">
        <v>124</v>
      </c>
      <c r="H3" t="s">
        <v>123</v>
      </c>
    </row>
    <row r="4" spans="1:8" ht="24.95" customHeight="1" x14ac:dyDescent="0.25">
      <c r="A4" t="s">
        <v>18</v>
      </c>
      <c r="C4" t="s">
        <v>19</v>
      </c>
      <c r="D4" s="2">
        <v>1350</v>
      </c>
      <c r="E4" s="2">
        <v>0</v>
      </c>
      <c r="F4" s="2">
        <v>53005.19</v>
      </c>
      <c r="G4" s="2"/>
      <c r="H4" s="2">
        <v>53080.19</v>
      </c>
    </row>
    <row r="5" spans="1:8" ht="24.95" customHeight="1" x14ac:dyDescent="0.25">
      <c r="A5" t="s">
        <v>18</v>
      </c>
      <c r="C5" t="s">
        <v>19</v>
      </c>
      <c r="D5" s="2">
        <v>750</v>
      </c>
      <c r="E5" s="2">
        <v>0</v>
      </c>
      <c r="F5" s="2">
        <v>29411.439999999999</v>
      </c>
      <c r="G5" s="8">
        <f>SUM(F4:F5)</f>
        <v>82416.63</v>
      </c>
      <c r="H5" s="2">
        <v>29486.44</v>
      </c>
    </row>
    <row r="6" spans="1:8" ht="24.95" customHeight="1" x14ac:dyDescent="0.25">
      <c r="D6" s="2"/>
      <c r="E6" s="2"/>
      <c r="F6" s="2"/>
      <c r="G6" s="2"/>
      <c r="H6" s="2"/>
    </row>
    <row r="7" spans="1:8" ht="24.95" customHeight="1" x14ac:dyDescent="0.25">
      <c r="A7" t="s">
        <v>127</v>
      </c>
      <c r="C7" t="s">
        <v>19</v>
      </c>
      <c r="D7" s="2">
        <v>850</v>
      </c>
      <c r="E7" s="2">
        <v>0</v>
      </c>
      <c r="F7" s="2">
        <v>33047.19</v>
      </c>
      <c r="G7" s="2"/>
      <c r="H7" s="2">
        <v>33122.19</v>
      </c>
    </row>
    <row r="8" spans="1:8" ht="24.95" customHeight="1" x14ac:dyDescent="0.25">
      <c r="A8" t="s">
        <v>127</v>
      </c>
      <c r="C8" t="s">
        <v>19</v>
      </c>
      <c r="D8" s="2">
        <v>650</v>
      </c>
      <c r="E8" s="2">
        <v>0</v>
      </c>
      <c r="F8" s="2">
        <v>22840.94</v>
      </c>
      <c r="G8" s="2"/>
      <c r="H8" s="2">
        <v>22915.94</v>
      </c>
    </row>
    <row r="9" spans="1:8" ht="24.95" customHeight="1" x14ac:dyDescent="0.25">
      <c r="A9" t="s">
        <v>127</v>
      </c>
      <c r="C9" t="s">
        <v>46</v>
      </c>
      <c r="D9" s="2">
        <v>1150</v>
      </c>
      <c r="E9" s="2">
        <v>0</v>
      </c>
      <c r="F9" s="2">
        <v>48003.44</v>
      </c>
      <c r="G9" s="2"/>
      <c r="H9" s="2">
        <v>48078.44</v>
      </c>
    </row>
    <row r="10" spans="1:8" ht="24.95" customHeight="1" x14ac:dyDescent="0.25">
      <c r="A10" t="s">
        <v>127</v>
      </c>
      <c r="C10" t="s">
        <v>46</v>
      </c>
      <c r="D10" s="2">
        <v>500</v>
      </c>
      <c r="E10" s="2">
        <v>0</v>
      </c>
      <c r="F10" s="2">
        <v>15397.19</v>
      </c>
      <c r="G10" s="8">
        <f>SUM(F7:F10)</f>
        <v>119288.76000000001</v>
      </c>
      <c r="H10" s="2">
        <v>15472.19</v>
      </c>
    </row>
    <row r="11" spans="1:8" ht="24.95" customHeight="1" x14ac:dyDescent="0.25">
      <c r="D11" s="2"/>
      <c r="E11" s="2"/>
      <c r="F11" s="2"/>
      <c r="G11" s="2"/>
      <c r="H11" s="2"/>
    </row>
    <row r="12" spans="1:8" ht="24.95" customHeight="1" x14ac:dyDescent="0.25">
      <c r="A12" t="s">
        <v>61</v>
      </c>
      <c r="C12" t="s">
        <v>19</v>
      </c>
      <c r="D12" s="2">
        <v>650</v>
      </c>
      <c r="E12" s="2">
        <v>0</v>
      </c>
      <c r="F12" s="8">
        <v>22803.63</v>
      </c>
      <c r="G12" s="2"/>
      <c r="H12" s="2">
        <v>22878.63</v>
      </c>
    </row>
    <row r="13" spans="1:8" ht="24.95" customHeight="1" x14ac:dyDescent="0.25">
      <c r="D13" s="2"/>
      <c r="E13" s="2"/>
      <c r="F13" s="8"/>
      <c r="G13" s="2"/>
      <c r="H13" s="2"/>
    </row>
    <row r="14" spans="1:8" ht="24.95" customHeight="1" x14ac:dyDescent="0.25">
      <c r="A14" t="s">
        <v>24</v>
      </c>
      <c r="C14" t="s">
        <v>25</v>
      </c>
      <c r="D14" s="2">
        <v>950</v>
      </c>
      <c r="E14" s="2">
        <v>0</v>
      </c>
      <c r="F14" s="8">
        <v>36900.93</v>
      </c>
      <c r="G14" s="2"/>
      <c r="H14" s="2">
        <v>36975.93</v>
      </c>
    </row>
    <row r="15" spans="1:8" ht="24.95" customHeight="1" x14ac:dyDescent="0.25">
      <c r="D15" s="2"/>
      <c r="E15" s="2"/>
      <c r="F15" s="8"/>
      <c r="G15" s="2"/>
      <c r="H15" s="2"/>
    </row>
    <row r="16" spans="1:8" ht="24.95" customHeight="1" x14ac:dyDescent="0.25">
      <c r="A16" t="s">
        <v>126</v>
      </c>
      <c r="C16" t="s">
        <v>46</v>
      </c>
      <c r="D16" s="2">
        <v>850</v>
      </c>
      <c r="E16" s="2">
        <v>0</v>
      </c>
      <c r="F16" s="8">
        <v>33967.31</v>
      </c>
      <c r="G16" s="2"/>
      <c r="H16" s="2">
        <v>34042.31</v>
      </c>
    </row>
    <row r="17" spans="1:8" ht="24.95" customHeight="1" x14ac:dyDescent="0.25">
      <c r="D17" s="2"/>
      <c r="E17" s="2"/>
      <c r="F17" s="8"/>
      <c r="G17" s="2"/>
      <c r="H17" s="2"/>
    </row>
    <row r="18" spans="1:8" ht="24.95" customHeight="1" x14ac:dyDescent="0.25">
      <c r="A18" t="s">
        <v>73</v>
      </c>
      <c r="C18" t="s">
        <v>19</v>
      </c>
      <c r="D18" s="2">
        <v>300</v>
      </c>
      <c r="E18" s="2">
        <v>0</v>
      </c>
      <c r="F18" s="8">
        <v>14887.31</v>
      </c>
      <c r="G18" s="2"/>
      <c r="H18" s="2">
        <v>14962.31</v>
      </c>
    </row>
    <row r="19" spans="1:8" ht="24.95" customHeight="1" x14ac:dyDescent="0.25">
      <c r="D19" s="2"/>
      <c r="E19" s="2"/>
      <c r="F19" s="8"/>
      <c r="G19" s="2"/>
      <c r="H19" s="2"/>
    </row>
    <row r="20" spans="1:8" ht="24.95" customHeight="1" x14ac:dyDescent="0.25">
      <c r="A20" t="s">
        <v>29</v>
      </c>
      <c r="B20" s="12" t="s">
        <v>130</v>
      </c>
      <c r="C20" t="s">
        <v>25</v>
      </c>
      <c r="D20" s="2">
        <v>950</v>
      </c>
      <c r="E20" s="2">
        <v>0</v>
      </c>
      <c r="F20" s="8">
        <v>35700.230000000003</v>
      </c>
      <c r="G20" s="2"/>
      <c r="H20" s="2">
        <v>35775.230000000003</v>
      </c>
    </row>
    <row r="21" spans="1:8" ht="24.95" customHeight="1" x14ac:dyDescent="0.25">
      <c r="D21" s="2"/>
      <c r="E21" s="2"/>
      <c r="F21" s="8"/>
      <c r="G21" s="2"/>
      <c r="H21" s="2"/>
    </row>
    <row r="22" spans="1:8" ht="24.95" customHeight="1" x14ac:dyDescent="0.25">
      <c r="A22" t="s">
        <v>114</v>
      </c>
      <c r="C22" t="s">
        <v>25</v>
      </c>
      <c r="D22" s="2">
        <v>1350</v>
      </c>
      <c r="E22" s="2">
        <v>0</v>
      </c>
      <c r="F22" s="8">
        <v>50806.49</v>
      </c>
      <c r="G22" s="2"/>
      <c r="H22" s="2">
        <v>50881.49</v>
      </c>
    </row>
    <row r="23" spans="1:8" ht="24.95" customHeight="1" x14ac:dyDescent="0.25">
      <c r="D23" s="2"/>
      <c r="E23" s="2"/>
      <c r="F23" s="8"/>
      <c r="G23" s="2"/>
      <c r="H23" s="2"/>
    </row>
    <row r="24" spans="1:8" ht="24.95" customHeight="1" x14ac:dyDescent="0.25">
      <c r="A24" t="s">
        <v>128</v>
      </c>
      <c r="C24" t="s">
        <v>46</v>
      </c>
      <c r="D24" s="2">
        <v>850</v>
      </c>
      <c r="E24" s="2">
        <v>0</v>
      </c>
      <c r="F24" s="8">
        <v>34624.31</v>
      </c>
      <c r="G24" s="2"/>
      <c r="H24" s="2">
        <v>34699.31</v>
      </c>
    </row>
    <row r="25" spans="1:8" ht="24.95" customHeight="1" x14ac:dyDescent="0.25">
      <c r="D25" s="2"/>
      <c r="E25" s="2"/>
      <c r="F25" s="2"/>
      <c r="G25" s="2"/>
      <c r="H25" s="2"/>
    </row>
    <row r="26" spans="1:8" ht="24.95" customHeight="1" x14ac:dyDescent="0.25">
      <c r="A26" t="s">
        <v>36</v>
      </c>
      <c r="C26" t="s">
        <v>25</v>
      </c>
      <c r="D26" s="2">
        <v>500</v>
      </c>
      <c r="E26" s="2">
        <v>0</v>
      </c>
      <c r="F26" s="2">
        <v>18970</v>
      </c>
      <c r="G26" s="2"/>
      <c r="H26" s="2">
        <v>19045</v>
      </c>
    </row>
    <row r="27" spans="1:8" ht="24.95" customHeight="1" x14ac:dyDescent="0.25">
      <c r="A27" t="s">
        <v>36</v>
      </c>
      <c r="C27" t="s">
        <v>25</v>
      </c>
      <c r="D27" s="2">
        <v>850</v>
      </c>
      <c r="E27" s="2">
        <v>0</v>
      </c>
      <c r="F27" s="2">
        <v>34544.44</v>
      </c>
      <c r="G27" s="8">
        <f>SUM(F26:F27)</f>
        <v>53514.44</v>
      </c>
      <c r="H27" s="2">
        <v>34619.440000000002</v>
      </c>
    </row>
    <row r="28" spans="1:8" ht="24.95" customHeight="1" x14ac:dyDescent="0.25">
      <c r="D28" s="2"/>
      <c r="E28" s="2"/>
      <c r="F28" s="2"/>
      <c r="G28" s="2"/>
      <c r="H28" s="2"/>
    </row>
    <row r="29" spans="1:8" ht="24.95" customHeight="1" x14ac:dyDescent="0.25">
      <c r="A29" t="s">
        <v>91</v>
      </c>
      <c r="C29" t="s">
        <v>25</v>
      </c>
      <c r="D29" s="2">
        <v>1350</v>
      </c>
      <c r="E29" s="2">
        <v>0</v>
      </c>
      <c r="F29" s="8">
        <v>69800.990000000005</v>
      </c>
      <c r="G29" s="2"/>
      <c r="H29" s="2">
        <v>69875.990000000005</v>
      </c>
    </row>
    <row r="30" spans="1:8" ht="24.95" customHeight="1" x14ac:dyDescent="0.25">
      <c r="D30" s="2"/>
      <c r="E30" s="2"/>
      <c r="F30" s="8"/>
      <c r="G30" s="2"/>
      <c r="H30" s="2"/>
    </row>
    <row r="31" spans="1:8" ht="24.95" customHeight="1" x14ac:dyDescent="0.25">
      <c r="A31" t="s">
        <v>56</v>
      </c>
      <c r="C31" t="s">
        <v>25</v>
      </c>
      <c r="D31" s="2">
        <v>650</v>
      </c>
      <c r="E31" s="2">
        <v>0</v>
      </c>
      <c r="F31" s="8">
        <v>20243.810000000001</v>
      </c>
      <c r="G31" s="2"/>
      <c r="H31" s="2">
        <v>20318.810000000001</v>
      </c>
    </row>
    <row r="32" spans="1:8" ht="24.95" customHeight="1" x14ac:dyDescent="0.25">
      <c r="D32" s="2"/>
      <c r="E32" s="2"/>
      <c r="F32" s="2"/>
      <c r="G32" s="2"/>
      <c r="H32" s="2"/>
    </row>
    <row r="33" spans="1:8" ht="24.95" customHeight="1" x14ac:dyDescent="0.25">
      <c r="A33" t="s">
        <v>51</v>
      </c>
      <c r="C33" t="s">
        <v>19</v>
      </c>
      <c r="D33" s="2">
        <v>950</v>
      </c>
      <c r="E33" s="2">
        <v>0</v>
      </c>
      <c r="F33" s="2">
        <v>35560.19</v>
      </c>
      <c r="G33" s="2"/>
      <c r="H33" s="2">
        <v>35635.19</v>
      </c>
    </row>
    <row r="34" spans="1:8" ht="24.95" customHeight="1" x14ac:dyDescent="0.25">
      <c r="A34" t="s">
        <v>51</v>
      </c>
      <c r="C34" t="s">
        <v>46</v>
      </c>
      <c r="D34" s="2">
        <v>950</v>
      </c>
      <c r="E34" s="2">
        <v>0</v>
      </c>
      <c r="F34" s="2">
        <v>35089.25</v>
      </c>
      <c r="G34" s="8">
        <f>SUM(F33:F34)</f>
        <v>70649.440000000002</v>
      </c>
      <c r="H34" s="2">
        <v>35164.25</v>
      </c>
    </row>
    <row r="35" spans="1:8" ht="24.95" customHeight="1" x14ac:dyDescent="0.25">
      <c r="D35" s="2"/>
      <c r="E35" s="2"/>
      <c r="F35" s="2"/>
      <c r="G35" s="2"/>
      <c r="H35" s="2"/>
    </row>
    <row r="36" spans="1:8" ht="24.95" customHeight="1" x14ac:dyDescent="0.25">
      <c r="A36" t="s">
        <v>41</v>
      </c>
      <c r="C36" t="s">
        <v>25</v>
      </c>
      <c r="D36" s="2">
        <v>950</v>
      </c>
      <c r="E36" s="2">
        <v>0</v>
      </c>
      <c r="F36" s="8">
        <v>35766.129999999997</v>
      </c>
      <c r="G36" s="2"/>
      <c r="H36" s="2">
        <v>35841.129999999997</v>
      </c>
    </row>
    <row r="37" spans="1:8" x14ac:dyDescent="0.25">
      <c r="D37" s="2"/>
      <c r="E37" s="2"/>
      <c r="F37" s="2"/>
      <c r="G37" s="2"/>
      <c r="H37" s="2"/>
    </row>
    <row r="38" spans="1:8" x14ac:dyDescent="0.25">
      <c r="A38" s="1"/>
      <c r="B38" s="1"/>
      <c r="C38" s="1"/>
      <c r="D38" s="3">
        <f>SUM(D4:D36)</f>
        <v>17350</v>
      </c>
      <c r="E38" s="3">
        <f>SUM(E4:E36)</f>
        <v>0</v>
      </c>
      <c r="F38" s="3">
        <f>SUM(F4:F36)</f>
        <v>681370.41</v>
      </c>
      <c r="G38" s="3"/>
      <c r="H38" s="3">
        <f>SUM(H4:H36)</f>
        <v>682870.41</v>
      </c>
    </row>
  </sheetData>
  <mergeCells count="2">
    <mergeCell ref="A2:D2"/>
    <mergeCell ref="E2:H2"/>
  </mergeCells>
  <pageMargins left="0.7" right="0.7" top="0.75" bottom="0.75" header="0.3" footer="0.3"/>
  <pageSetup scale="77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4BD1-6E94-41C0-BCD2-1BB2A0CF5248}">
  <sheetPr>
    <pageSetUpPr fitToPage="1"/>
  </sheetPr>
  <dimension ref="A1:E27"/>
  <sheetViews>
    <sheetView topLeftCell="A8" workbookViewId="0">
      <selection activeCell="E26" sqref="E26"/>
    </sheetView>
  </sheetViews>
  <sheetFormatPr defaultRowHeight="15" x14ac:dyDescent="0.25"/>
  <cols>
    <col min="1" max="1" width="16.28515625" customWidth="1"/>
    <col min="2" max="2" width="12.85546875" customWidth="1"/>
    <col min="3" max="3" width="20.42578125" customWidth="1"/>
    <col min="4" max="4" width="18.140625" customWidth="1"/>
    <col min="5" max="5" width="30.5703125" customWidth="1"/>
  </cols>
  <sheetData>
    <row r="1" spans="1:5" x14ac:dyDescent="0.25">
      <c r="A1" t="s">
        <v>145</v>
      </c>
      <c r="D1" s="4"/>
      <c r="E1" s="4">
        <v>45937.999988425923</v>
      </c>
    </row>
    <row r="2" spans="1:5" x14ac:dyDescent="0.25">
      <c r="A2" s="9" t="s">
        <v>0</v>
      </c>
      <c r="B2" s="6"/>
      <c r="C2" s="6"/>
      <c r="D2" s="10" t="s">
        <v>129</v>
      </c>
      <c r="E2" s="6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</row>
    <row r="5" spans="1:5" ht="24.95" customHeight="1" x14ac:dyDescent="0.25">
      <c r="A5" t="s">
        <v>80</v>
      </c>
      <c r="B5" t="s">
        <v>33</v>
      </c>
      <c r="C5" t="s">
        <v>81</v>
      </c>
      <c r="E5" t="s">
        <v>36</v>
      </c>
    </row>
    <row r="6" spans="1:5" ht="24.95" customHeight="1" x14ac:dyDescent="0.25">
      <c r="A6" t="s">
        <v>88</v>
      </c>
      <c r="B6" t="s">
        <v>33</v>
      </c>
      <c r="C6" t="s">
        <v>89</v>
      </c>
      <c r="D6" t="s">
        <v>90</v>
      </c>
      <c r="E6" t="s">
        <v>91</v>
      </c>
    </row>
    <row r="7" spans="1:5" ht="24.95" customHeight="1" x14ac:dyDescent="0.25">
      <c r="A7" t="s">
        <v>95</v>
      </c>
      <c r="B7" t="s">
        <v>33</v>
      </c>
      <c r="C7" t="s">
        <v>96</v>
      </c>
      <c r="E7" t="s">
        <v>97</v>
      </c>
    </row>
    <row r="8" spans="1:5" ht="24.95" customHeight="1" x14ac:dyDescent="0.25">
      <c r="A8" t="s">
        <v>100</v>
      </c>
      <c r="B8" t="s">
        <v>33</v>
      </c>
      <c r="C8" t="s">
        <v>101</v>
      </c>
      <c r="E8" t="s">
        <v>97</v>
      </c>
    </row>
    <row r="9" spans="1:5" ht="24.95" customHeight="1" x14ac:dyDescent="0.25">
      <c r="A9" t="s">
        <v>104</v>
      </c>
      <c r="B9" t="s">
        <v>33</v>
      </c>
      <c r="C9" t="s">
        <v>105</v>
      </c>
      <c r="E9" t="s">
        <v>97</v>
      </c>
    </row>
    <row r="10" spans="1:5" ht="24.95" customHeight="1" x14ac:dyDescent="0.25">
      <c r="A10" t="s">
        <v>108</v>
      </c>
      <c r="B10" t="s">
        <v>33</v>
      </c>
      <c r="C10" t="s">
        <v>109</v>
      </c>
      <c r="E10" t="s">
        <v>97</v>
      </c>
    </row>
    <row r="11" spans="1:5" x14ac:dyDescent="0.25">
      <c r="A11" s="11"/>
      <c r="B11" s="11"/>
      <c r="C11" s="11" t="s">
        <v>144</v>
      </c>
      <c r="D11" s="11"/>
      <c r="E11" s="11"/>
    </row>
    <row r="17" spans="1:4" x14ac:dyDescent="0.25">
      <c r="A17" t="s">
        <v>146</v>
      </c>
      <c r="B17" s="23"/>
      <c r="C17" s="23"/>
      <c r="D17" s="23"/>
    </row>
    <row r="22" spans="1:4" x14ac:dyDescent="0.25">
      <c r="A22" t="s">
        <v>147</v>
      </c>
      <c r="B22" s="23"/>
      <c r="C22" s="23"/>
      <c r="D22" s="23"/>
    </row>
    <row r="27" spans="1:4" x14ac:dyDescent="0.25">
      <c r="A27" t="s">
        <v>148</v>
      </c>
      <c r="B27" s="23"/>
      <c r="C27" s="23"/>
    </row>
  </sheetData>
  <mergeCells count="2">
    <mergeCell ref="A2:C2"/>
    <mergeCell ref="D2:E2"/>
  </mergeCells>
  <pageMargins left="0.7" right="0.7" top="0.75" bottom="0.75" header="0.3" footer="0.3"/>
  <pageSetup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2025-10-07T19:16:35Z</cp:lastPrinted>
  <dcterms:created xsi:type="dcterms:W3CDTF">2025-10-07T18:33:26Z</dcterms:created>
  <dcterms:modified xsi:type="dcterms:W3CDTF">2025-10-07T19:17:20Z</dcterms:modified>
</cp:coreProperties>
</file>