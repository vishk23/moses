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D461398B-5E7A-4C4F-92A4-A0D824C28517}" xr6:coauthVersionLast="47" xr6:coauthVersionMax="47" xr10:uidLastSave="{00000000-0000-0000-0000-000000000000}"/>
  <bookViews>
    <workbookView xWindow="0" yWindow="600" windowWidth="29040" windowHeight="1560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F9" i="1"/>
  <c r="F14" i="1"/>
  <c r="H31" i="1"/>
  <c r="E31" i="1"/>
  <c r="D31" i="1"/>
  <c r="C31" i="1"/>
</calcChain>
</file>

<file path=xl/sharedStrings.xml><?xml version="1.0" encoding="utf-8"?>
<sst xmlns="http://schemas.openxmlformats.org/spreadsheetml/2006/main" count="206" uniqueCount="116">
  <si>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</si>
  <si>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</si>
  <si>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</si>
  <si>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</si>
  <si>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</si>
  <si>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</si>
  <si>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</si>
  <si>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</si>
  <si>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</si>
  <si>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</si>
  <si>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Coastal Volkswagon</t>
  </si>
  <si>
    <t>Rachel Gorham</t>
  </si>
  <si>
    <t>Frank Battles Inc</t>
  </si>
  <si>
    <t>Neli Oliveira</t>
  </si>
  <si>
    <t>Mastria Buick Pontiac</t>
  </si>
  <si>
    <t>Mathieu Ford Sales, Inc</t>
  </si>
  <si>
    <t>Marlene Braganca</t>
  </si>
  <si>
    <t>Patriot Auto Group Inc d/b/a</t>
  </si>
  <si>
    <t>Paul Masse Buick GMC South, Inc</t>
  </si>
  <si>
    <t>Planet Automotive Sales LLC</t>
  </si>
  <si>
    <t>Planet Subaru</t>
  </si>
  <si>
    <t>Richard Lundgren, Inc. d/b/a</t>
  </si>
  <si>
    <t>Salvadore Chevrolet</t>
  </si>
  <si>
    <t>Salvadore Chrysler</t>
  </si>
  <si>
    <t>T F Murphy Enterprises Inc</t>
  </si>
  <si>
    <t>Wareham Ford</t>
  </si>
  <si>
    <t>Column1</t>
  </si>
  <si>
    <t>Column2</t>
  </si>
  <si>
    <t># 15</t>
  </si>
  <si>
    <t>HOJLO</t>
  </si>
  <si>
    <t>SWEETIECMS@ICLOUD.COM</t>
  </si>
  <si>
    <t>SMITH, COLLEEN</t>
  </si>
  <si>
    <t>Paper</t>
  </si>
  <si>
    <t>DealerTrack</t>
  </si>
  <si>
    <t>151225763</t>
  </si>
  <si>
    <t>CORMIER</t>
  </si>
  <si>
    <t>aprelias@hotmail.com</t>
  </si>
  <si>
    <t>PRELIASCO, ALAN</t>
  </si>
  <si>
    <t>E Contract</t>
  </si>
  <si>
    <t>Route One</t>
  </si>
  <si>
    <t>151225755e</t>
  </si>
  <si>
    <t>SUPRENANT</t>
  </si>
  <si>
    <t>sdemers.it@gmail.com</t>
  </si>
  <si>
    <t>DEMERS, STEVEN</t>
  </si>
  <si>
    <t>MCMONAGLE</t>
  </si>
  <si>
    <t>SHARON@FEAREY.COM</t>
  </si>
  <si>
    <t>FEAREY, MORTON</t>
  </si>
  <si>
    <t>151225739e</t>
  </si>
  <si>
    <t>SULLIVAN</t>
  </si>
  <si>
    <t>JBRANCO14@COMCAST.NET</t>
  </si>
  <si>
    <t>WALDROP, JANE</t>
  </si>
  <si>
    <t>151225721e</t>
  </si>
  <si>
    <t>THOMAS</t>
  </si>
  <si>
    <t>RAPPABROWN@GMAIL.COM</t>
  </si>
  <si>
    <t>BROWN, RODDY</t>
  </si>
  <si>
    <t>151225713e</t>
  </si>
  <si>
    <t>FAYE</t>
  </si>
  <si>
    <t>KAMINSKI</t>
  </si>
  <si>
    <t>PETERLART@GMAIL.COM</t>
  </si>
  <si>
    <t>ART, AUDREY</t>
  </si>
  <si>
    <t>ART, PETER</t>
  </si>
  <si>
    <t>151225698e</t>
  </si>
  <si>
    <t>DUCOTT</t>
  </si>
  <si>
    <t>mspowell12@yahoo.com</t>
  </si>
  <si>
    <t>POWELL, MARC</t>
  </si>
  <si>
    <t>151225680e</t>
  </si>
  <si>
    <t>Cosgrove</t>
  </si>
  <si>
    <t>Corcoran</t>
  </si>
  <si>
    <t>patty.swanson37@gmail.com</t>
  </si>
  <si>
    <t>dave.swanson61@gmail.com</t>
  </si>
  <si>
    <t>Swanson, Patricia</t>
  </si>
  <si>
    <t>Swanson, David</t>
  </si>
  <si>
    <t>151225672e</t>
  </si>
  <si>
    <t>Monteiro</t>
  </si>
  <si>
    <t>MARIAMONTEIRO1766@GMAIL.COM</t>
  </si>
  <si>
    <t>MONTEIRO, ARMANDO</t>
  </si>
  <si>
    <t>151225648e</t>
  </si>
  <si>
    <t>HEALY</t>
  </si>
  <si>
    <t>JTWEEDIE@NEWBEDFORDSCHOOLS.ORG</t>
  </si>
  <si>
    <t>TWEEDIE, JOHN</t>
  </si>
  <si>
    <t>151225630e</t>
  </si>
  <si>
    <t>COOK</t>
  </si>
  <si>
    <t>MCGINLEYMICHAEL21@GMAIL.COM</t>
  </si>
  <si>
    <t>MCGINLEY, MICHAEL</t>
  </si>
  <si>
    <t>151225622e</t>
  </si>
  <si>
    <t>RODRIGUES</t>
  </si>
  <si>
    <t>jjcolonplumbing@live.com</t>
  </si>
  <si>
    <t>COLON, JOHN</t>
  </si>
  <si>
    <t>151225614e</t>
  </si>
  <si>
    <t>SIMMONS</t>
  </si>
  <si>
    <t>GENTRYRMG5@GMAIL.COM</t>
  </si>
  <si>
    <t>GENTRY, RALPH</t>
  </si>
  <si>
    <t>151225581e</t>
  </si>
  <si>
    <t>Santora</t>
  </si>
  <si>
    <t>toddwx@gmail.com</t>
  </si>
  <si>
    <t>GROSS, TODD</t>
  </si>
  <si>
    <t>151225482e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</si>
  <si>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</si>
  <si>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</si>
  <si>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</si>
  <si>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</si>
  <si>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</si>
  <si>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</si>
  <si>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</si>
  <si>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</si>
  <si>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</si>
  <si>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</si>
  <si>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</si>
  <si>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</t>
  </si>
  <si>
    <t>Received By__________________________________________________________________________________</t>
  </si>
  <si>
    <t>Delivered BY__________________________________________________________________________________</t>
  </si>
  <si>
    <t># 2</t>
  </si>
  <si>
    <t>151225747</t>
  </si>
  <si>
    <t>Business Name</t>
  </si>
  <si>
    <t>Funding Worksheet - Signoff Version</t>
  </si>
  <si>
    <t>4453     2150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</si>
</sst>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2" fillId="0" borderId="0" xfId="1" applyFill="1" applyAlignment="1">
      <alignment horizontal="left"/>
    </xf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A292F840-F223-4F3B-B09B-315F7E49B27F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74C833B-D716-47EC-BBC9-1C8D009C5E68}" name="Column1" dataDxfId="24"/>
    <tableColumn id="8" xr3:uid="{FC9B7E98-0379-4D83-9C90-1E13872DBC9C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DD1A8-F190-41CA-9759-D61D29A88F77}" name="Table_13" displayName="Table_13" ref="A3:L19" headerRowDxfId="11" dataDxfId="9" totalsRowDxfId="10">
  <tableColumns count="12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C4D5AF-BDEA-44A7-B753-7422AA62AA3A}" name="Table_14" displayName="Table_14" ref="A3:F6" headerRowDxfId="2" dataDxfId="0" totalsRowDxfId="1">
  <tableColumns count="6">
    <tableColumn id="1" xr3:uid="{00000000-0010-0000-0000-000001000000}" name="Account Number" dataDxfId="8"/>
    <tableColumn id="2" xr3:uid="{00000000-0010-0000-0000-000002000000}" name="Contract Type" dataDxfId="7"/>
    <tableColumn id="3" xr3:uid="{00000000-0010-0000-0000-000003000000}" name="Applicant Name" dataDxfId="6"/>
    <tableColumn id="4" xr3:uid="{00000000-0010-0000-0000-000004000000}" name="Co-Applicant Name" dataDxfId="5"/>
    <tableColumn id="5" xr3:uid="{00000000-0010-0000-0000-000005000000}" name="Dealer Name" dataDxfId="4"/>
    <tableColumn id="6" xr3:uid="{00000000-0010-0000-0000-000006000000}" name="Business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workbookViewId="0">
      <pane ySplit="3" topLeftCell="A4" activePane="bottomLeft" state="frozen"/>
      <selection pane="bottomLeft" activeCell="E30" sqref="E30"/>
    </sheetView>
  </sheetViews>
  <sheetFormatPr defaultRowHeight="15" x14ac:dyDescent="0.25"/>
  <cols>
    <col min="1" max="1" width="31.5703125" bestFit="1" customWidth="1"/>
    <col min="2" max="2" width="17.710937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45917</v>
      </c>
      <c r="E1" t="s">
        <v>2</v>
      </c>
      <c r="H1" s="4">
        <v>45917.999988425923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26</v>
      </c>
      <c r="G3" t="s">
        <v>27</v>
      </c>
      <c r="H3" t="s">
        <v>9</v>
      </c>
    </row>
    <row r="4" spans="1:8" x14ac:dyDescent="0.25">
      <c r="A4" t="s">
        <v>10</v>
      </c>
      <c r="B4" t="s">
        <v>11</v>
      </c>
      <c r="C4" s="2">
        <v>1050</v>
      </c>
      <c r="D4" s="2">
        <v>0</v>
      </c>
      <c r="E4" s="2">
        <v>39971.06</v>
      </c>
      <c r="F4" s="2"/>
      <c r="G4" s="2"/>
      <c r="H4" s="2">
        <v>40046.06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500</v>
      </c>
      <c r="D6" s="2">
        <v>0</v>
      </c>
      <c r="E6" s="2">
        <v>18548.689999999999</v>
      </c>
      <c r="F6" s="2"/>
      <c r="G6" s="2"/>
      <c r="H6" s="2">
        <v>18623.689999999999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13</v>
      </c>
      <c r="C8" s="2">
        <v>850</v>
      </c>
      <c r="D8" s="2">
        <v>0</v>
      </c>
      <c r="E8" s="2">
        <v>30337.3</v>
      </c>
      <c r="F8" s="2"/>
      <c r="G8" s="2" t="s">
        <v>115</v>
      </c>
      <c r="H8" s="2">
        <v>30412.3</v>
      </c>
    </row>
    <row r="9" spans="1:8" x14ac:dyDescent="0.25">
      <c r="A9" t="s">
        <v>14</v>
      </c>
      <c r="B9" t="s">
        <v>13</v>
      </c>
      <c r="C9" s="2">
        <v>750</v>
      </c>
      <c r="D9" s="2">
        <v>0</v>
      </c>
      <c r="E9" s="2">
        <v>27933.72</v>
      </c>
      <c r="F9" s="2">
        <f>SUM(E8:E9)</f>
        <v>58271.020000000004</v>
      </c>
      <c r="G9" s="2"/>
      <c r="H9" s="2">
        <v>28008.720000000001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16</v>
      </c>
      <c r="C11" s="2">
        <v>950</v>
      </c>
      <c r="D11" s="2">
        <v>0</v>
      </c>
      <c r="E11" s="2">
        <v>38383.31</v>
      </c>
      <c r="F11" s="2"/>
      <c r="G11" s="2"/>
      <c r="H11" s="2">
        <v>38458.31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16</v>
      </c>
      <c r="C13" s="2">
        <v>850</v>
      </c>
      <c r="D13" s="2">
        <v>0</v>
      </c>
      <c r="E13" s="2">
        <v>34342.19</v>
      </c>
      <c r="F13" s="2"/>
      <c r="G13" s="2"/>
      <c r="H13" s="2">
        <v>34417.19</v>
      </c>
    </row>
    <row r="14" spans="1:8" x14ac:dyDescent="0.25">
      <c r="A14" t="s">
        <v>17</v>
      </c>
      <c r="B14" t="s">
        <v>13</v>
      </c>
      <c r="C14" s="2">
        <v>500</v>
      </c>
      <c r="D14" s="2">
        <v>0</v>
      </c>
      <c r="E14" s="2">
        <v>15455.13</v>
      </c>
      <c r="F14" s="2">
        <f>SUM(E13:E14)</f>
        <v>49797.32</v>
      </c>
      <c r="G14" s="2"/>
      <c r="H14" s="2">
        <v>15530.13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11</v>
      </c>
      <c r="C16" s="2">
        <v>850</v>
      </c>
      <c r="D16" s="2">
        <v>0</v>
      </c>
      <c r="E16" s="2">
        <v>33621.19</v>
      </c>
      <c r="F16" s="2"/>
      <c r="G16" s="2"/>
      <c r="H16" s="2">
        <v>33696.19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11</v>
      </c>
      <c r="C18" s="2">
        <v>750</v>
      </c>
      <c r="D18" s="2">
        <v>0</v>
      </c>
      <c r="E18" s="2">
        <v>29079.69</v>
      </c>
      <c r="F18" s="2"/>
      <c r="G18" s="2"/>
      <c r="H18" s="2">
        <v>29154.69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11</v>
      </c>
      <c r="C20" s="2">
        <v>950</v>
      </c>
      <c r="D20" s="2">
        <v>0</v>
      </c>
      <c r="E20" s="2">
        <v>35216.75</v>
      </c>
      <c r="F20" s="2"/>
      <c r="G20" s="2"/>
      <c r="H20" s="2">
        <v>35291.75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16</v>
      </c>
      <c r="C22" s="2">
        <v>300</v>
      </c>
      <c r="D22" s="2">
        <v>0</v>
      </c>
      <c r="E22" s="2">
        <v>10495.69</v>
      </c>
      <c r="F22" s="2"/>
      <c r="G22" s="2"/>
      <c r="H22" s="2">
        <v>10570.69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22</v>
      </c>
      <c r="B24" t="s">
        <v>11</v>
      </c>
      <c r="C24" s="2">
        <v>300</v>
      </c>
      <c r="D24" s="2">
        <v>0</v>
      </c>
      <c r="E24" s="2">
        <v>14498.94</v>
      </c>
      <c r="F24" s="2"/>
      <c r="G24" s="2"/>
      <c r="H24" s="2">
        <v>14573.94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23</v>
      </c>
      <c r="B26" t="s">
        <v>16</v>
      </c>
      <c r="C26" s="2">
        <v>1150</v>
      </c>
      <c r="D26" s="2">
        <v>0</v>
      </c>
      <c r="E26" s="2">
        <v>47348</v>
      </c>
      <c r="F26" s="2"/>
      <c r="G26" s="2"/>
      <c r="H26" s="2">
        <v>47423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24</v>
      </c>
      <c r="B28" t="s">
        <v>13</v>
      </c>
      <c r="C28" s="2">
        <v>850</v>
      </c>
      <c r="D28" s="2">
        <v>0</v>
      </c>
      <c r="E28" s="2">
        <v>32274.38</v>
      </c>
      <c r="F28" s="2"/>
      <c r="G28" s="2"/>
      <c r="H28" s="2">
        <v>32349.38</v>
      </c>
    </row>
    <row r="29" spans="1:8" x14ac:dyDescent="0.25">
      <c r="C29" s="2"/>
      <c r="D29" s="2"/>
      <c r="E29" s="2"/>
      <c r="F29" s="2"/>
      <c r="G29" s="2"/>
      <c r="H29" s="2"/>
    </row>
    <row r="30" spans="1:8" x14ac:dyDescent="0.25">
      <c r="A30" t="s">
        <v>25</v>
      </c>
      <c r="B30" t="s">
        <v>13</v>
      </c>
      <c r="C30" s="2">
        <v>650</v>
      </c>
      <c r="D30" s="2">
        <v>0</v>
      </c>
      <c r="E30" s="2">
        <v>23990.81</v>
      </c>
      <c r="F30" s="2"/>
      <c r="G30" s="2"/>
      <c r="H30" s="2">
        <v>24065.81</v>
      </c>
    </row>
    <row r="31" spans="1:8" x14ac:dyDescent="0.25">
      <c r="A31" s="1"/>
      <c r="B31" s="1"/>
      <c r="C31" s="3">
        <f>SUM(C4:C30)</f>
        <v>11250</v>
      </c>
      <c r="D31" s="3">
        <f>SUM(D4:D30)</f>
        <v>0</v>
      </c>
      <c r="E31" s="3">
        <f>SUM(E4:E30)</f>
        <v>431496.85000000003</v>
      </c>
      <c r="F31" s="3"/>
      <c r="G31" s="3"/>
      <c r="H31" s="3">
        <f>SUM(H4:H30)</f>
        <v>432621.85000000003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64A5-FA5E-4068-99FE-8E45A21873B3}">
  <sheetPr>
    <pageSetUpPr fitToPage="1"/>
  </sheetPr>
  <dimension ref="A1:M22"/>
  <sheetViews>
    <sheetView workbookViewId="0">
      <pane ySplit="3" topLeftCell="A4" activePane="bottomLeft" state="frozen"/>
      <selection pane="bottomLeft" activeCell="G9" sqref="G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7109375" style="8" bestFit="1" customWidth="1"/>
    <col min="5" max="5" width="18.7109375" style="8" bestFit="1" customWidth="1"/>
    <col min="6" max="6" width="31.5703125" style="8" bestFit="1" customWidth="1"/>
    <col min="7" max="7" width="17.7109375" style="8" bestFit="1" customWidth="1"/>
    <col min="8" max="8" width="17.140625" style="8" bestFit="1" customWidth="1"/>
    <col min="9" max="9" width="38.7109375" style="8" bestFit="1" customWidth="1"/>
    <col min="10" max="10" width="28.140625" style="8" bestFit="1" customWidth="1"/>
    <col min="11" max="11" width="19.8554687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45917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107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106</v>
      </c>
      <c r="B3" s="9" t="s">
        <v>105</v>
      </c>
      <c r="C3" s="9" t="s">
        <v>104</v>
      </c>
      <c r="D3" s="9" t="s">
        <v>103</v>
      </c>
      <c r="E3" s="9" t="s">
        <v>102</v>
      </c>
      <c r="F3" s="9" t="s">
        <v>4</v>
      </c>
      <c r="G3" s="9" t="s">
        <v>5</v>
      </c>
      <c r="H3" s="9" t="s">
        <v>101</v>
      </c>
      <c r="I3" s="9" t="s">
        <v>100</v>
      </c>
      <c r="J3" s="9" t="s">
        <v>99</v>
      </c>
      <c r="K3" s="9" t="s">
        <v>98</v>
      </c>
      <c r="L3" s="9" t="s">
        <v>97</v>
      </c>
      <c r="M3" s="9"/>
    </row>
    <row r="4" spans="1:13" ht="35.1" customHeight="1" x14ac:dyDescent="0.25">
      <c r="A4" s="9" t="s">
        <v>96</v>
      </c>
      <c r="B4" s="9" t="s">
        <v>39</v>
      </c>
      <c r="C4" s="9" t="s">
        <v>38</v>
      </c>
      <c r="D4" s="9" t="s">
        <v>95</v>
      </c>
      <c r="E4" s="9"/>
      <c r="F4" s="9" t="s">
        <v>23</v>
      </c>
      <c r="G4" s="9" t="s">
        <v>16</v>
      </c>
      <c r="H4" s="14">
        <v>47423</v>
      </c>
      <c r="I4" s="9" t="s">
        <v>94</v>
      </c>
      <c r="J4" s="9"/>
      <c r="K4" s="9" t="s">
        <v>93</v>
      </c>
      <c r="L4" s="9"/>
      <c r="M4" s="9"/>
    </row>
    <row r="5" spans="1:13" ht="35.1" customHeight="1" x14ac:dyDescent="0.25">
      <c r="A5" s="9" t="s">
        <v>92</v>
      </c>
      <c r="B5" s="9" t="s">
        <v>33</v>
      </c>
      <c r="C5" s="9" t="s">
        <v>38</v>
      </c>
      <c r="D5" s="9" t="s">
        <v>91</v>
      </c>
      <c r="E5" s="9"/>
      <c r="F5" s="9" t="s">
        <v>21</v>
      </c>
      <c r="G5" s="9" t="s">
        <v>16</v>
      </c>
      <c r="H5" s="14">
        <v>10570.69</v>
      </c>
      <c r="I5" s="9" t="s">
        <v>90</v>
      </c>
      <c r="J5" s="9"/>
      <c r="K5" s="9" t="s">
        <v>89</v>
      </c>
      <c r="L5" s="9"/>
      <c r="M5" s="9"/>
    </row>
    <row r="6" spans="1:13" ht="35.1" customHeight="1" x14ac:dyDescent="0.25">
      <c r="A6" s="9" t="s">
        <v>88</v>
      </c>
      <c r="B6" s="9" t="s">
        <v>33</v>
      </c>
      <c r="C6" s="9" t="s">
        <v>38</v>
      </c>
      <c r="D6" s="9" t="s">
        <v>87</v>
      </c>
      <c r="E6" s="9"/>
      <c r="F6" s="9" t="s">
        <v>12</v>
      </c>
      <c r="G6" s="9" t="s">
        <v>13</v>
      </c>
      <c r="H6" s="14">
        <v>18623.689999999999</v>
      </c>
      <c r="I6" s="9" t="s">
        <v>86</v>
      </c>
      <c r="J6" s="9"/>
      <c r="K6" s="9" t="s">
        <v>85</v>
      </c>
      <c r="L6" s="9"/>
      <c r="M6" s="9"/>
    </row>
    <row r="7" spans="1:13" ht="35.1" customHeight="1" x14ac:dyDescent="0.25">
      <c r="A7" s="9" t="s">
        <v>84</v>
      </c>
      <c r="B7" s="9" t="s">
        <v>39</v>
      </c>
      <c r="C7" s="9" t="s">
        <v>38</v>
      </c>
      <c r="D7" s="9" t="s">
        <v>83</v>
      </c>
      <c r="E7" s="9"/>
      <c r="F7" s="9" t="s">
        <v>17</v>
      </c>
      <c r="G7" s="9" t="s">
        <v>13</v>
      </c>
      <c r="H7" s="14">
        <v>15530.13</v>
      </c>
      <c r="I7" s="9" t="s">
        <v>82</v>
      </c>
      <c r="J7" s="9"/>
      <c r="K7" s="9" t="s">
        <v>81</v>
      </c>
      <c r="L7" s="9"/>
      <c r="M7" s="9"/>
    </row>
    <row r="8" spans="1:13" ht="35.1" customHeight="1" x14ac:dyDescent="0.25">
      <c r="A8" s="9" t="s">
        <v>80</v>
      </c>
      <c r="B8" s="9" t="s">
        <v>39</v>
      </c>
      <c r="C8" s="9" t="s">
        <v>38</v>
      </c>
      <c r="D8" s="9" t="s">
        <v>79</v>
      </c>
      <c r="E8" s="9"/>
      <c r="F8" s="9" t="s">
        <v>14</v>
      </c>
      <c r="G8" s="9" t="s">
        <v>13</v>
      </c>
      <c r="H8" s="14">
        <v>28008.720000000001</v>
      </c>
      <c r="I8" s="9" t="s">
        <v>78</v>
      </c>
      <c r="J8" s="9"/>
      <c r="K8" s="9" t="s">
        <v>77</v>
      </c>
      <c r="L8" s="9"/>
      <c r="M8" s="9"/>
    </row>
    <row r="9" spans="1:13" ht="35.1" customHeight="1" x14ac:dyDescent="0.25">
      <c r="A9" s="9" t="s">
        <v>76</v>
      </c>
      <c r="B9" s="9" t="s">
        <v>39</v>
      </c>
      <c r="C9" s="9" t="s">
        <v>38</v>
      </c>
      <c r="D9" s="9" t="s">
        <v>75</v>
      </c>
      <c r="E9" s="9"/>
      <c r="F9" s="9" t="s">
        <v>17</v>
      </c>
      <c r="G9" s="9" t="s">
        <v>16</v>
      </c>
      <c r="H9" s="14">
        <v>34417.19</v>
      </c>
      <c r="I9" s="9" t="s">
        <v>74</v>
      </c>
      <c r="J9" s="9"/>
      <c r="K9" s="9" t="s">
        <v>73</v>
      </c>
      <c r="L9" s="9"/>
      <c r="M9" s="9"/>
    </row>
    <row r="10" spans="1:13" ht="35.1" customHeight="1" x14ac:dyDescent="0.25">
      <c r="A10" s="9" t="s">
        <v>72</v>
      </c>
      <c r="B10" s="9" t="s">
        <v>39</v>
      </c>
      <c r="C10" s="9" t="s">
        <v>38</v>
      </c>
      <c r="D10" s="9" t="s">
        <v>71</v>
      </c>
      <c r="E10" s="9" t="s">
        <v>70</v>
      </c>
      <c r="F10" s="9" t="s">
        <v>15</v>
      </c>
      <c r="G10" s="9" t="s">
        <v>16</v>
      </c>
      <c r="H10" s="14">
        <v>38458.31</v>
      </c>
      <c r="I10" s="9" t="s">
        <v>69</v>
      </c>
      <c r="J10" s="9" t="s">
        <v>68</v>
      </c>
      <c r="K10" s="9" t="s">
        <v>67</v>
      </c>
      <c r="L10" s="9" t="s">
        <v>66</v>
      </c>
      <c r="M10" s="9"/>
    </row>
    <row r="11" spans="1:13" ht="35.1" customHeight="1" x14ac:dyDescent="0.25">
      <c r="A11" s="9" t="s">
        <v>65</v>
      </c>
      <c r="B11" s="9" t="s">
        <v>39</v>
      </c>
      <c r="C11" s="9" t="s">
        <v>38</v>
      </c>
      <c r="D11" s="9" t="s">
        <v>64</v>
      </c>
      <c r="E11" s="9"/>
      <c r="F11" s="9" t="s">
        <v>24</v>
      </c>
      <c r="G11" s="9" t="s">
        <v>13</v>
      </c>
      <c r="H11" s="14">
        <v>32349.38</v>
      </c>
      <c r="I11" s="9" t="s">
        <v>63</v>
      </c>
      <c r="J11" s="9"/>
      <c r="K11" s="9" t="s">
        <v>62</v>
      </c>
      <c r="L11" s="9"/>
      <c r="M11" s="9"/>
    </row>
    <row r="12" spans="1:13" ht="35.1" customHeight="1" x14ac:dyDescent="0.25">
      <c r="A12" s="9" t="s">
        <v>61</v>
      </c>
      <c r="B12" s="9" t="s">
        <v>39</v>
      </c>
      <c r="C12" s="9" t="s">
        <v>38</v>
      </c>
      <c r="D12" s="9" t="s">
        <v>60</v>
      </c>
      <c r="E12" s="9" t="s">
        <v>59</v>
      </c>
      <c r="F12" s="9" t="s">
        <v>25</v>
      </c>
      <c r="G12" s="9" t="s">
        <v>13</v>
      </c>
      <c r="H12" s="14">
        <v>24065.81</v>
      </c>
      <c r="I12" s="9" t="s">
        <v>58</v>
      </c>
      <c r="J12" s="9"/>
      <c r="K12" s="9" t="s">
        <v>57</v>
      </c>
      <c r="L12" s="9" t="s">
        <v>56</v>
      </c>
      <c r="M12" s="9"/>
    </row>
    <row r="13" spans="1:13" ht="35.1" customHeight="1" x14ac:dyDescent="0.25">
      <c r="A13" s="9" t="s">
        <v>55</v>
      </c>
      <c r="B13" s="9" t="s">
        <v>39</v>
      </c>
      <c r="C13" s="9" t="s">
        <v>38</v>
      </c>
      <c r="D13" s="9" t="s">
        <v>54</v>
      </c>
      <c r="E13" s="9"/>
      <c r="F13" s="9" t="s">
        <v>14</v>
      </c>
      <c r="G13" s="9" t="s">
        <v>13</v>
      </c>
      <c r="H13" s="14">
        <v>30412.3</v>
      </c>
      <c r="I13" s="9" t="s">
        <v>53</v>
      </c>
      <c r="J13" s="9"/>
      <c r="K13" s="9" t="s">
        <v>52</v>
      </c>
      <c r="L13" s="9"/>
      <c r="M13" s="9"/>
    </row>
    <row r="14" spans="1:13" ht="35.1" customHeight="1" x14ac:dyDescent="0.25">
      <c r="A14" s="9" t="s">
        <v>51</v>
      </c>
      <c r="B14" s="9" t="s">
        <v>33</v>
      </c>
      <c r="C14" s="9" t="s">
        <v>38</v>
      </c>
      <c r="D14" s="9" t="s">
        <v>50</v>
      </c>
      <c r="E14" s="9"/>
      <c r="F14" s="9" t="s">
        <v>20</v>
      </c>
      <c r="G14" s="9" t="s">
        <v>11</v>
      </c>
      <c r="H14" s="14">
        <v>35291.75</v>
      </c>
      <c r="I14" s="9" t="s">
        <v>49</v>
      </c>
      <c r="J14" s="9"/>
      <c r="K14" s="9" t="s">
        <v>48</v>
      </c>
      <c r="L14" s="9"/>
      <c r="M14" s="9"/>
    </row>
    <row r="15" spans="1:13" ht="35.1" customHeight="1" x14ac:dyDescent="0.25">
      <c r="A15" s="9" t="s">
        <v>47</v>
      </c>
      <c r="B15" s="9" t="s">
        <v>33</v>
      </c>
      <c r="C15" s="9" t="s">
        <v>38</v>
      </c>
      <c r="D15" s="9" t="s">
        <v>46</v>
      </c>
      <c r="E15" s="9"/>
      <c r="F15" s="9" t="s">
        <v>10</v>
      </c>
      <c r="G15" s="9" t="s">
        <v>11</v>
      </c>
      <c r="H15" s="14">
        <v>40046.06</v>
      </c>
      <c r="I15" s="9" t="s">
        <v>45</v>
      </c>
      <c r="J15" s="9"/>
      <c r="K15" s="9" t="s">
        <v>44</v>
      </c>
      <c r="L15" s="9"/>
      <c r="M15" s="9"/>
    </row>
    <row r="16" spans="1:13" ht="35.1" customHeight="1" x14ac:dyDescent="0.25">
      <c r="A16" s="15">
        <v>151225747</v>
      </c>
      <c r="B16" s="9" t="s">
        <v>39</v>
      </c>
      <c r="C16" s="9" t="s">
        <v>32</v>
      </c>
      <c r="D16" s="9" t="s">
        <v>43</v>
      </c>
      <c r="E16" s="9"/>
      <c r="F16" s="9" t="s">
        <v>18</v>
      </c>
      <c r="G16" s="9" t="s">
        <v>11</v>
      </c>
      <c r="H16" s="14">
        <v>33696.19</v>
      </c>
      <c r="I16" s="9" t="s">
        <v>42</v>
      </c>
      <c r="J16" s="9"/>
      <c r="K16" s="9" t="s">
        <v>41</v>
      </c>
      <c r="L16" s="9"/>
      <c r="M16" s="9"/>
    </row>
    <row r="17" spans="1:13" ht="35.1" customHeight="1" x14ac:dyDescent="0.25">
      <c r="A17" s="9" t="s">
        <v>40</v>
      </c>
      <c r="B17" s="9" t="s">
        <v>39</v>
      </c>
      <c r="C17" s="9" t="s">
        <v>38</v>
      </c>
      <c r="D17" s="9" t="s">
        <v>37</v>
      </c>
      <c r="E17" s="9"/>
      <c r="F17" s="9" t="s">
        <v>22</v>
      </c>
      <c r="G17" s="9" t="s">
        <v>11</v>
      </c>
      <c r="H17" s="14">
        <v>14573.94</v>
      </c>
      <c r="I17" s="9" t="s">
        <v>36</v>
      </c>
      <c r="J17" s="9"/>
      <c r="K17" s="9" t="s">
        <v>35</v>
      </c>
      <c r="L17" s="9"/>
      <c r="M17" s="9"/>
    </row>
    <row r="18" spans="1:13" ht="35.1" customHeight="1" x14ac:dyDescent="0.25">
      <c r="A18" s="9" t="s">
        <v>34</v>
      </c>
      <c r="B18" s="9" t="s">
        <v>33</v>
      </c>
      <c r="C18" s="9" t="s">
        <v>32</v>
      </c>
      <c r="D18" s="9" t="s">
        <v>31</v>
      </c>
      <c r="E18" s="9"/>
      <c r="F18" s="9" t="s">
        <v>19</v>
      </c>
      <c r="G18" s="9" t="s">
        <v>11</v>
      </c>
      <c r="H18" s="14">
        <v>29154.69</v>
      </c>
      <c r="I18" s="9" t="s">
        <v>30</v>
      </c>
      <c r="J18" s="9"/>
      <c r="K18" s="9" t="s">
        <v>29</v>
      </c>
      <c r="L18" s="9"/>
      <c r="M18" s="9"/>
    </row>
    <row r="19" spans="1:13" ht="35.1" customHeight="1" x14ac:dyDescent="0.25">
      <c r="A19" s="16"/>
      <c r="B19" s="16"/>
      <c r="C19" s="16"/>
      <c r="D19" s="16" t="s">
        <v>28</v>
      </c>
      <c r="E19" s="16"/>
      <c r="F19" s="16"/>
      <c r="G19" s="16"/>
      <c r="H19" s="17">
        <f>SUM(H4:H18)</f>
        <v>432621.85000000003</v>
      </c>
      <c r="I19" s="16"/>
      <c r="J19" s="16"/>
      <c r="K19" s="16"/>
      <c r="L19" s="16"/>
      <c r="M19" s="9"/>
    </row>
    <row r="20" spans="1:13" ht="35.1" customHeight="1" x14ac:dyDescent="0.25"/>
    <row r="21" spans="1:13" ht="35.1" customHeight="1" x14ac:dyDescent="0.25"/>
    <row r="22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B2FF-F6F2-4611-95DE-14BE5794B39D}">
  <sheetPr>
    <pageSetUpPr fitToPage="1"/>
  </sheetPr>
  <dimension ref="A1:F27"/>
  <sheetViews>
    <sheetView workbookViewId="0">
      <pane ySplit="3" topLeftCell="A4" activePane="bottomLeft" state="frozen"/>
      <selection pane="bottomLeft" activeCell="F17" sqref="F17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.7109375" style="8" bestFit="1" customWidth="1"/>
    <col min="4" max="4" width="19.85546875" style="8" bestFit="1" customWidth="1"/>
    <col min="5" max="5" width="31.5703125" style="8" bestFit="1" customWidth="1"/>
    <col min="6" max="6" width="19.85546875" style="8" bestFit="1" customWidth="1"/>
    <col min="7" max="16384" width="9.140625" style="8"/>
  </cols>
  <sheetData>
    <row r="1" spans="1:6" x14ac:dyDescent="0.25">
      <c r="A1" s="9"/>
      <c r="B1" s="9"/>
      <c r="C1" s="9" t="s">
        <v>3</v>
      </c>
      <c r="D1" s="10">
        <v>45917</v>
      </c>
      <c r="E1" s="9" t="s">
        <v>2</v>
      </c>
      <c r="F1" s="10">
        <v>45917.999988425923</v>
      </c>
    </row>
    <row r="2" spans="1:6" x14ac:dyDescent="0.25">
      <c r="A2" s="11" t="s">
        <v>0</v>
      </c>
      <c r="B2" s="12"/>
      <c r="C2" s="12"/>
      <c r="D2" s="13" t="s">
        <v>114</v>
      </c>
      <c r="E2" s="12"/>
      <c r="F2" s="12"/>
    </row>
    <row r="3" spans="1:6" x14ac:dyDescent="0.25">
      <c r="A3" s="9" t="s">
        <v>106</v>
      </c>
      <c r="B3" s="9" t="s">
        <v>104</v>
      </c>
      <c r="C3" s="9" t="s">
        <v>103</v>
      </c>
      <c r="D3" s="9" t="s">
        <v>102</v>
      </c>
      <c r="E3" s="9" t="s">
        <v>4</v>
      </c>
      <c r="F3" s="9" t="s">
        <v>113</v>
      </c>
    </row>
    <row r="4" spans="1:6" x14ac:dyDescent="0.25">
      <c r="A4" s="9" t="s">
        <v>112</v>
      </c>
      <c r="B4" s="9" t="s">
        <v>32</v>
      </c>
      <c r="C4" s="9" t="s">
        <v>43</v>
      </c>
      <c r="D4" s="9"/>
      <c r="E4" s="9" t="s">
        <v>18</v>
      </c>
      <c r="F4" s="9"/>
    </row>
    <row r="5" spans="1:6" x14ac:dyDescent="0.25">
      <c r="A5" s="9" t="s">
        <v>34</v>
      </c>
      <c r="B5" s="9" t="s">
        <v>32</v>
      </c>
      <c r="C5" s="9" t="s">
        <v>31</v>
      </c>
      <c r="D5" s="9"/>
      <c r="E5" s="9" t="s">
        <v>19</v>
      </c>
      <c r="F5" s="9"/>
    </row>
    <row r="6" spans="1:6" x14ac:dyDescent="0.25">
      <c r="A6" s="16"/>
      <c r="B6" s="16"/>
      <c r="C6" s="16" t="s">
        <v>111</v>
      </c>
      <c r="D6" s="16"/>
      <c r="E6" s="16"/>
      <c r="F6" s="16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 t="s">
        <v>110</v>
      </c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 t="s">
        <v>109</v>
      </c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 t="s">
        <v>108</v>
      </c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</sheetData>
  <mergeCells count="2">
    <mergeCell ref="A2:C2"/>
    <mergeCell ref="D2:F2"/>
  </mergeCells>
  <pageMargins left="0.7" right="0.7" top="0.75" bottom="0.75" header="0.3" footer="0.3"/>
  <pageSetup scale="7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2025-09-17T18:31:23Z</cp:lastPrinted>
  <dcterms:created xsi:type="dcterms:W3CDTF">2025-09-17T18:23:00Z</dcterms:created>
  <dcterms:modified xsi:type="dcterms:W3CDTF">2025-09-17T18:45:01Z</dcterms:modified>
</cp:coreProperties>
</file>