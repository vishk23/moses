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C7211101-8F0E-4954-928E-06894111FD93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25" i="2"/>
  <c r="F25" i="2"/>
  <c r="E25" i="2"/>
  <c r="D25" i="2"/>
  <c r="H15" i="1" l="1"/>
</calcChain>
</file>

<file path=xl/sharedStrings.xml><?xml version="1.0" encoding="utf-8"?>
<sst xmlns="http://schemas.openxmlformats.org/spreadsheetml/2006/main" count="154" uniqueCount="92">
  <si>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</si>
  <si>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</si>
  <si>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</si>
  <si>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</si>
  <si>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</si>
  <si>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</si>
  <si>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</si>
  <si>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</si>
  <si>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</si>
  <si>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</si>
  <si>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</si>
  <si>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</si>
  <si>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</si>
  <si>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</si>
  <si>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</si>
  <si>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</si>
  <si>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PONCE, MARGARITA</t>
  </si>
  <si>
    <t>Grieco Toyota</t>
  </si>
  <si>
    <t>Rachel Gorham</t>
  </si>
  <si>
    <t>DIXINAPONCE@GMAIL.COM</t>
  </si>
  <si>
    <t>ZELAYA</t>
  </si>
  <si>
    <t>KIDDER, ALBERT</t>
  </si>
  <si>
    <t>KIDDER, DEBORAH</t>
  </si>
  <si>
    <t>Mathieu Ford Sales, Inc</t>
  </si>
  <si>
    <t>alkidder7@gmail.com</t>
  </si>
  <si>
    <t>dkidder67@gmail.com</t>
  </si>
  <si>
    <t>MARCOUILLIER</t>
  </si>
  <si>
    <t>SULLIVAN</t>
  </si>
  <si>
    <t>COLLINS, VICTORIA</t>
  </si>
  <si>
    <t>Mastria Mazda</t>
  </si>
  <si>
    <t>Neli Oliveira</t>
  </si>
  <si>
    <t>vcollins21123@gmail.com</t>
  </si>
  <si>
    <t>GRANT</t>
  </si>
  <si>
    <t>DealerTrack</t>
  </si>
  <si>
    <t>WASHBURN, STEN</t>
  </si>
  <si>
    <t>Coastal Volkswagon</t>
  </si>
  <si>
    <t>STENWASHBURN@GMAIL.COM</t>
  </si>
  <si>
    <t>BRATT</t>
  </si>
  <si>
    <t>RODRIGUES, LEONARDO</t>
  </si>
  <si>
    <t>Hiller Co Inc</t>
  </si>
  <si>
    <t>Leonardo7l@icloud.com</t>
  </si>
  <si>
    <t>ROSA</t>
  </si>
  <si>
    <t>RR Fence Company Inc</t>
  </si>
  <si>
    <t>CASSINO HENRIQUEZ, ASHLEY</t>
  </si>
  <si>
    <t>Metro Honda</t>
  </si>
  <si>
    <t>HENRIQUEZ</t>
  </si>
  <si>
    <t>151212405</t>
  </si>
  <si>
    <t>Paper</t>
  </si>
  <si>
    <t>WARNER, AMY</t>
  </si>
  <si>
    <t>Planet Subaru</t>
  </si>
  <si>
    <t>AMYDWARNER@GMAIL.COM</t>
  </si>
  <si>
    <t>COUSINS</t>
  </si>
  <si>
    <t>MCCULLOUGH, KELLY</t>
  </si>
  <si>
    <t>Grieco Hyundai</t>
  </si>
  <si>
    <t>KELLYMCCULOUGH3@GMAIL.COM</t>
  </si>
  <si>
    <t>COLSON</t>
  </si>
  <si>
    <t>NUNES, KEVIN</t>
  </si>
  <si>
    <t>RAH FALL RIVER VW, LLC</t>
  </si>
  <si>
    <t>224EXCLUSIVES@GMAIL.COM</t>
  </si>
  <si>
    <t>MEDEIROS</t>
  </si>
  <si>
    <t>SIMONELLI, MICHAEL</t>
  </si>
  <si>
    <t>Tasca Chevrolet</t>
  </si>
  <si>
    <t>Marlene Braganca</t>
  </si>
  <si>
    <t>MSIMON0326@GMAIL.COM</t>
  </si>
  <si>
    <t>BROWN</t>
  </si>
  <si>
    <t>MANCINI, AMANDA</t>
  </si>
  <si>
    <t>MANCINI</t>
  </si>
  <si>
    <t># 11</t>
  </si>
  <si>
    <t>151212273 E</t>
  </si>
  <si>
    <t>151212306 E</t>
  </si>
  <si>
    <t>151212314 E</t>
  </si>
  <si>
    <t xml:space="preserve">151212322 E </t>
  </si>
  <si>
    <t>151212356 E</t>
  </si>
  <si>
    <t>151212398 E</t>
  </si>
  <si>
    <t>151212447 E</t>
  </si>
  <si>
    <t>151212504 E</t>
  </si>
  <si>
    <t>151212520 E</t>
  </si>
  <si>
    <t>151212538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</si>
  <si>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</si>
  <si>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</si>
  <si>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</si>
  <si>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</si>
  <si>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</si>
  <si>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</si>
  <si>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</si>
  <si>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Funding Worksheet - Signoff Version</t>
  </si>
  <si>
    <t># 1</t>
  </si>
  <si>
    <t>Original Note Delivered</t>
  </si>
  <si>
    <t>Delivered by:</t>
  </si>
  <si>
    <t>Received by:</t>
  </si>
  <si>
    <t>Date Signed:</t>
  </si>
  <si>
    <t>5900-6390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</si>
</sst>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7" fontId="0" fillId="0" borderId="0" xfId="0" applyNumberFormat="1"/>
    <xf numFmtId="164" fontId="0" fillId="0" borderId="0" xfId="0" applyNumberFormat="1" applyAlignment="1">
      <alignment horizontal="right"/>
    </xf>
    <xf numFmtId="7" fontId="1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0" fontId="4" fillId="0" borderId="0" xfId="0" applyFont="1"/>
    <xf numFmtId="7" fontId="4" fillId="0" borderId="0" xfId="0" applyNumberFormat="1" applyFont="1"/>
    <xf numFmtId="0" fontId="0" fillId="0" borderId="1" xfId="0" applyBorder="1"/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/>
    <xf numFmtId="0" fontId="4" fillId="0" borderId="0" xfId="0" applyFont="1" applyAlignment="1">
      <alignment horizontal="right"/>
    </xf>
  </cellXfs>
  <cellStyles count="1">
    <cellStyle name="Normal" xfId="0" builtinId="0"/>
  </cellStyles>
  <dxfs count="16">
    <dxf>
      <numFmt numFmtId="11" formatCode="&quot;$&quot;#,##0.00_);\(&quot;$&quot;#,##0.00\)"/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5" headerRowDxfId="15" dataDxfId="14" totalsRowDxfId="13">
  <tableColumns count="12">
    <tableColumn id="1" xr3:uid="{00000000-0010-0000-0000-000001000000}" name="Account Number" dataDxfId="12"/>
    <tableColumn id="2" xr3:uid="{00000000-0010-0000-0000-000002000000}" name="Portal" dataDxfId="11"/>
    <tableColumn id="3" xr3:uid="{00000000-0010-0000-0000-000003000000}" name="Contract Type" dataDxfId="10"/>
    <tableColumn id="4" xr3:uid="{00000000-0010-0000-0000-000004000000}" name="Applicant Name" dataDxfId="9"/>
    <tableColumn id="5" xr3:uid="{00000000-0010-0000-0000-000005000000}" name="Co-Applicant Name" dataDxfId="8"/>
    <tableColumn id="6" xr3:uid="{00000000-0010-0000-0000-000006000000}" name="Dealer Name" dataDxfId="7"/>
    <tableColumn id="7" xr3:uid="{00000000-0010-0000-0000-000007000000}" name="Funded by" dataDxfId="6"/>
    <tableColumn id="8" xr3:uid="{00000000-0010-0000-0000-000008000000}" name="Amount Financed" dataDxfId="5"/>
    <tableColumn id="9" xr3:uid="{00000000-0010-0000-0000-000009000000}" name="Applicant Email" dataDxfId="4"/>
    <tableColumn id="10" xr3:uid="{00000000-0010-0000-0000-00000A000000}" name="Co-Applicant Email" dataDxfId="3"/>
    <tableColumn id="11" xr3:uid="{00000000-0010-0000-0000-00000B000000}" name="App MMN" dataDxfId="2"/>
    <tableColumn id="12" xr3:uid="{00000000-0010-0000-0000-00000C000000}" name="Co-App MMN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338742-8395-48D4-8752-A6D593FC12A8}" name="Table_13" displayName="Table_13" ref="A3:H25">
  <tableColumns count="8">
    <tableColumn id="1" xr3:uid="{0746635A-4D01-49B3-9030-A8001C3B6453}" name="Dealer Name"/>
    <tableColumn id="7" xr3:uid="{7D1FCD36-A439-4AC1-8C17-63F123E32748}" name="Column1"/>
    <tableColumn id="2" xr3:uid="{BFE34A69-8445-465B-ABE2-B1E7DD9EA681}" name="Funded by"/>
    <tableColumn id="3" xr3:uid="{5AF881C8-2B64-4529-9ECC-55409ACDD2D2}" name="Dealer Flat"/>
    <tableColumn id="4" xr3:uid="{D1D2314B-C421-4CEF-839A-8282DDE26729}" name="Dealer Split"/>
    <tableColumn id="5" xr3:uid="{5C6325FC-5EE5-4BE9-89C1-364C8C76AAC3}" name="Net to Dealer"/>
    <tableColumn id="8" xr3:uid="{E5A757D6-6D58-40BE-A6EF-E100B8D23233}" name="Column2" dataDxfId="0"/>
    <tableColumn id="6" xr3:uid="{6C6A8052-C3FC-43C5-B019-260A7582D82D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CAEA46-B6AB-4832-A153-5DE54FEA2F29}" name="Table_15" displayName="Table_15" ref="A3:E5">
  <tableColumns count="5">
    <tableColumn id="1" xr3:uid="{90AFC413-2F5E-46A7-A1C8-99EF6BD0BB2C}" name="Account Number"/>
    <tableColumn id="2" xr3:uid="{B48595A3-F0EB-42E5-AC0C-87C4FD36A81A}" name="Contract Type"/>
    <tableColumn id="3" xr3:uid="{AFECEA9F-8EAA-49C0-A7DD-2A9D3B22F92F}" name="Applicant Name"/>
    <tableColumn id="4" xr3:uid="{D9190D28-9874-493B-AD8B-9503C1764FC2}" name="Co-Applicant Name"/>
    <tableColumn id="5" xr3:uid="{FA59F607-5B02-4981-B4D2-E849141ED5EF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tabSelected="1" workbookViewId="0">
      <pane ySplit="3" topLeftCell="A4" activePane="bottomLeft" state="frozen"/>
      <selection pane="bottomLeft" activeCell="H12" sqref="H12"/>
    </sheetView>
  </sheetViews>
  <sheetFormatPr defaultRowHeight="15.75" x14ac:dyDescent="0.25"/>
  <cols>
    <col min="1" max="1" width="13.28515625" style="4" customWidth="1"/>
    <col min="2" max="2" width="12.140625" style="4" bestFit="1" customWidth="1"/>
    <col min="3" max="3" width="14" style="4" bestFit="1" customWidth="1"/>
    <col min="4" max="4" width="29" style="4" bestFit="1" customWidth="1"/>
    <col min="5" max="5" width="18.7109375" style="4" bestFit="1" customWidth="1"/>
    <col min="6" max="6" width="24.140625" style="4" bestFit="1" customWidth="1"/>
    <col min="7" max="7" width="17.7109375" style="4" bestFit="1" customWidth="1"/>
    <col min="8" max="8" width="17.140625" style="4" bestFit="1" customWidth="1"/>
    <col min="9" max="9" width="32.42578125" style="4" bestFit="1" customWidth="1"/>
    <col min="10" max="10" width="21.7109375" style="4" bestFit="1" customWidth="1"/>
    <col min="11" max="11" width="16.140625" style="4" bestFit="1" customWidth="1"/>
    <col min="12" max="12" width="12.85546875" style="4" bestFit="1" customWidth="1"/>
    <col min="13" max="16384" width="9.140625" style="4"/>
  </cols>
  <sheetData>
    <row r="1" spans="1:12" x14ac:dyDescent="0.25">
      <c r="K1" s="5">
        <v>45881</v>
      </c>
    </row>
    <row r="2" spans="1:12" x14ac:dyDescent="0.25">
      <c r="A2" s="12" t="s">
        <v>0</v>
      </c>
      <c r="B2" s="13"/>
      <c r="C2" s="13"/>
      <c r="D2" s="13"/>
      <c r="E2" s="13"/>
      <c r="F2" s="13"/>
      <c r="G2" s="14" t="s">
        <v>1</v>
      </c>
      <c r="H2" s="13"/>
      <c r="I2" s="13"/>
      <c r="J2" s="13"/>
      <c r="K2" s="13"/>
      <c r="L2" s="13"/>
    </row>
    <row r="3" spans="1:12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ht="30" customHeight="1" x14ac:dyDescent="0.25">
      <c r="A4" s="4" t="s">
        <v>68</v>
      </c>
      <c r="B4" s="4" t="s">
        <v>14</v>
      </c>
      <c r="C4" s="4" t="s">
        <v>15</v>
      </c>
      <c r="D4" s="4" t="s">
        <v>16</v>
      </c>
      <c r="F4" s="4" t="s">
        <v>17</v>
      </c>
      <c r="G4" s="4" t="s">
        <v>18</v>
      </c>
      <c r="H4" s="6">
        <v>53933.3</v>
      </c>
      <c r="I4" s="4" t="s">
        <v>19</v>
      </c>
      <c r="K4" s="4" t="s">
        <v>20</v>
      </c>
    </row>
    <row r="5" spans="1:12" ht="30" customHeight="1" x14ac:dyDescent="0.25">
      <c r="A5" s="4" t="s">
        <v>69</v>
      </c>
      <c r="B5" s="4" t="s">
        <v>14</v>
      </c>
      <c r="C5" s="4" t="s">
        <v>15</v>
      </c>
      <c r="D5" s="4" t="s">
        <v>21</v>
      </c>
      <c r="E5" s="4" t="s">
        <v>22</v>
      </c>
      <c r="F5" s="4" t="s">
        <v>23</v>
      </c>
      <c r="G5" s="4" t="s">
        <v>18</v>
      </c>
      <c r="H5" s="6">
        <v>50422</v>
      </c>
      <c r="I5" s="4" t="s">
        <v>24</v>
      </c>
      <c r="J5" s="4" t="s">
        <v>25</v>
      </c>
      <c r="K5" s="4" t="s">
        <v>26</v>
      </c>
      <c r="L5" s="4" t="s">
        <v>27</v>
      </c>
    </row>
    <row r="6" spans="1:12" ht="30" customHeight="1" x14ac:dyDescent="0.25">
      <c r="A6" s="4" t="s">
        <v>70</v>
      </c>
      <c r="B6" s="4" t="s">
        <v>14</v>
      </c>
      <c r="C6" s="4" t="s">
        <v>15</v>
      </c>
      <c r="D6" s="4" t="s">
        <v>28</v>
      </c>
      <c r="F6" s="4" t="s">
        <v>29</v>
      </c>
      <c r="G6" s="4" t="s">
        <v>30</v>
      </c>
      <c r="H6" s="6">
        <v>28155.55</v>
      </c>
      <c r="I6" s="4" t="s">
        <v>31</v>
      </c>
      <c r="K6" s="4" t="s">
        <v>32</v>
      </c>
    </row>
    <row r="7" spans="1:12" ht="30" customHeight="1" x14ac:dyDescent="0.25">
      <c r="A7" s="4" t="s">
        <v>71</v>
      </c>
      <c r="B7" s="4" t="s">
        <v>33</v>
      </c>
      <c r="C7" s="4" t="s">
        <v>15</v>
      </c>
      <c r="D7" s="4" t="s">
        <v>34</v>
      </c>
      <c r="F7" s="4" t="s">
        <v>35</v>
      </c>
      <c r="G7" s="4" t="s">
        <v>30</v>
      </c>
      <c r="H7" s="6">
        <v>37378</v>
      </c>
      <c r="I7" s="4" t="s">
        <v>36</v>
      </c>
      <c r="K7" s="4" t="s">
        <v>37</v>
      </c>
    </row>
    <row r="8" spans="1:12" ht="30" customHeight="1" x14ac:dyDescent="0.25">
      <c r="A8" s="4" t="s">
        <v>72</v>
      </c>
      <c r="B8" s="4" t="s">
        <v>14</v>
      </c>
      <c r="C8" s="4" t="s">
        <v>15</v>
      </c>
      <c r="D8" s="4" t="s">
        <v>38</v>
      </c>
      <c r="E8" s="4" t="s">
        <v>42</v>
      </c>
      <c r="F8" s="4" t="s">
        <v>39</v>
      </c>
      <c r="G8" s="4" t="s">
        <v>18</v>
      </c>
      <c r="H8" s="6">
        <v>84317</v>
      </c>
      <c r="I8" s="4" t="s">
        <v>40</v>
      </c>
      <c r="K8" s="4" t="s">
        <v>41</v>
      </c>
    </row>
    <row r="9" spans="1:12" ht="30" customHeight="1" x14ac:dyDescent="0.25">
      <c r="A9" s="4" t="s">
        <v>73</v>
      </c>
      <c r="B9" s="4" t="s">
        <v>33</v>
      </c>
      <c r="C9" s="4" t="s">
        <v>15</v>
      </c>
      <c r="D9" s="4" t="s">
        <v>43</v>
      </c>
      <c r="F9" s="4" t="s">
        <v>44</v>
      </c>
      <c r="G9" s="4" t="s">
        <v>18</v>
      </c>
      <c r="H9" s="6">
        <v>21811.83</v>
      </c>
      <c r="K9" s="4" t="s">
        <v>45</v>
      </c>
    </row>
    <row r="10" spans="1:12" ht="30" customHeight="1" x14ac:dyDescent="0.25">
      <c r="A10" s="4" t="s">
        <v>46</v>
      </c>
      <c r="B10" s="4" t="s">
        <v>33</v>
      </c>
      <c r="C10" s="4" t="s">
        <v>47</v>
      </c>
      <c r="D10" s="4" t="s">
        <v>48</v>
      </c>
      <c r="F10" s="4" t="s">
        <v>49</v>
      </c>
      <c r="G10" s="4" t="s">
        <v>18</v>
      </c>
      <c r="H10" s="6">
        <v>18399.5</v>
      </c>
      <c r="I10" s="4" t="s">
        <v>50</v>
      </c>
      <c r="K10" s="4" t="s">
        <v>51</v>
      </c>
    </row>
    <row r="11" spans="1:12" ht="30" customHeight="1" x14ac:dyDescent="0.25">
      <c r="A11" s="4" t="s">
        <v>74</v>
      </c>
      <c r="B11" s="4" t="s">
        <v>33</v>
      </c>
      <c r="C11" s="4" t="s">
        <v>15</v>
      </c>
      <c r="D11" s="4" t="s">
        <v>52</v>
      </c>
      <c r="F11" s="4" t="s">
        <v>53</v>
      </c>
      <c r="G11" s="4" t="s">
        <v>30</v>
      </c>
      <c r="H11" s="6">
        <v>8250.33</v>
      </c>
      <c r="I11" s="4" t="s">
        <v>54</v>
      </c>
      <c r="K11" s="4" t="s">
        <v>55</v>
      </c>
    </row>
    <row r="12" spans="1:12" ht="30" customHeight="1" x14ac:dyDescent="0.25">
      <c r="A12" s="4" t="s">
        <v>75</v>
      </c>
      <c r="B12" s="4" t="s">
        <v>33</v>
      </c>
      <c r="C12" s="4" t="s">
        <v>15</v>
      </c>
      <c r="D12" s="4" t="s">
        <v>56</v>
      </c>
      <c r="F12" s="4" t="s">
        <v>57</v>
      </c>
      <c r="G12" s="4" t="s">
        <v>18</v>
      </c>
      <c r="H12" s="6">
        <v>48749.81</v>
      </c>
      <c r="I12" s="4" t="s">
        <v>58</v>
      </c>
      <c r="K12" s="4" t="s">
        <v>59</v>
      </c>
    </row>
    <row r="13" spans="1:12" ht="30" customHeight="1" x14ac:dyDescent="0.25">
      <c r="A13" s="4" t="s">
        <v>76</v>
      </c>
      <c r="B13" s="4" t="s">
        <v>14</v>
      </c>
      <c r="C13" s="4" t="s">
        <v>15</v>
      </c>
      <c r="D13" s="4" t="s">
        <v>60</v>
      </c>
      <c r="F13" s="4" t="s">
        <v>61</v>
      </c>
      <c r="G13" s="4" t="s">
        <v>62</v>
      </c>
      <c r="H13" s="6">
        <v>35156</v>
      </c>
      <c r="I13" s="4" t="s">
        <v>63</v>
      </c>
      <c r="K13" s="4" t="s">
        <v>64</v>
      </c>
    </row>
    <row r="14" spans="1:12" ht="30" customHeight="1" x14ac:dyDescent="0.25">
      <c r="A14" s="4" t="s">
        <v>77</v>
      </c>
      <c r="B14" s="4" t="s">
        <v>14</v>
      </c>
      <c r="C14" s="4" t="s">
        <v>15</v>
      </c>
      <c r="D14" s="4" t="s">
        <v>65</v>
      </c>
      <c r="F14" s="4" t="s">
        <v>17</v>
      </c>
      <c r="G14" s="4" t="s">
        <v>18</v>
      </c>
      <c r="H14" s="6">
        <v>22494.400000000001</v>
      </c>
      <c r="K14" s="4" t="s">
        <v>66</v>
      </c>
    </row>
    <row r="15" spans="1:12" x14ac:dyDescent="0.25">
      <c r="A15" s="7"/>
      <c r="B15" s="7"/>
      <c r="C15" s="7"/>
      <c r="D15" s="7" t="s">
        <v>67</v>
      </c>
      <c r="E15" s="7"/>
      <c r="F15" s="7"/>
      <c r="G15" s="7"/>
      <c r="H15" s="8">
        <f>SUM(H4:H14)</f>
        <v>409067.72000000003</v>
      </c>
      <c r="I15" s="7"/>
      <c r="J15" s="7"/>
      <c r="K15" s="7"/>
      <c r="L15" s="7"/>
    </row>
  </sheetData>
  <mergeCells count="2">
    <mergeCell ref="A2:F2"/>
    <mergeCell ref="G2:L2"/>
  </mergeCells>
  <pageMargins left="0.7" right="0.7" top="0.75" bottom="0.75" header="0.3" footer="0.3"/>
  <pageSetup paperSize="5" scale="7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A49F-9002-4339-9D96-F8A9AE2AD88D}">
  <sheetPr>
    <pageSetUpPr fitToPage="1"/>
  </sheetPr>
  <dimension ref="A1:H25"/>
  <sheetViews>
    <sheetView workbookViewId="0">
      <selection activeCell="L12" sqref="L12"/>
    </sheetView>
  </sheetViews>
  <sheetFormatPr defaultRowHeight="15" x14ac:dyDescent="0.25"/>
  <cols>
    <col min="1" max="1" width="21.42578125" customWidth="1"/>
    <col min="2" max="2" width="10.28515625" customWidth="1"/>
    <col min="3" max="3" width="27.5703125" customWidth="1"/>
    <col min="4" max="4" width="16.42578125" customWidth="1"/>
    <col min="5" max="5" width="12" customWidth="1"/>
    <col min="6" max="6" width="17.140625" customWidth="1"/>
    <col min="7" max="7" width="15.28515625" customWidth="1"/>
    <col min="8" max="8" width="17.5703125" customWidth="1"/>
  </cols>
  <sheetData>
    <row r="1" spans="1:8" x14ac:dyDescent="0.25">
      <c r="E1" s="2"/>
      <c r="H1" s="2">
        <v>45881.999988425923</v>
      </c>
    </row>
    <row r="2" spans="1:8" x14ac:dyDescent="0.25">
      <c r="A2" s="15" t="s">
        <v>0</v>
      </c>
      <c r="B2" s="15"/>
      <c r="C2" s="16"/>
      <c r="D2" s="16"/>
      <c r="E2" s="17" t="s">
        <v>78</v>
      </c>
      <c r="F2" s="16"/>
      <c r="G2" s="16"/>
      <c r="H2" s="16"/>
    </row>
    <row r="3" spans="1:8" x14ac:dyDescent="0.25">
      <c r="A3" t="s">
        <v>7</v>
      </c>
      <c r="B3" t="s">
        <v>83</v>
      </c>
      <c r="C3" t="s">
        <v>8</v>
      </c>
      <c r="D3" t="s">
        <v>79</v>
      </c>
      <c r="E3" t="s">
        <v>80</v>
      </c>
      <c r="F3" t="s">
        <v>81</v>
      </c>
      <c r="G3" t="s">
        <v>84</v>
      </c>
      <c r="H3" t="s">
        <v>82</v>
      </c>
    </row>
    <row r="4" spans="1:8" ht="27" customHeight="1" x14ac:dyDescent="0.25">
      <c r="A4" t="s">
        <v>35</v>
      </c>
      <c r="C4" t="s">
        <v>30</v>
      </c>
      <c r="D4" s="1">
        <v>950</v>
      </c>
      <c r="E4" s="1">
        <v>0</v>
      </c>
      <c r="F4" s="3">
        <v>37303</v>
      </c>
      <c r="G4" s="1"/>
      <c r="H4" s="1">
        <v>37378</v>
      </c>
    </row>
    <row r="5" spans="1:8" ht="27" customHeight="1" x14ac:dyDescent="0.25">
      <c r="D5" s="1"/>
      <c r="E5" s="1"/>
      <c r="F5" s="3"/>
      <c r="G5" s="1"/>
      <c r="H5" s="1"/>
    </row>
    <row r="6" spans="1:8" ht="27" customHeight="1" x14ac:dyDescent="0.25">
      <c r="A6" t="s">
        <v>53</v>
      </c>
      <c r="C6" t="s">
        <v>30</v>
      </c>
      <c r="D6" s="1">
        <v>150</v>
      </c>
      <c r="E6" s="1">
        <v>0</v>
      </c>
      <c r="F6" s="3">
        <v>8175.33</v>
      </c>
      <c r="G6" s="1"/>
      <c r="H6" s="1">
        <v>8250.33</v>
      </c>
    </row>
    <row r="7" spans="1:8" ht="27" customHeight="1" x14ac:dyDescent="0.25">
      <c r="D7" s="1"/>
      <c r="E7" s="1"/>
      <c r="F7" s="1"/>
      <c r="G7" s="1"/>
      <c r="H7" s="1"/>
    </row>
    <row r="8" spans="1:8" ht="27" customHeight="1" x14ac:dyDescent="0.25">
      <c r="A8" t="s">
        <v>17</v>
      </c>
      <c r="C8" t="s">
        <v>18</v>
      </c>
      <c r="D8" s="1">
        <v>1350</v>
      </c>
      <c r="E8" s="1">
        <v>0</v>
      </c>
      <c r="F8" s="1">
        <v>53858.3</v>
      </c>
      <c r="G8" s="1"/>
      <c r="H8" s="1">
        <v>53933.3</v>
      </c>
    </row>
    <row r="9" spans="1:8" ht="27" customHeight="1" x14ac:dyDescent="0.25">
      <c r="A9" t="s">
        <v>17</v>
      </c>
      <c r="C9" t="s">
        <v>18</v>
      </c>
      <c r="D9" s="1">
        <v>650</v>
      </c>
      <c r="E9" s="1">
        <v>0</v>
      </c>
      <c r="F9" s="1">
        <v>22419.4</v>
      </c>
      <c r="G9" s="3">
        <f>SUM(F8:F9)</f>
        <v>76277.700000000012</v>
      </c>
      <c r="H9" s="1">
        <v>22494.400000000001</v>
      </c>
    </row>
    <row r="10" spans="1:8" ht="27" customHeight="1" x14ac:dyDescent="0.25">
      <c r="D10" s="1"/>
      <c r="E10" s="1"/>
      <c r="F10" s="1"/>
      <c r="G10" s="1"/>
      <c r="H10" s="1"/>
    </row>
    <row r="11" spans="1:8" ht="27" customHeight="1" x14ac:dyDescent="0.25">
      <c r="A11" t="s">
        <v>39</v>
      </c>
      <c r="C11" t="s">
        <v>18</v>
      </c>
      <c r="D11" s="1">
        <v>1500</v>
      </c>
      <c r="E11" s="1">
        <v>0</v>
      </c>
      <c r="F11" s="3">
        <v>84242</v>
      </c>
      <c r="G11" s="1"/>
      <c r="H11" s="1">
        <v>84317</v>
      </c>
    </row>
    <row r="12" spans="1:8" ht="27" customHeight="1" x14ac:dyDescent="0.25">
      <c r="D12" s="1"/>
      <c r="E12" s="1"/>
      <c r="F12" s="3"/>
      <c r="G12" s="1"/>
      <c r="H12" s="1"/>
    </row>
    <row r="13" spans="1:8" ht="27" customHeight="1" x14ac:dyDescent="0.25">
      <c r="A13" t="s">
        <v>29</v>
      </c>
      <c r="B13" t="s">
        <v>91</v>
      </c>
      <c r="C13" t="s">
        <v>30</v>
      </c>
      <c r="D13" s="1">
        <v>750</v>
      </c>
      <c r="E13" s="1">
        <v>0</v>
      </c>
      <c r="F13" s="3">
        <v>28080.55</v>
      </c>
      <c r="G13" s="1"/>
      <c r="H13" s="1">
        <v>28155.55</v>
      </c>
    </row>
    <row r="14" spans="1:8" ht="27" customHeight="1" x14ac:dyDescent="0.25">
      <c r="D14" s="1"/>
      <c r="E14" s="1"/>
      <c r="F14" s="3"/>
      <c r="G14" s="1"/>
      <c r="H14" s="1"/>
    </row>
    <row r="15" spans="1:8" ht="27" customHeight="1" x14ac:dyDescent="0.25">
      <c r="A15" t="s">
        <v>23</v>
      </c>
      <c r="C15" t="s">
        <v>18</v>
      </c>
      <c r="D15" s="1">
        <v>1350</v>
      </c>
      <c r="E15" s="1">
        <v>0</v>
      </c>
      <c r="F15" s="3">
        <v>50347</v>
      </c>
      <c r="G15" s="1"/>
      <c r="H15" s="1">
        <v>50422</v>
      </c>
    </row>
    <row r="16" spans="1:8" ht="27" customHeight="1" x14ac:dyDescent="0.25">
      <c r="D16" s="1"/>
      <c r="E16" s="1"/>
      <c r="F16" s="3"/>
      <c r="G16" s="1"/>
      <c r="H16" s="1"/>
    </row>
    <row r="17" spans="1:8" ht="27" customHeight="1" x14ac:dyDescent="0.25">
      <c r="A17" t="s">
        <v>44</v>
      </c>
      <c r="C17" t="s">
        <v>18</v>
      </c>
      <c r="D17" s="1">
        <v>650</v>
      </c>
      <c r="E17" s="1">
        <v>0</v>
      </c>
      <c r="F17" s="3">
        <v>21736.83</v>
      </c>
      <c r="G17" s="1"/>
      <c r="H17" s="1">
        <v>21811.83</v>
      </c>
    </row>
    <row r="18" spans="1:8" ht="27" customHeight="1" x14ac:dyDescent="0.25">
      <c r="D18" s="1"/>
      <c r="E18" s="1"/>
      <c r="F18" s="3"/>
      <c r="G18" s="1"/>
      <c r="H18" s="1"/>
    </row>
    <row r="19" spans="1:8" ht="27" customHeight="1" x14ac:dyDescent="0.25">
      <c r="A19" t="s">
        <v>49</v>
      </c>
      <c r="C19" t="s">
        <v>18</v>
      </c>
      <c r="D19" s="1">
        <v>500</v>
      </c>
      <c r="E19" s="1">
        <v>0</v>
      </c>
      <c r="F19" s="3">
        <v>18324.5</v>
      </c>
      <c r="G19" s="1"/>
      <c r="H19" s="1">
        <v>18399.5</v>
      </c>
    </row>
    <row r="20" spans="1:8" ht="27" customHeight="1" x14ac:dyDescent="0.25">
      <c r="D20" s="1"/>
      <c r="E20" s="1"/>
      <c r="F20" s="3"/>
      <c r="G20" s="1"/>
      <c r="H20" s="1"/>
    </row>
    <row r="21" spans="1:8" ht="27" customHeight="1" x14ac:dyDescent="0.25">
      <c r="A21" t="s">
        <v>57</v>
      </c>
      <c r="C21" t="s">
        <v>18</v>
      </c>
      <c r="D21" s="1">
        <v>1150</v>
      </c>
      <c r="E21" s="1">
        <v>0</v>
      </c>
      <c r="F21" s="3">
        <v>48674.81</v>
      </c>
      <c r="G21" s="1"/>
      <c r="H21" s="1">
        <v>48749.81</v>
      </c>
    </row>
    <row r="22" spans="1:8" ht="27" customHeight="1" x14ac:dyDescent="0.25">
      <c r="D22" s="1"/>
      <c r="E22" s="1"/>
      <c r="F22" s="3"/>
      <c r="G22" s="1"/>
      <c r="H22" s="1"/>
    </row>
    <row r="23" spans="1:8" ht="27" customHeight="1" x14ac:dyDescent="0.25">
      <c r="A23" t="s">
        <v>61</v>
      </c>
      <c r="C23" t="s">
        <v>62</v>
      </c>
      <c r="D23" s="1">
        <v>950</v>
      </c>
      <c r="E23" s="1">
        <v>0</v>
      </c>
      <c r="F23" s="3">
        <v>35081</v>
      </c>
      <c r="G23" s="1"/>
      <c r="H23" s="1">
        <v>35156</v>
      </c>
    </row>
    <row r="24" spans="1:8" ht="15.75" customHeight="1" x14ac:dyDescent="0.25">
      <c r="D24" s="1"/>
      <c r="E24" s="1"/>
      <c r="F24" s="1"/>
      <c r="G24" s="1"/>
      <c r="H24" s="1"/>
    </row>
    <row r="25" spans="1:8" x14ac:dyDescent="0.25">
      <c r="A25" s="9"/>
      <c r="B25" s="9"/>
      <c r="C25" s="9"/>
      <c r="D25" s="10">
        <f>SUM(D4:D23)</f>
        <v>9950</v>
      </c>
      <c r="E25" s="10">
        <f>SUM(E4:E23)</f>
        <v>0</v>
      </c>
      <c r="F25" s="10">
        <f>SUM(F4:F23)</f>
        <v>408242.72</v>
      </c>
      <c r="G25" s="10"/>
      <c r="H25" s="10">
        <f>SUM(H4:H23)</f>
        <v>409067.72</v>
      </c>
    </row>
  </sheetData>
  <mergeCells count="2">
    <mergeCell ref="A2:D2"/>
    <mergeCell ref="E2:H2"/>
  </mergeCells>
  <pageMargins left="0.7" right="0.2" top="0.25" bottom="0.25" header="0.3" footer="0.3"/>
  <pageSetup scale="87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7A0F-52F7-4F88-A73D-A37CC110A496}">
  <sheetPr>
    <pageSetUpPr fitToPage="1"/>
  </sheetPr>
  <dimension ref="A1:E20"/>
  <sheetViews>
    <sheetView workbookViewId="0">
      <selection activeCell="P4" sqref="O4:P5"/>
    </sheetView>
  </sheetViews>
  <sheetFormatPr defaultRowHeight="15" x14ac:dyDescent="0.25"/>
  <cols>
    <col min="1" max="1" width="14.7109375" customWidth="1"/>
    <col min="2" max="2" width="13.85546875" customWidth="1"/>
    <col min="3" max="3" width="14.5703125" customWidth="1"/>
    <col min="4" max="4" width="8.85546875" customWidth="1"/>
    <col min="5" max="5" width="19.5703125" customWidth="1"/>
  </cols>
  <sheetData>
    <row r="1" spans="1:5" ht="15.75" customHeight="1" x14ac:dyDescent="0.25">
      <c r="A1" t="s">
        <v>87</v>
      </c>
      <c r="D1" s="2"/>
      <c r="E1" s="2">
        <v>45881.999988425923</v>
      </c>
    </row>
    <row r="2" spans="1:5" ht="27" customHeight="1" x14ac:dyDescent="0.25">
      <c r="A2" s="15" t="s">
        <v>0</v>
      </c>
      <c r="B2" s="16"/>
      <c r="C2" s="16"/>
      <c r="D2" s="17" t="s">
        <v>85</v>
      </c>
      <c r="E2" s="16"/>
    </row>
    <row r="3" spans="1:5" ht="27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7" customHeight="1" x14ac:dyDescent="0.25">
      <c r="A4" t="s">
        <v>46</v>
      </c>
      <c r="B4" t="s">
        <v>47</v>
      </c>
      <c r="C4" t="s">
        <v>48</v>
      </c>
      <c r="E4" t="s">
        <v>49</v>
      </c>
    </row>
    <row r="5" spans="1:5" ht="27" customHeight="1" x14ac:dyDescent="0.25">
      <c r="A5" s="9"/>
      <c r="B5" s="9"/>
      <c r="C5" s="9" t="s">
        <v>86</v>
      </c>
      <c r="D5" s="9"/>
      <c r="E5" s="9"/>
    </row>
    <row r="10" spans="1:5" x14ac:dyDescent="0.25">
      <c r="A10" t="s">
        <v>88</v>
      </c>
      <c r="B10" s="11"/>
      <c r="C10" s="11"/>
      <c r="D10" s="11"/>
      <c r="E10" s="11"/>
    </row>
    <row r="15" spans="1:5" x14ac:dyDescent="0.25">
      <c r="A15" t="s">
        <v>89</v>
      </c>
      <c r="B15" s="11"/>
      <c r="C15" s="11"/>
      <c r="D15" s="11"/>
      <c r="E15" s="11"/>
    </row>
    <row r="20" spans="1:3" x14ac:dyDescent="0.25">
      <c r="A20" t="s">
        <v>90</v>
      </c>
      <c r="B20" s="11"/>
      <c r="C20" s="11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2025-08-12T19:10:18Z</cp:lastPrinted>
  <dcterms:created xsi:type="dcterms:W3CDTF">2025-08-12T18:30:34Z</dcterms:created>
  <dcterms:modified xsi:type="dcterms:W3CDTF">2025-08-12T20:22:58Z</dcterms:modified>
</cp:coreProperties>
</file>