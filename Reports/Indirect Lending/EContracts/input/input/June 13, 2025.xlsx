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02327166-DC36-47F0-8CF6-0426BD4AEB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H11" i="2"/>
  <c r="H16" i="1"/>
  <c r="E16" i="1"/>
  <c r="D16" i="1"/>
  <c r="C16" i="1"/>
</calcChain>
</file>

<file path=xl/sharedStrings.xml><?xml version="1.0" encoding="utf-8"?>
<sst xmlns="http://schemas.openxmlformats.org/spreadsheetml/2006/main" count="123" uniqueCount="75">
  <si>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</si>
  <si>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</si>
  <si>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</si>
  <si>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</si>
  <si>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</si>
  <si>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</si>
  <si>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</si>
  <si>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</si>
  <si>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</si>
  <si>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</si>
  <si>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Coastal Volkswagon</t>
  </si>
  <si>
    <t>Neli Oliveira</t>
  </si>
  <si>
    <t>Colonial South Chrysler Dodge</t>
  </si>
  <si>
    <t>Rachel Gorham</t>
  </si>
  <si>
    <t>Grieco Toyota</t>
  </si>
  <si>
    <t>Marlene Braganca</t>
  </si>
  <si>
    <t>Herb Chambers Lexus of Hingham</t>
  </si>
  <si>
    <t>Mathieu Ford Sales, Inc</t>
  </si>
  <si>
    <t>T F Murphy Enterprises Inc</t>
  </si>
  <si>
    <t># 7</t>
  </si>
  <si>
    <t>BIANCHINI</t>
  </si>
  <si>
    <t>WILLARDRLW@AOL.COM</t>
  </si>
  <si>
    <t>WILLARD, RENEE</t>
  </si>
  <si>
    <t>E Contract</t>
  </si>
  <si>
    <t>DealerTrack</t>
  </si>
  <si>
    <t>151192277e</t>
  </si>
  <si>
    <t>Lopes</t>
  </si>
  <si>
    <t>JLOW750@AOL.COM</t>
  </si>
  <si>
    <t>CARVALHO, JOHN</t>
  </si>
  <si>
    <t>Route One</t>
  </si>
  <si>
    <t>151192227e</t>
  </si>
  <si>
    <t>LEOPOLD</t>
  </si>
  <si>
    <t>peanutbutter152@gmail.com</t>
  </si>
  <si>
    <t>LEOPOLD-BRANDT, HANNAH</t>
  </si>
  <si>
    <t>151192219e</t>
  </si>
  <si>
    <t>O'LEARY</t>
  </si>
  <si>
    <t>LYDON</t>
  </si>
  <si>
    <t>TREETIGER@COMCAST.NET</t>
  </si>
  <si>
    <t>ONEILL, DENNIS</t>
  </si>
  <si>
    <t>ONEILL, CHRISTINE</t>
  </si>
  <si>
    <t>Paper</t>
  </si>
  <si>
    <t>151192201</t>
  </si>
  <si>
    <t>PAGE</t>
  </si>
  <si>
    <t>CHAUVIN</t>
  </si>
  <si>
    <t>kdavisdriver@yahoo.com</t>
  </si>
  <si>
    <t>STACEY, TINA</t>
  </si>
  <si>
    <t>DAVIS, KEVIN</t>
  </si>
  <si>
    <t>151192194e</t>
  </si>
  <si>
    <t>YAKUBOVA</t>
  </si>
  <si>
    <t>RAMIL.AVERDIYEV@GMAIL.COM</t>
  </si>
  <si>
    <t>ALLAHVERDIYEV, RAMIL</t>
  </si>
  <si>
    <t>151192152e</t>
  </si>
  <si>
    <t>BELMARCE</t>
  </si>
  <si>
    <t>PERRYSN53@GMAIL.COM</t>
  </si>
  <si>
    <t>PERRY, STEPHEN</t>
  </si>
  <si>
    <t>151192144e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</si>
  <si>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</si>
  <si>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</si>
  <si>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</si>
  <si>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</si>
  <si>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</si>
  <si>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</si>
  <si>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</si>
  <si>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</si>
  <si>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</si>
  <si>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</si>
  <si>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</si>
  <si>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</si>
  <si>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</t>
  </si>
  <si>
    <t>Received By________________________________________________________________________</t>
  </si>
  <si>
    <t>Delivered By________________________________________________________________________</t>
  </si>
  <si>
    <t># 1</t>
  </si>
  <si>
    <t>Funding Worksheet - Signoff Version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</si>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</sst>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D3F15031-BBE2-46CA-8243-6641E2060B86}"/>
  </cellStyles>
  <dxfs count="26"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6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4DA7000E-108E-4E61-8C7B-973D9F160936}" name="Column1" dataDxfId="0"/>
    <tableColumn id="8" xr3:uid="{75A3C022-EF1C-4E61-A2DB-AF5A1D3403AA}" name="Column2" dataDxfId="1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9D1B42-73C3-4475-AD9E-06C9F39EAD71}" name="Table_13" displayName="Table_13" ref="A3:M11" headerRowDxfId="12" dataDxfId="10" totalsRowDxfId="11">
  <tableColumns count="13">
    <tableColumn id="1" xr3:uid="{00000000-0010-0000-0000-000001000000}" name="Account Number" dataDxfId="25"/>
    <tableColumn id="2" xr3:uid="{00000000-0010-0000-0000-000002000000}" name="Portal" dataDxfId="24"/>
    <tableColumn id="3" xr3:uid="{00000000-0010-0000-0000-000003000000}" name="Contract Type" dataDxfId="23"/>
    <tableColumn id="4" xr3:uid="{00000000-0010-0000-0000-000004000000}" name="Applicant Name" dataDxfId="22"/>
    <tableColumn id="5" xr3:uid="{00000000-0010-0000-0000-000005000000}" name="Co-Applicant Name" dataDxfId="21"/>
    <tableColumn id="6" xr3:uid="{00000000-0010-0000-0000-000006000000}" name="Dealer Name" dataDxfId="20"/>
    <tableColumn id="7" xr3:uid="{00000000-0010-0000-0000-000007000000}" name="Funded by" dataDxfId="19"/>
    <tableColumn id="8" xr3:uid="{00000000-0010-0000-0000-000008000000}" name="Amount Financed" dataDxfId="18"/>
    <tableColumn id="9" xr3:uid="{00000000-0010-0000-0000-000009000000}" name="Applicant Email" dataDxfId="17"/>
    <tableColumn id="10" xr3:uid="{00000000-0010-0000-0000-00000A000000}" name="Co-Applicant Email" dataDxfId="16"/>
    <tableColumn id="11" xr3:uid="{00000000-0010-0000-0000-00000B000000}" name="App MMN" dataDxfId="15"/>
    <tableColumn id="12" xr3:uid="{00000000-0010-0000-0000-00000C000000}" name="Co-App MMN" dataDxfId="14"/>
    <tableColumn id="13" xr3:uid="{00000000-0010-0000-0000-00000D000000}" name="Business Name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6775D1-B0B7-44B9-AB6A-8D39F0CAAE06}" name="Table_14" displayName="Table_14" ref="A3:E5" headerRowDxfId="4" dataDxfId="2" totalsRowDxfId="3">
  <tableColumns count="5">
    <tableColumn id="1" xr3:uid="{00000000-0010-0000-0000-000001000000}" name="Account Number" dataDxfId="9"/>
    <tableColumn id="2" xr3:uid="{00000000-0010-0000-0000-000002000000}" name="Contract Type" dataDxfId="8"/>
    <tableColumn id="3" xr3:uid="{00000000-0010-0000-0000-000003000000}" name="Applicant Name" dataDxfId="7"/>
    <tableColumn id="4" xr3:uid="{00000000-0010-0000-0000-000004000000}" name="Co-Applicant Name" dataDxfId="6"/>
    <tableColumn id="5" xr3:uid="{00000000-0010-0000-0000-000005000000}" name="Dealer 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3" topLeftCell="A4" activePane="bottomLeft" state="frozen"/>
      <selection pane="bottomLeft" activeCell="F11" sqref="F11"/>
    </sheetView>
  </sheetViews>
  <sheetFormatPr defaultRowHeight="15" x14ac:dyDescent="0.25"/>
  <cols>
    <col min="1" max="1" width="32.5703125" bestFit="1" customWidth="1"/>
    <col min="2" max="2" width="17.7109375" bestFit="1" customWidth="1"/>
    <col min="3" max="3" width="11.140625" bestFit="1" customWidth="1"/>
    <col min="4" max="4" width="13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45821</v>
      </c>
      <c r="E1" t="s">
        <v>2</v>
      </c>
      <c r="H1" s="4">
        <v>45821.999988425923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73</v>
      </c>
      <c r="G3" t="s">
        <v>74</v>
      </c>
      <c r="H3" t="s">
        <v>9</v>
      </c>
    </row>
    <row r="4" spans="1:8" x14ac:dyDescent="0.25">
      <c r="A4" t="s">
        <v>10</v>
      </c>
      <c r="B4" t="s">
        <v>11</v>
      </c>
      <c r="C4" s="2">
        <v>1350</v>
      </c>
      <c r="D4" s="2">
        <v>0</v>
      </c>
      <c r="E4" s="2">
        <v>57585.81</v>
      </c>
      <c r="F4" s="2"/>
      <c r="G4" s="2"/>
      <c r="H4" s="2">
        <v>57660.81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650</v>
      </c>
      <c r="D6" s="2">
        <v>0</v>
      </c>
      <c r="E6" s="2">
        <v>22679.58</v>
      </c>
      <c r="F6" s="2"/>
      <c r="G6" s="2"/>
      <c r="H6" s="2">
        <v>22754.58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850</v>
      </c>
      <c r="D8" s="2">
        <v>0</v>
      </c>
      <c r="E8" s="2">
        <v>33316.06</v>
      </c>
      <c r="F8" s="2"/>
      <c r="G8" s="2"/>
      <c r="H8" s="2">
        <v>33391.06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16</v>
      </c>
      <c r="B10" t="s">
        <v>11</v>
      </c>
      <c r="C10" s="2">
        <v>850</v>
      </c>
      <c r="D10" s="2">
        <v>0</v>
      </c>
      <c r="E10" s="2">
        <v>31882.880000000001</v>
      </c>
      <c r="F10" s="2"/>
      <c r="G10" s="2"/>
      <c r="H10" s="2">
        <v>31957.88</v>
      </c>
    </row>
    <row r="11" spans="1:8" x14ac:dyDescent="0.25">
      <c r="A11" t="s">
        <v>16</v>
      </c>
      <c r="B11" t="s">
        <v>11</v>
      </c>
      <c r="C11" s="2">
        <v>650</v>
      </c>
      <c r="D11" s="2">
        <v>0</v>
      </c>
      <c r="E11" s="2">
        <v>21804.13</v>
      </c>
      <c r="F11" s="2">
        <f>SUM(E10:E11)</f>
        <v>53687.01</v>
      </c>
      <c r="G11" s="2"/>
      <c r="H11" s="2">
        <v>21879.13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13</v>
      </c>
      <c r="C13" s="2">
        <v>750</v>
      </c>
      <c r="D13" s="2">
        <v>0</v>
      </c>
      <c r="E13" s="2">
        <v>26066.44</v>
      </c>
      <c r="F13" s="2"/>
      <c r="G13" s="2"/>
      <c r="H13" s="2">
        <v>26141.439999999999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18</v>
      </c>
      <c r="B15" t="s">
        <v>13</v>
      </c>
      <c r="C15" s="2">
        <v>500</v>
      </c>
      <c r="D15" s="2">
        <v>0</v>
      </c>
      <c r="E15" s="2">
        <v>17897.939999999999</v>
      </c>
      <c r="F15" s="2"/>
      <c r="G15" s="2"/>
      <c r="H15" s="2">
        <v>17972.939999999999</v>
      </c>
    </row>
    <row r="16" spans="1:8" x14ac:dyDescent="0.25">
      <c r="A16" s="1"/>
      <c r="B16" s="1"/>
      <c r="C16" s="3">
        <f>SUM(C4:C15)</f>
        <v>5600</v>
      </c>
      <c r="D16" s="3">
        <f>SUM(D4:D15)</f>
        <v>0</v>
      </c>
      <c r="E16" s="3">
        <f>SUM(E4:E15)</f>
        <v>211232.84</v>
      </c>
      <c r="F16" s="3"/>
      <c r="G16" s="3"/>
      <c r="H16" s="3">
        <f>SUM(H4:H15)</f>
        <v>211757.84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832A-48BF-4D69-8E3D-C319C9435E9B}">
  <sheetPr>
    <pageSetUpPr fitToPage="1"/>
  </sheetPr>
  <dimension ref="A1:O17"/>
  <sheetViews>
    <sheetView workbookViewId="0">
      <pane ySplit="3" topLeftCell="A4" activePane="bottomLeft" state="frozen"/>
      <selection pane="bottomLeft" activeCell="E8" sqref="E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7.140625" style="8" bestFit="1" customWidth="1"/>
    <col min="5" max="5" width="18.7109375" style="8" bestFit="1" customWidth="1"/>
    <col min="6" max="6" width="32.5703125" style="8" bestFit="1" customWidth="1"/>
    <col min="7" max="7" width="17.7109375" style="8" bestFit="1" customWidth="1"/>
    <col min="8" max="8" width="17.140625" style="8" bestFit="1" customWidth="1"/>
    <col min="9" max="9" width="30.28515625" style="8" bestFit="1" customWidth="1"/>
    <col min="10" max="10" width="24.28515625" style="8" bestFit="1" customWidth="1"/>
    <col min="11" max="11" width="13.7109375" style="8" bestFit="1" customWidth="1"/>
    <col min="12" max="12" width="12.85546875" style="8" bestFit="1" customWidth="1"/>
    <col min="13" max="13" width="15.140625" style="8" bestFit="1" customWidth="1"/>
    <col min="14" max="16384" width="9.140625" style="8"/>
  </cols>
  <sheetData>
    <row r="1" spans="1:15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45821</v>
      </c>
      <c r="L1" s="9" t="s">
        <v>2</v>
      </c>
      <c r="M1" s="10">
        <v>45821.999988425923</v>
      </c>
      <c r="N1" s="9"/>
      <c r="O1" s="9"/>
    </row>
    <row r="2" spans="1:15" ht="35.1" customHeight="1" x14ac:dyDescent="0.25">
      <c r="A2" s="11" t="s">
        <v>0</v>
      </c>
      <c r="B2" s="12"/>
      <c r="C2" s="12"/>
      <c r="D2" s="12"/>
      <c r="E2" s="12"/>
      <c r="F2" s="12"/>
      <c r="G2" s="13" t="s">
        <v>67</v>
      </c>
      <c r="H2" s="12"/>
      <c r="I2" s="12"/>
      <c r="J2" s="12"/>
      <c r="K2" s="12"/>
      <c r="L2" s="12"/>
      <c r="M2" s="12"/>
      <c r="N2" s="9"/>
      <c r="O2" s="9"/>
    </row>
    <row r="3" spans="1:15" ht="35.1" customHeight="1" x14ac:dyDescent="0.25">
      <c r="A3" s="9" t="s">
        <v>66</v>
      </c>
      <c r="B3" s="9" t="s">
        <v>65</v>
      </c>
      <c r="C3" s="9" t="s">
        <v>64</v>
      </c>
      <c r="D3" s="9" t="s">
        <v>63</v>
      </c>
      <c r="E3" s="9" t="s">
        <v>62</v>
      </c>
      <c r="F3" s="9" t="s">
        <v>4</v>
      </c>
      <c r="G3" s="9" t="s">
        <v>5</v>
      </c>
      <c r="H3" s="9" t="s">
        <v>61</v>
      </c>
      <c r="I3" s="9" t="s">
        <v>60</v>
      </c>
      <c r="J3" s="9" t="s">
        <v>59</v>
      </c>
      <c r="K3" s="9" t="s">
        <v>58</v>
      </c>
      <c r="L3" s="9" t="s">
        <v>57</v>
      </c>
      <c r="M3" s="9" t="s">
        <v>56</v>
      </c>
      <c r="N3" s="9"/>
      <c r="O3" s="9"/>
    </row>
    <row r="4" spans="1:15" ht="35.1" customHeight="1" x14ac:dyDescent="0.25">
      <c r="A4" s="9" t="s">
        <v>55</v>
      </c>
      <c r="B4" s="9" t="s">
        <v>29</v>
      </c>
      <c r="C4" s="9" t="s">
        <v>23</v>
      </c>
      <c r="D4" s="9" t="s">
        <v>54</v>
      </c>
      <c r="E4" s="9"/>
      <c r="F4" s="9" t="s">
        <v>16</v>
      </c>
      <c r="G4" s="9" t="s">
        <v>11</v>
      </c>
      <c r="H4" s="14">
        <v>21879.13</v>
      </c>
      <c r="I4" s="9" t="s">
        <v>53</v>
      </c>
      <c r="J4" s="9"/>
      <c r="K4" s="9" t="s">
        <v>52</v>
      </c>
      <c r="L4" s="9"/>
      <c r="M4" s="9"/>
      <c r="N4" s="9"/>
      <c r="O4" s="9"/>
    </row>
    <row r="5" spans="1:15" ht="35.1" customHeight="1" x14ac:dyDescent="0.25">
      <c r="A5" s="9" t="s">
        <v>51</v>
      </c>
      <c r="B5" s="9" t="s">
        <v>29</v>
      </c>
      <c r="C5" s="9" t="s">
        <v>23</v>
      </c>
      <c r="D5" s="9" t="s">
        <v>50</v>
      </c>
      <c r="E5" s="9"/>
      <c r="F5" s="9" t="s">
        <v>16</v>
      </c>
      <c r="G5" s="9" t="s">
        <v>11</v>
      </c>
      <c r="H5" s="14">
        <v>31957.88</v>
      </c>
      <c r="I5" s="9" t="s">
        <v>49</v>
      </c>
      <c r="J5" s="9"/>
      <c r="K5" s="9" t="s">
        <v>48</v>
      </c>
      <c r="L5" s="9"/>
      <c r="M5" s="9"/>
      <c r="N5" s="9"/>
      <c r="O5" s="9"/>
    </row>
    <row r="6" spans="1:15" ht="35.1" customHeight="1" x14ac:dyDescent="0.25">
      <c r="A6" s="9" t="s">
        <v>47</v>
      </c>
      <c r="B6" s="9" t="s">
        <v>29</v>
      </c>
      <c r="C6" s="9" t="s">
        <v>23</v>
      </c>
      <c r="D6" s="9" t="s">
        <v>46</v>
      </c>
      <c r="E6" s="9" t="s">
        <v>45</v>
      </c>
      <c r="F6" s="9" t="s">
        <v>17</v>
      </c>
      <c r="G6" s="9" t="s">
        <v>13</v>
      </c>
      <c r="H6" s="14">
        <v>26141.439999999999</v>
      </c>
      <c r="I6" s="9" t="s">
        <v>44</v>
      </c>
      <c r="J6" s="9" t="s">
        <v>44</v>
      </c>
      <c r="K6" s="9" t="s">
        <v>43</v>
      </c>
      <c r="L6" s="9" t="s">
        <v>42</v>
      </c>
      <c r="M6" s="9"/>
      <c r="N6" s="9"/>
      <c r="O6" s="9"/>
    </row>
    <row r="7" spans="1:15" ht="35.1" customHeight="1" x14ac:dyDescent="0.25">
      <c r="A7" s="9" t="s">
        <v>41</v>
      </c>
      <c r="B7" s="9" t="s">
        <v>29</v>
      </c>
      <c r="C7" s="9" t="s">
        <v>40</v>
      </c>
      <c r="D7" s="9" t="s">
        <v>39</v>
      </c>
      <c r="E7" s="9" t="s">
        <v>38</v>
      </c>
      <c r="F7" s="9" t="s">
        <v>18</v>
      </c>
      <c r="G7" s="9" t="s">
        <v>13</v>
      </c>
      <c r="H7" s="14">
        <v>17972.939999999999</v>
      </c>
      <c r="I7" s="9" t="s">
        <v>37</v>
      </c>
      <c r="J7" s="9"/>
      <c r="K7" s="9" t="s">
        <v>36</v>
      </c>
      <c r="L7" s="9" t="s">
        <v>35</v>
      </c>
      <c r="M7" s="9"/>
      <c r="N7" s="9"/>
      <c r="O7" s="9"/>
    </row>
    <row r="8" spans="1:15" ht="35.1" customHeight="1" x14ac:dyDescent="0.25">
      <c r="A8" s="9" t="s">
        <v>34</v>
      </c>
      <c r="B8" s="9" t="s">
        <v>29</v>
      </c>
      <c r="C8" s="9" t="s">
        <v>23</v>
      </c>
      <c r="D8" s="9" t="s">
        <v>33</v>
      </c>
      <c r="E8" s="9"/>
      <c r="F8" s="9" t="s">
        <v>12</v>
      </c>
      <c r="G8" s="9" t="s">
        <v>13</v>
      </c>
      <c r="H8" s="14">
        <v>22754.58</v>
      </c>
      <c r="I8" s="9" t="s">
        <v>32</v>
      </c>
      <c r="J8" s="9"/>
      <c r="K8" s="9" t="s">
        <v>31</v>
      </c>
      <c r="L8" s="9"/>
      <c r="M8" s="9"/>
      <c r="N8" s="9"/>
      <c r="O8" s="9"/>
    </row>
    <row r="9" spans="1:15" ht="35.1" customHeight="1" x14ac:dyDescent="0.25">
      <c r="A9" s="9" t="s">
        <v>30</v>
      </c>
      <c r="B9" s="9" t="s">
        <v>29</v>
      </c>
      <c r="C9" s="9" t="s">
        <v>23</v>
      </c>
      <c r="D9" s="9" t="s">
        <v>28</v>
      </c>
      <c r="E9" s="9"/>
      <c r="F9" s="9" t="s">
        <v>14</v>
      </c>
      <c r="G9" s="9" t="s">
        <v>15</v>
      </c>
      <c r="H9" s="14">
        <v>33391.06</v>
      </c>
      <c r="I9" s="9" t="s">
        <v>27</v>
      </c>
      <c r="J9" s="9"/>
      <c r="K9" s="9" t="s">
        <v>26</v>
      </c>
      <c r="L9" s="9"/>
      <c r="M9" s="9"/>
      <c r="N9" s="9"/>
      <c r="O9" s="9"/>
    </row>
    <row r="10" spans="1:15" ht="35.1" customHeight="1" x14ac:dyDescent="0.25">
      <c r="A10" s="9" t="s">
        <v>25</v>
      </c>
      <c r="B10" s="9" t="s">
        <v>24</v>
      </c>
      <c r="C10" s="9" t="s">
        <v>23</v>
      </c>
      <c r="D10" s="9" t="s">
        <v>22</v>
      </c>
      <c r="E10" s="9"/>
      <c r="F10" s="9" t="s">
        <v>10</v>
      </c>
      <c r="G10" s="9" t="s">
        <v>11</v>
      </c>
      <c r="H10" s="14">
        <v>57660.81</v>
      </c>
      <c r="I10" s="9" t="s">
        <v>21</v>
      </c>
      <c r="J10" s="9"/>
      <c r="K10" s="9" t="s">
        <v>20</v>
      </c>
      <c r="L10" s="9"/>
      <c r="M10" s="9"/>
      <c r="N10" s="9"/>
      <c r="O10" s="9"/>
    </row>
    <row r="11" spans="1:15" ht="35.1" customHeight="1" x14ac:dyDescent="0.25">
      <c r="A11" s="15"/>
      <c r="B11" s="15"/>
      <c r="C11" s="15"/>
      <c r="D11" s="15" t="s">
        <v>19</v>
      </c>
      <c r="E11" s="15"/>
      <c r="F11" s="15"/>
      <c r="G11" s="15"/>
      <c r="H11" s="16">
        <f>SUM(H4:H10)</f>
        <v>211757.84</v>
      </c>
      <c r="I11" s="15"/>
      <c r="J11" s="15"/>
      <c r="K11" s="15"/>
      <c r="L11" s="15"/>
      <c r="M11" s="15"/>
      <c r="N11" s="9"/>
      <c r="O11" s="9"/>
    </row>
    <row r="12" spans="1:15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35.1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35.1" customHeight="1" x14ac:dyDescent="0.25"/>
    <row r="15" spans="1:15" ht="35.1" customHeight="1" x14ac:dyDescent="0.25"/>
    <row r="16" spans="1:15" ht="35.1" customHeight="1" x14ac:dyDescent="0.25"/>
    <row r="17" s="8" customFormat="1" ht="35.1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5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78B9-F353-4D13-997D-F9782D08D34A}">
  <sheetPr>
    <pageSetUpPr fitToPage="1"/>
  </sheetPr>
  <dimension ref="A1:E25"/>
  <sheetViews>
    <sheetView workbookViewId="0">
      <pane ySplit="3" topLeftCell="A4" activePane="bottomLeft" state="frozen"/>
      <selection pane="bottomLeft" activeCell="C12" sqref="C12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7.140625" style="8" bestFit="1" customWidth="1"/>
    <col min="4" max="4" width="18.7109375" style="8" bestFit="1" customWidth="1"/>
    <col min="5" max="5" width="32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45821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72</v>
      </c>
      <c r="E2" s="12"/>
    </row>
    <row r="3" spans="1:5" x14ac:dyDescent="0.25">
      <c r="A3" s="9" t="s">
        <v>66</v>
      </c>
      <c r="B3" s="9" t="s">
        <v>64</v>
      </c>
      <c r="C3" s="9" t="s">
        <v>63</v>
      </c>
      <c r="D3" s="9" t="s">
        <v>62</v>
      </c>
      <c r="E3" s="9" t="s">
        <v>4</v>
      </c>
    </row>
    <row r="4" spans="1:5" x14ac:dyDescent="0.25">
      <c r="A4" s="9" t="s">
        <v>41</v>
      </c>
      <c r="B4" s="9" t="s">
        <v>40</v>
      </c>
      <c r="C4" s="9" t="s">
        <v>39</v>
      </c>
      <c r="D4" s="9" t="s">
        <v>38</v>
      </c>
      <c r="E4" s="9" t="s">
        <v>18</v>
      </c>
    </row>
    <row r="5" spans="1:5" x14ac:dyDescent="0.25">
      <c r="A5" s="15"/>
      <c r="B5" s="15"/>
      <c r="C5" s="15" t="s">
        <v>71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70</v>
      </c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69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 t="s">
        <v>68</v>
      </c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</sheetData>
  <mergeCells count="2">
    <mergeCell ref="A2:C2"/>
    <mergeCell ref="D2:E2"/>
  </mergeCells>
  <pageMargins left="0.7" right="0.7" top="0.75" bottom="0.75" header="0.3" footer="0.3"/>
  <pageSetup scale="8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2025-06-13T18:10:35Z</cp:lastPrinted>
  <dcterms:created xsi:type="dcterms:W3CDTF">2025-06-13T18:05:42Z</dcterms:created>
  <dcterms:modified xsi:type="dcterms:W3CDTF">2025-06-13T18:11:08Z</dcterms:modified>
</cp:coreProperties>
</file>