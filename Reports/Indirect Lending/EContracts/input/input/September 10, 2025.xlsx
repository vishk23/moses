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3221205\Desktop\"/>
    </mc:Choice>
  </mc:AlternateContent>
  <xr:revisionPtr revIDLastSave="0" documentId="8_{5B1E4A6C-6631-45F1-B432-57AEF76EDD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F11" i="1"/>
  <c r="F14" i="1"/>
  <c r="F23" i="1"/>
  <c r="F27" i="1"/>
  <c r="H34" i="1"/>
  <c r="E34" i="1"/>
  <c r="D34" i="1"/>
  <c r="C34" i="1"/>
</calcChain>
</file>

<file path=xl/sharedStrings.xml><?xml version="1.0" encoding="utf-8"?>
<sst xmlns="http://schemas.openxmlformats.org/spreadsheetml/2006/main" count="229" uniqueCount="122">
  <si>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</si>
  <si>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</si>
  <si>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</si>
  <si>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</si>
  <si>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</si>
  <si>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</si>
  <si>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</si>
  <si>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</si>
  <si>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</si>
  <si>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</si>
  <si>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</si>
  <si>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Rachel Gorham</t>
  </si>
  <si>
    <t>Bald Hill Dodge Chrysler</t>
  </si>
  <si>
    <t>Neli Oliveira</t>
  </si>
  <si>
    <t>Bourne Enterprises Inc</t>
  </si>
  <si>
    <t>Colonial Ford Inc</t>
  </si>
  <si>
    <t>Grieco Enterprises, LLC d/b/a</t>
  </si>
  <si>
    <t>Grieco Toyota</t>
  </si>
  <si>
    <t>Mastria Mazda</t>
  </si>
  <si>
    <t>NARSA AMC LLC d/b/a</t>
  </si>
  <si>
    <t>Patriot Auto Group Inc d/b/a</t>
  </si>
  <si>
    <t>Planet Subaru</t>
  </si>
  <si>
    <t>Salvadore Chevrolet</t>
  </si>
  <si>
    <t>Salvadore Chrysler</t>
  </si>
  <si>
    <t>Tasca Ford</t>
  </si>
  <si>
    <t>Column1</t>
  </si>
  <si>
    <t>Column2</t>
  </si>
  <si>
    <t># 18</t>
  </si>
  <si>
    <t>RYEN</t>
  </si>
  <si>
    <t>ARGREGG529@HOTMAIL.COM</t>
  </si>
  <si>
    <t>GREGG, ANIKA</t>
  </si>
  <si>
    <t>E Contract</t>
  </si>
  <si>
    <t>DealerTrack</t>
  </si>
  <si>
    <t>151223022e</t>
  </si>
  <si>
    <t>TAUARA</t>
  </si>
  <si>
    <t>campeondc90@gmail.com</t>
  </si>
  <si>
    <t>CUENCA, DIEGO</t>
  </si>
  <si>
    <t>Route One</t>
  </si>
  <si>
    <t>151223014e</t>
  </si>
  <si>
    <t>LYONS</t>
  </si>
  <si>
    <t>STEVENLYONSSTEVENLYONS@GMAIL.COM</t>
  </si>
  <si>
    <t>LYONS, STEVEN</t>
  </si>
  <si>
    <t>151222991e</t>
  </si>
  <si>
    <t>COSTA</t>
  </si>
  <si>
    <t>RICHGEADAPHOTO@AOL.COM</t>
  </si>
  <si>
    <t>GEADA, RICHARD</t>
  </si>
  <si>
    <t>151222983e</t>
  </si>
  <si>
    <t>BERNARDO</t>
  </si>
  <si>
    <t>KELLIPELLETIER@GMAIL.COM</t>
  </si>
  <si>
    <t>PELLETIER, KELLI</t>
  </si>
  <si>
    <t>151222975e</t>
  </si>
  <si>
    <t>MAGZ521@VERIZON.NET</t>
  </si>
  <si>
    <t>MAGNAN, SHERRILL</t>
  </si>
  <si>
    <t>151222967e</t>
  </si>
  <si>
    <t>BERGER</t>
  </si>
  <si>
    <t>rfderbehringercpa@comcast.net</t>
  </si>
  <si>
    <t>Behringer, Robert</t>
  </si>
  <si>
    <t>151222959e</t>
  </si>
  <si>
    <t>CAROL</t>
  </si>
  <si>
    <t>ABENTZ21@GMAIL.COM</t>
  </si>
  <si>
    <t>BENTZ, AIRAMI</t>
  </si>
  <si>
    <t>151222941e</t>
  </si>
  <si>
    <t>YEO</t>
  </si>
  <si>
    <t>SHAW.MIKE@GMAIL.COM</t>
  </si>
  <si>
    <t>SHAW, MICHAEL</t>
  </si>
  <si>
    <t>151222933e</t>
  </si>
  <si>
    <t>BOCKEWITZ</t>
  </si>
  <si>
    <t>BARTON</t>
  </si>
  <si>
    <t>MRSDRWALKER@AOL.COM</t>
  </si>
  <si>
    <t>WALKER, BRUCE</t>
  </si>
  <si>
    <t>WALKER, LENORE</t>
  </si>
  <si>
    <t>151222925e</t>
  </si>
  <si>
    <t>KHARDALIAN</t>
  </si>
  <si>
    <t>RAFFIBOUJ@GMAIL.COM</t>
  </si>
  <si>
    <t>YABOUJIAN, RAFFI</t>
  </si>
  <si>
    <t>Paper</t>
  </si>
  <si>
    <t>151222917</t>
  </si>
  <si>
    <t>Rodriguez</t>
  </si>
  <si>
    <t>priscilla.martinez614@gmail.com</t>
  </si>
  <si>
    <t>MARTINEZ, PRISCILLA</t>
  </si>
  <si>
    <t>151222909e</t>
  </si>
  <si>
    <t>NOTI</t>
  </si>
  <si>
    <t>daina91761@gmail.com</t>
  </si>
  <si>
    <t>Cordeiro, DAINA</t>
  </si>
  <si>
    <t>151222892e</t>
  </si>
  <si>
    <t>FOLEY</t>
  </si>
  <si>
    <t>meghanpdoheny@gmail.com</t>
  </si>
  <si>
    <t>DOHENY, MEGHAN</t>
  </si>
  <si>
    <t>151222884e</t>
  </si>
  <si>
    <t>JOHNSON</t>
  </si>
  <si>
    <t>hes5811@aol.com</t>
  </si>
  <si>
    <t>HESSION, CHRISTOPHER</t>
  </si>
  <si>
    <t>151222876e</t>
  </si>
  <si>
    <t>CRONAN</t>
  </si>
  <si>
    <t>Nathansyl@gmail.com</t>
  </si>
  <si>
    <t>SYLVESTER, NATHAN</t>
  </si>
  <si>
    <t>151222868e</t>
  </si>
  <si>
    <t>Delva</t>
  </si>
  <si>
    <t>petersonaugustinn1@gmail.com</t>
  </si>
  <si>
    <t>AUGUSTIN, PETERSON</t>
  </si>
  <si>
    <t>151222850e</t>
  </si>
  <si>
    <t>WILLNER</t>
  </si>
  <si>
    <t>KWILLNER413@GMAIL.COM</t>
  </si>
  <si>
    <t>WILLNER, KYLE</t>
  </si>
  <si>
    <t>151222842e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</si>
  <si>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</si>
  <si>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</si>
  <si>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</si>
  <si>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</si>
  <si>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</si>
  <si>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</si>
  <si>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</si>
  <si>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</si>
  <si>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</si>
  <si>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</si>
  <si>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</si>
  <si>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</t>
  </si>
  <si>
    <t>Received By___________________________________________________________________________</t>
  </si>
  <si>
    <t>Delivered BY__________________________________________________________________________</t>
  </si>
  <si>
    <t># 1</t>
  </si>
  <si>
    <t>Funding Worksheet - Signoff Version</t>
  </si>
  <si>
    <t>5900    6390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</si>
</sst>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3DFF83F7-FB17-43DF-94E9-39EAC8A3DFAA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126805D9-B188-48D1-A7F1-D431F56DD13E}" name="Column1" dataDxfId="24"/>
    <tableColumn id="8" xr3:uid="{16B7DEE1-F320-45C5-AAAB-8044E3468484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E37F9-8AE4-4EE9-AA67-DF0D12AC1C63}" name="Table_13" displayName="Table_13" ref="A3:L22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6FC5C-B4AE-4510-A1D6-E51C2DCB2E64}" name="Table_14" displayName="Table_14" ref="A3:E5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workbookViewId="0">
      <pane ySplit="3" topLeftCell="A4" activePane="bottomLeft" state="frozen"/>
      <selection pane="bottomLeft" activeCell="E33" sqref="E33"/>
    </sheetView>
  </sheetViews>
  <sheetFormatPr defaultRowHeight="15" x14ac:dyDescent="0.25"/>
  <cols>
    <col min="1" max="1" width="27.7109375" bestFit="1" customWidth="1"/>
    <col min="2" max="2" width="15.14062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45910</v>
      </c>
      <c r="E1" t="s">
        <v>2</v>
      </c>
      <c r="H1" s="4">
        <v>45910.999988425923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25</v>
      </c>
      <c r="G3" t="s">
        <v>26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15567.88</v>
      </c>
      <c r="F4" s="2"/>
      <c r="G4" s="2"/>
      <c r="H4" s="2">
        <v>15642.88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650</v>
      </c>
      <c r="D6" s="2">
        <v>0</v>
      </c>
      <c r="E6" s="2">
        <v>20499.2</v>
      </c>
      <c r="F6" s="2"/>
      <c r="G6" s="2"/>
      <c r="H6" s="2">
        <v>20574.2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850</v>
      </c>
      <c r="D8" s="2">
        <v>0</v>
      </c>
      <c r="E8" s="2">
        <v>30000</v>
      </c>
      <c r="F8" s="2"/>
      <c r="G8" s="2"/>
      <c r="H8" s="2">
        <v>30075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1350</v>
      </c>
      <c r="D10" s="2">
        <v>0</v>
      </c>
      <c r="E10" s="2">
        <v>50449.94</v>
      </c>
      <c r="F10" s="2"/>
      <c r="G10" s="2"/>
      <c r="H10" s="2">
        <v>50524.94</v>
      </c>
    </row>
    <row r="11" spans="1:8" x14ac:dyDescent="0.25">
      <c r="A11" t="s">
        <v>15</v>
      </c>
      <c r="B11" t="s">
        <v>13</v>
      </c>
      <c r="C11" s="2">
        <v>750</v>
      </c>
      <c r="D11" s="2">
        <v>0</v>
      </c>
      <c r="E11" s="2">
        <v>29796.880000000001</v>
      </c>
      <c r="F11" s="2">
        <f>SUM(E10:E11)</f>
        <v>80246.820000000007</v>
      </c>
      <c r="G11" s="2"/>
      <c r="H11" s="2">
        <v>29871.88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1050</v>
      </c>
      <c r="D13" s="2">
        <v>0</v>
      </c>
      <c r="E13" s="2">
        <v>41246.49</v>
      </c>
      <c r="F13" s="2"/>
      <c r="G13" s="2"/>
      <c r="H13" s="2">
        <v>41321.49</v>
      </c>
    </row>
    <row r="14" spans="1:8" x14ac:dyDescent="0.25">
      <c r="A14" t="s">
        <v>16</v>
      </c>
      <c r="B14" t="s">
        <v>13</v>
      </c>
      <c r="C14" s="2">
        <v>1350</v>
      </c>
      <c r="D14" s="2">
        <v>0</v>
      </c>
      <c r="E14" s="2">
        <v>54496.59</v>
      </c>
      <c r="F14" s="2">
        <f>SUM(E13:E14)</f>
        <v>95743.079999999987</v>
      </c>
      <c r="G14" s="2"/>
      <c r="H14" s="2">
        <v>54571.59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13</v>
      </c>
      <c r="C16" s="2">
        <v>1050</v>
      </c>
      <c r="D16" s="2">
        <v>0</v>
      </c>
      <c r="E16" s="2">
        <v>41659.4</v>
      </c>
      <c r="F16" s="2"/>
      <c r="G16" s="2"/>
      <c r="H16" s="2">
        <v>41734.400000000001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13</v>
      </c>
      <c r="C18" s="2">
        <v>750</v>
      </c>
      <c r="D18" s="2">
        <v>0</v>
      </c>
      <c r="E18" s="2">
        <v>28179.11</v>
      </c>
      <c r="F18" s="2"/>
      <c r="G18" s="2" t="s">
        <v>121</v>
      </c>
      <c r="H18" s="2">
        <v>28254.11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850</v>
      </c>
      <c r="D20" s="2">
        <v>0</v>
      </c>
      <c r="E20" s="2">
        <v>33072.19</v>
      </c>
      <c r="F20" s="2"/>
      <c r="G20" s="2"/>
      <c r="H20" s="2">
        <v>33147.19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11</v>
      </c>
      <c r="C22" s="2">
        <v>300</v>
      </c>
      <c r="D22" s="2">
        <v>0</v>
      </c>
      <c r="E22" s="2">
        <v>13054.25</v>
      </c>
      <c r="F22" s="2"/>
      <c r="G22" s="2"/>
      <c r="H22" s="2">
        <v>13129.25</v>
      </c>
    </row>
    <row r="23" spans="1:8" x14ac:dyDescent="0.25">
      <c r="A23" t="s">
        <v>20</v>
      </c>
      <c r="B23" t="s">
        <v>13</v>
      </c>
      <c r="C23" s="2">
        <v>500</v>
      </c>
      <c r="D23" s="2">
        <v>0</v>
      </c>
      <c r="E23" s="2">
        <v>15974.19</v>
      </c>
      <c r="F23" s="2">
        <f>SUM(E22:E23)</f>
        <v>29028.440000000002</v>
      </c>
      <c r="G23" s="2"/>
      <c r="H23" s="2">
        <v>16049.19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500</v>
      </c>
      <c r="D25" s="2">
        <v>0</v>
      </c>
      <c r="E25" s="2">
        <v>17607</v>
      </c>
      <c r="F25" s="2"/>
      <c r="G25" s="2"/>
      <c r="H25" s="2">
        <v>17682</v>
      </c>
    </row>
    <row r="26" spans="1:8" x14ac:dyDescent="0.25">
      <c r="A26" t="s">
        <v>21</v>
      </c>
      <c r="B26" t="s">
        <v>11</v>
      </c>
      <c r="C26" s="2">
        <v>650</v>
      </c>
      <c r="D26" s="2">
        <v>0</v>
      </c>
      <c r="E26" s="2">
        <v>21545.75</v>
      </c>
      <c r="F26" s="2"/>
      <c r="G26" s="2"/>
      <c r="H26" s="2">
        <v>21620.75</v>
      </c>
    </row>
    <row r="27" spans="1:8" x14ac:dyDescent="0.25">
      <c r="A27" t="s">
        <v>21</v>
      </c>
      <c r="B27" t="s">
        <v>11</v>
      </c>
      <c r="C27" s="2">
        <v>500</v>
      </c>
      <c r="D27" s="2">
        <v>0</v>
      </c>
      <c r="E27" s="2">
        <v>14933.25</v>
      </c>
      <c r="F27" s="2">
        <f>SUM(E25:E27)</f>
        <v>54086</v>
      </c>
      <c r="G27" s="2"/>
      <c r="H27" s="2">
        <v>15008.25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22</v>
      </c>
      <c r="B29" t="s">
        <v>13</v>
      </c>
      <c r="C29" s="2">
        <v>750</v>
      </c>
      <c r="D29" s="2">
        <v>0</v>
      </c>
      <c r="E29" s="2">
        <v>29909.37</v>
      </c>
      <c r="F29" s="2"/>
      <c r="G29" s="2"/>
      <c r="H29" s="2">
        <v>29984.37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23</v>
      </c>
      <c r="B31" t="s">
        <v>11</v>
      </c>
      <c r="C31" s="2">
        <v>650</v>
      </c>
      <c r="D31" s="2">
        <v>0</v>
      </c>
      <c r="E31" s="2">
        <v>23767.06</v>
      </c>
      <c r="F31" s="2"/>
      <c r="G31" s="2"/>
      <c r="H31" s="2">
        <v>23842.06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24</v>
      </c>
      <c r="B33" t="s">
        <v>13</v>
      </c>
      <c r="C33" s="2">
        <v>650</v>
      </c>
      <c r="D33" s="2">
        <v>0</v>
      </c>
      <c r="E33" s="2">
        <v>24673.88</v>
      </c>
      <c r="F33" s="2"/>
      <c r="G33" s="2"/>
      <c r="H33" s="2">
        <v>24748.880000000001</v>
      </c>
    </row>
    <row r="34" spans="1:8" x14ac:dyDescent="0.25">
      <c r="A34" s="1"/>
      <c r="B34" s="1"/>
      <c r="C34" s="3">
        <f>SUM(C4:C33)</f>
        <v>13650</v>
      </c>
      <c r="D34" s="3">
        <f>SUM(D4:D33)</f>
        <v>0</v>
      </c>
      <c r="E34" s="3">
        <f>SUM(E4:E33)</f>
        <v>506432.43</v>
      </c>
      <c r="F34" s="3"/>
      <c r="G34" s="3"/>
      <c r="H34" s="3">
        <f>SUM(H4:H33)</f>
        <v>507782.43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F283-4C5D-48E4-A2D9-A109524486BF}">
  <sheetPr>
    <pageSetUpPr fitToPage="1"/>
  </sheetPr>
  <dimension ref="A1:L24"/>
  <sheetViews>
    <sheetView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3.5703125" style="5" bestFit="1" customWidth="1"/>
    <col min="5" max="5" width="18.7109375" style="5" bestFit="1" customWidth="1"/>
    <col min="6" max="6" width="27.7109375" style="5" bestFit="1" customWidth="1"/>
    <col min="7" max="7" width="15.140625" style="5" bestFit="1" customWidth="1"/>
    <col min="8" max="8" width="17.140625" style="5" bestFit="1" customWidth="1"/>
    <col min="9" max="9" width="40.28515625" style="5" bestFit="1" customWidth="1"/>
    <col min="10" max="10" width="18.42578125" style="5" bestFit="1" customWidth="1"/>
    <col min="11" max="11" width="19.85546875" style="5" bestFit="1" customWidth="1"/>
    <col min="12" max="12" width="12.85546875" style="5" bestFit="1" customWidth="1"/>
    <col min="13" max="16384" width="9.140625" style="5"/>
  </cols>
  <sheetData>
    <row r="1" spans="1:12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45910</v>
      </c>
      <c r="L1" s="6" t="s">
        <v>2</v>
      </c>
    </row>
    <row r="2" spans="1:12" ht="35.1" customHeight="1" x14ac:dyDescent="0.25">
      <c r="A2" s="14" t="s">
        <v>0</v>
      </c>
      <c r="B2" s="15"/>
      <c r="C2" s="15"/>
      <c r="D2" s="15"/>
      <c r="E2" s="15"/>
      <c r="F2" s="15"/>
      <c r="G2" s="16" t="s">
        <v>115</v>
      </c>
      <c r="H2" s="15"/>
      <c r="I2" s="15"/>
      <c r="J2" s="15"/>
      <c r="K2" s="15"/>
      <c r="L2" s="15"/>
    </row>
    <row r="3" spans="1:12" ht="35.1" customHeight="1" x14ac:dyDescent="0.25">
      <c r="A3" s="6" t="s">
        <v>114</v>
      </c>
      <c r="B3" s="6" t="s">
        <v>113</v>
      </c>
      <c r="C3" s="6" t="s">
        <v>112</v>
      </c>
      <c r="D3" s="6" t="s">
        <v>111</v>
      </c>
      <c r="E3" s="6" t="s">
        <v>110</v>
      </c>
      <c r="F3" s="6" t="s">
        <v>4</v>
      </c>
      <c r="G3" s="6" t="s">
        <v>5</v>
      </c>
      <c r="H3" s="6" t="s">
        <v>109</v>
      </c>
      <c r="I3" s="6" t="s">
        <v>108</v>
      </c>
      <c r="J3" s="6" t="s">
        <v>107</v>
      </c>
      <c r="K3" s="6" t="s">
        <v>106</v>
      </c>
      <c r="L3" s="6" t="s">
        <v>105</v>
      </c>
    </row>
    <row r="4" spans="1:12" ht="35.1" customHeight="1" x14ac:dyDescent="0.25">
      <c r="A4" s="6" t="s">
        <v>104</v>
      </c>
      <c r="B4" s="6" t="s">
        <v>37</v>
      </c>
      <c r="C4" s="6" t="s">
        <v>31</v>
      </c>
      <c r="D4" s="6" t="s">
        <v>103</v>
      </c>
      <c r="E4" s="6"/>
      <c r="F4" s="6" t="s">
        <v>24</v>
      </c>
      <c r="G4" s="6" t="s">
        <v>13</v>
      </c>
      <c r="H4" s="8">
        <v>24748.880000000001</v>
      </c>
      <c r="I4" s="6" t="s">
        <v>102</v>
      </c>
      <c r="J4" s="6"/>
      <c r="K4" s="6" t="s">
        <v>101</v>
      </c>
      <c r="L4" s="6"/>
    </row>
    <row r="5" spans="1:12" ht="35.1" customHeight="1" x14ac:dyDescent="0.25">
      <c r="A5" s="6" t="s">
        <v>100</v>
      </c>
      <c r="B5" s="6" t="s">
        <v>37</v>
      </c>
      <c r="C5" s="6" t="s">
        <v>31</v>
      </c>
      <c r="D5" s="6" t="s">
        <v>99</v>
      </c>
      <c r="E5" s="6"/>
      <c r="F5" s="6" t="s">
        <v>17</v>
      </c>
      <c r="G5" s="6" t="s">
        <v>13</v>
      </c>
      <c r="H5" s="8">
        <v>41734.400000000001</v>
      </c>
      <c r="I5" s="6" t="s">
        <v>98</v>
      </c>
      <c r="J5" s="6"/>
      <c r="K5" s="6" t="s">
        <v>97</v>
      </c>
      <c r="L5" s="6"/>
    </row>
    <row r="6" spans="1:12" ht="35.1" customHeight="1" x14ac:dyDescent="0.25">
      <c r="A6" s="6" t="s">
        <v>96</v>
      </c>
      <c r="B6" s="6" t="s">
        <v>37</v>
      </c>
      <c r="C6" s="6" t="s">
        <v>31</v>
      </c>
      <c r="D6" s="6" t="s">
        <v>95</v>
      </c>
      <c r="E6" s="6"/>
      <c r="F6" s="6" t="s">
        <v>15</v>
      </c>
      <c r="G6" s="6" t="s">
        <v>13</v>
      </c>
      <c r="H6" s="8">
        <v>29871.88</v>
      </c>
      <c r="I6" s="6" t="s">
        <v>94</v>
      </c>
      <c r="J6" s="6"/>
      <c r="K6" s="6" t="s">
        <v>93</v>
      </c>
      <c r="L6" s="6"/>
    </row>
    <row r="7" spans="1:12" ht="35.1" customHeight="1" x14ac:dyDescent="0.25">
      <c r="A7" s="6" t="s">
        <v>92</v>
      </c>
      <c r="B7" s="6" t="s">
        <v>37</v>
      </c>
      <c r="C7" s="6" t="s">
        <v>31</v>
      </c>
      <c r="D7" s="6" t="s">
        <v>91</v>
      </c>
      <c r="E7" s="6"/>
      <c r="F7" s="6" t="s">
        <v>15</v>
      </c>
      <c r="G7" s="6" t="s">
        <v>13</v>
      </c>
      <c r="H7" s="8">
        <v>50524.94</v>
      </c>
      <c r="I7" s="6" t="s">
        <v>90</v>
      </c>
      <c r="J7" s="6"/>
      <c r="K7" s="6" t="s">
        <v>89</v>
      </c>
      <c r="L7" s="6"/>
    </row>
    <row r="8" spans="1:12" ht="35.1" customHeight="1" x14ac:dyDescent="0.25">
      <c r="A8" s="6" t="s">
        <v>88</v>
      </c>
      <c r="B8" s="6" t="s">
        <v>37</v>
      </c>
      <c r="C8" s="6" t="s">
        <v>31</v>
      </c>
      <c r="D8" s="6" t="s">
        <v>87</v>
      </c>
      <c r="E8" s="6"/>
      <c r="F8" s="6" t="s">
        <v>20</v>
      </c>
      <c r="G8" s="6" t="s">
        <v>13</v>
      </c>
      <c r="H8" s="8">
        <v>16049.19</v>
      </c>
      <c r="I8" s="6" t="s">
        <v>86</v>
      </c>
      <c r="J8" s="6"/>
      <c r="K8" s="6" t="s">
        <v>85</v>
      </c>
      <c r="L8" s="6"/>
    </row>
    <row r="9" spans="1:12" ht="35.1" customHeight="1" x14ac:dyDescent="0.25">
      <c r="A9" s="6" t="s">
        <v>84</v>
      </c>
      <c r="B9" s="6" t="s">
        <v>37</v>
      </c>
      <c r="C9" s="6" t="s">
        <v>31</v>
      </c>
      <c r="D9" s="6" t="s">
        <v>83</v>
      </c>
      <c r="E9" s="6"/>
      <c r="F9" s="6" t="s">
        <v>12</v>
      </c>
      <c r="G9" s="6" t="s">
        <v>13</v>
      </c>
      <c r="H9" s="8">
        <v>20574.2</v>
      </c>
      <c r="I9" s="6" t="s">
        <v>82</v>
      </c>
      <c r="J9" s="6"/>
      <c r="K9" s="6" t="s">
        <v>81</v>
      </c>
      <c r="L9" s="6"/>
    </row>
    <row r="10" spans="1:12" ht="35.1" customHeight="1" x14ac:dyDescent="0.25">
      <c r="A10" s="6" t="s">
        <v>80</v>
      </c>
      <c r="B10" s="6" t="s">
        <v>37</v>
      </c>
      <c r="C10" s="6" t="s">
        <v>31</v>
      </c>
      <c r="D10" s="6" t="s">
        <v>79</v>
      </c>
      <c r="E10" s="6"/>
      <c r="F10" s="6" t="s">
        <v>18</v>
      </c>
      <c r="G10" s="6" t="s">
        <v>13</v>
      </c>
      <c r="H10" s="8">
        <v>28254.11</v>
      </c>
      <c r="I10" s="6" t="s">
        <v>78</v>
      </c>
      <c r="J10" s="6"/>
      <c r="K10" s="6" t="s">
        <v>77</v>
      </c>
      <c r="L10" s="6"/>
    </row>
    <row r="11" spans="1:12" ht="35.1" customHeight="1" x14ac:dyDescent="0.25">
      <c r="A11" s="6" t="s">
        <v>76</v>
      </c>
      <c r="B11" s="6" t="s">
        <v>32</v>
      </c>
      <c r="C11" s="6" t="s">
        <v>75</v>
      </c>
      <c r="D11" s="6" t="s">
        <v>74</v>
      </c>
      <c r="E11" s="6"/>
      <c r="F11" s="6" t="s">
        <v>19</v>
      </c>
      <c r="G11" s="6" t="s">
        <v>11</v>
      </c>
      <c r="H11" s="8">
        <v>33147.19</v>
      </c>
      <c r="I11" s="6" t="s">
        <v>73</v>
      </c>
      <c r="J11" s="6"/>
      <c r="K11" s="6" t="s">
        <v>72</v>
      </c>
      <c r="L11" s="6"/>
    </row>
    <row r="12" spans="1:12" ht="35.1" customHeight="1" x14ac:dyDescent="0.25">
      <c r="A12" s="6" t="s">
        <v>71</v>
      </c>
      <c r="B12" s="6" t="s">
        <v>32</v>
      </c>
      <c r="C12" s="6" t="s">
        <v>31</v>
      </c>
      <c r="D12" s="6" t="s">
        <v>70</v>
      </c>
      <c r="E12" s="6" t="s">
        <v>69</v>
      </c>
      <c r="F12" s="6" t="s">
        <v>21</v>
      </c>
      <c r="G12" s="6" t="s">
        <v>11</v>
      </c>
      <c r="H12" s="8">
        <v>17682</v>
      </c>
      <c r="I12" s="6" t="s">
        <v>68</v>
      </c>
      <c r="J12" s="6"/>
      <c r="K12" s="6" t="s">
        <v>67</v>
      </c>
      <c r="L12" s="6" t="s">
        <v>66</v>
      </c>
    </row>
    <row r="13" spans="1:12" ht="35.1" customHeight="1" x14ac:dyDescent="0.25">
      <c r="A13" s="6" t="s">
        <v>65</v>
      </c>
      <c r="B13" s="6" t="s">
        <v>32</v>
      </c>
      <c r="C13" s="6" t="s">
        <v>31</v>
      </c>
      <c r="D13" s="6" t="s">
        <v>64</v>
      </c>
      <c r="E13" s="6"/>
      <c r="F13" s="6" t="s">
        <v>21</v>
      </c>
      <c r="G13" s="6" t="s">
        <v>11</v>
      </c>
      <c r="H13" s="8">
        <v>21620.75</v>
      </c>
      <c r="I13" s="6" t="s">
        <v>63</v>
      </c>
      <c r="J13" s="6"/>
      <c r="K13" s="6" t="s">
        <v>62</v>
      </c>
      <c r="L13" s="6"/>
    </row>
    <row r="14" spans="1:12" ht="35.1" customHeight="1" x14ac:dyDescent="0.25">
      <c r="A14" s="6" t="s">
        <v>61</v>
      </c>
      <c r="B14" s="6" t="s">
        <v>32</v>
      </c>
      <c r="C14" s="6" t="s">
        <v>31</v>
      </c>
      <c r="D14" s="6" t="s">
        <v>60</v>
      </c>
      <c r="E14" s="6"/>
      <c r="F14" s="6" t="s">
        <v>16</v>
      </c>
      <c r="G14" s="6" t="s">
        <v>13</v>
      </c>
      <c r="H14" s="8">
        <v>54571.59</v>
      </c>
      <c r="I14" s="6" t="s">
        <v>59</v>
      </c>
      <c r="J14" s="6"/>
      <c r="K14" s="6" t="s">
        <v>58</v>
      </c>
      <c r="L14" s="6"/>
    </row>
    <row r="15" spans="1:12" ht="35.1" customHeight="1" x14ac:dyDescent="0.25">
      <c r="A15" s="6" t="s">
        <v>57</v>
      </c>
      <c r="B15" s="6" t="s">
        <v>37</v>
      </c>
      <c r="C15" s="6" t="s">
        <v>31</v>
      </c>
      <c r="D15" s="6" t="s">
        <v>56</v>
      </c>
      <c r="E15" s="6"/>
      <c r="F15" s="6" t="s">
        <v>22</v>
      </c>
      <c r="G15" s="6" t="s">
        <v>13</v>
      </c>
      <c r="H15" s="8">
        <v>29984.37</v>
      </c>
      <c r="I15" s="6" t="s">
        <v>55</v>
      </c>
      <c r="J15" s="6"/>
      <c r="K15" s="6" t="s">
        <v>54</v>
      </c>
      <c r="L15" s="6"/>
    </row>
    <row r="16" spans="1:12" ht="35.1" customHeight="1" x14ac:dyDescent="0.25">
      <c r="A16" s="6" t="s">
        <v>53</v>
      </c>
      <c r="B16" s="6" t="s">
        <v>32</v>
      </c>
      <c r="C16" s="6" t="s">
        <v>31</v>
      </c>
      <c r="D16" s="6" t="s">
        <v>52</v>
      </c>
      <c r="E16" s="6"/>
      <c r="F16" s="6" t="s">
        <v>16</v>
      </c>
      <c r="G16" s="6" t="s">
        <v>13</v>
      </c>
      <c r="H16" s="8">
        <v>41321.49</v>
      </c>
      <c r="I16" s="6" t="s">
        <v>51</v>
      </c>
      <c r="J16" s="6"/>
      <c r="K16" s="6" t="s">
        <v>43</v>
      </c>
      <c r="L16" s="6"/>
    </row>
    <row r="17" spans="1:12" ht="35.1" customHeight="1" x14ac:dyDescent="0.25">
      <c r="A17" s="6" t="s">
        <v>50</v>
      </c>
      <c r="B17" s="6" t="s">
        <v>32</v>
      </c>
      <c r="C17" s="6" t="s">
        <v>31</v>
      </c>
      <c r="D17" s="6" t="s">
        <v>49</v>
      </c>
      <c r="E17" s="6"/>
      <c r="F17" s="6" t="s">
        <v>14</v>
      </c>
      <c r="G17" s="6" t="s">
        <v>11</v>
      </c>
      <c r="H17" s="8">
        <v>30075</v>
      </c>
      <c r="I17" s="6" t="s">
        <v>48</v>
      </c>
      <c r="J17" s="6"/>
      <c r="K17" s="6" t="s">
        <v>47</v>
      </c>
      <c r="L17" s="6"/>
    </row>
    <row r="18" spans="1:12" ht="35.1" customHeight="1" x14ac:dyDescent="0.25">
      <c r="A18" s="6" t="s">
        <v>46</v>
      </c>
      <c r="B18" s="6" t="s">
        <v>37</v>
      </c>
      <c r="C18" s="6" t="s">
        <v>31</v>
      </c>
      <c r="D18" s="6" t="s">
        <v>45</v>
      </c>
      <c r="E18" s="6"/>
      <c r="F18" s="6" t="s">
        <v>10</v>
      </c>
      <c r="G18" s="6" t="s">
        <v>11</v>
      </c>
      <c r="H18" s="8">
        <v>15642.88</v>
      </c>
      <c r="I18" s="6" t="s">
        <v>44</v>
      </c>
      <c r="J18" s="6"/>
      <c r="K18" s="6" t="s">
        <v>43</v>
      </c>
      <c r="L18" s="6"/>
    </row>
    <row r="19" spans="1:12" ht="35.1" customHeight="1" x14ac:dyDescent="0.25">
      <c r="A19" s="6" t="s">
        <v>42</v>
      </c>
      <c r="B19" s="6" t="s">
        <v>37</v>
      </c>
      <c r="C19" s="6" t="s">
        <v>31</v>
      </c>
      <c r="D19" s="6" t="s">
        <v>41</v>
      </c>
      <c r="E19" s="6"/>
      <c r="F19" s="6" t="s">
        <v>20</v>
      </c>
      <c r="G19" s="6" t="s">
        <v>11</v>
      </c>
      <c r="H19" s="8">
        <v>13129.25</v>
      </c>
      <c r="I19" s="6" t="s">
        <v>40</v>
      </c>
      <c r="J19" s="6"/>
      <c r="K19" s="6" t="s">
        <v>39</v>
      </c>
      <c r="L19" s="6"/>
    </row>
    <row r="20" spans="1:12" ht="35.1" customHeight="1" x14ac:dyDescent="0.25">
      <c r="A20" s="6" t="s">
        <v>38</v>
      </c>
      <c r="B20" s="6" t="s">
        <v>37</v>
      </c>
      <c r="C20" s="6" t="s">
        <v>31</v>
      </c>
      <c r="D20" s="6" t="s">
        <v>36</v>
      </c>
      <c r="E20" s="6"/>
      <c r="F20" s="6" t="s">
        <v>23</v>
      </c>
      <c r="G20" s="6" t="s">
        <v>11</v>
      </c>
      <c r="H20" s="8">
        <v>23842.06</v>
      </c>
      <c r="I20" s="6" t="s">
        <v>35</v>
      </c>
      <c r="J20" s="6"/>
      <c r="K20" s="6" t="s">
        <v>34</v>
      </c>
      <c r="L20" s="6"/>
    </row>
    <row r="21" spans="1:12" ht="35.1" customHeight="1" x14ac:dyDescent="0.25">
      <c r="A21" s="6" t="s">
        <v>33</v>
      </c>
      <c r="B21" s="6" t="s">
        <v>32</v>
      </c>
      <c r="C21" s="6" t="s">
        <v>31</v>
      </c>
      <c r="D21" s="6" t="s">
        <v>30</v>
      </c>
      <c r="E21" s="6"/>
      <c r="F21" s="6" t="s">
        <v>21</v>
      </c>
      <c r="G21" s="6" t="s">
        <v>11</v>
      </c>
      <c r="H21" s="8">
        <v>15008.25</v>
      </c>
      <c r="I21" s="6" t="s">
        <v>29</v>
      </c>
      <c r="J21" s="6"/>
      <c r="K21" s="6" t="s">
        <v>28</v>
      </c>
      <c r="L21" s="6"/>
    </row>
    <row r="22" spans="1:12" ht="35.1" customHeight="1" x14ac:dyDescent="0.25">
      <c r="A22" s="9"/>
      <c r="B22" s="9"/>
      <c r="C22" s="9"/>
      <c r="D22" s="9" t="s">
        <v>27</v>
      </c>
      <c r="E22" s="9"/>
      <c r="F22" s="9"/>
      <c r="G22" s="9"/>
      <c r="H22" s="10">
        <f>SUM(H4:H21)</f>
        <v>507782.43</v>
      </c>
      <c r="I22" s="9"/>
      <c r="J22" s="9"/>
      <c r="K22" s="9"/>
      <c r="L22" s="9"/>
    </row>
    <row r="23" spans="1:12" ht="35.1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7548-9545-45E3-97E3-49089269CC48}">
  <sheetPr>
    <pageSetUpPr fitToPage="1"/>
  </sheetPr>
  <dimension ref="A1:G21"/>
  <sheetViews>
    <sheetView workbookViewId="0">
      <pane ySplit="3" topLeftCell="A4" activePane="bottomLeft" state="frozen"/>
      <selection pane="bottomLeft" activeCell="D20" sqref="D20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3.5703125" style="5" bestFit="1" customWidth="1"/>
    <col min="4" max="4" width="19.85546875" style="5" bestFit="1" customWidth="1"/>
    <col min="5" max="5" width="27.7109375" style="5" bestFit="1" customWidth="1"/>
    <col min="6" max="16384" width="9.140625" style="5"/>
  </cols>
  <sheetData>
    <row r="1" spans="1:7" x14ac:dyDescent="0.25">
      <c r="A1" s="6"/>
      <c r="B1" s="6"/>
      <c r="C1" s="6" t="s">
        <v>3</v>
      </c>
      <c r="D1" s="7">
        <v>45910</v>
      </c>
      <c r="E1" s="6" t="s">
        <v>2</v>
      </c>
      <c r="F1" s="6"/>
      <c r="G1" s="6"/>
    </row>
    <row r="2" spans="1:7" x14ac:dyDescent="0.25">
      <c r="A2" s="14" t="s">
        <v>0</v>
      </c>
      <c r="B2" s="15"/>
      <c r="C2" s="15"/>
      <c r="D2" s="16" t="s">
        <v>120</v>
      </c>
      <c r="E2" s="15"/>
      <c r="F2" s="6"/>
      <c r="G2" s="6"/>
    </row>
    <row r="3" spans="1:7" x14ac:dyDescent="0.25">
      <c r="A3" s="6" t="s">
        <v>114</v>
      </c>
      <c r="B3" s="6" t="s">
        <v>112</v>
      </c>
      <c r="C3" s="6" t="s">
        <v>111</v>
      </c>
      <c r="D3" s="6" t="s">
        <v>110</v>
      </c>
      <c r="E3" s="6" t="s">
        <v>4</v>
      </c>
      <c r="F3" s="6"/>
      <c r="G3" s="6"/>
    </row>
    <row r="4" spans="1:7" x14ac:dyDescent="0.25">
      <c r="A4" s="6" t="s">
        <v>76</v>
      </c>
      <c r="B4" s="6" t="s">
        <v>75</v>
      </c>
      <c r="C4" s="6" t="s">
        <v>74</v>
      </c>
      <c r="D4" s="6"/>
      <c r="E4" s="6" t="s">
        <v>19</v>
      </c>
      <c r="F4" s="6"/>
      <c r="G4" s="6"/>
    </row>
    <row r="5" spans="1:7" x14ac:dyDescent="0.25">
      <c r="A5" s="9"/>
      <c r="B5" s="9"/>
      <c r="C5" s="9" t="s">
        <v>119</v>
      </c>
      <c r="D5" s="9"/>
      <c r="E5" s="9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 t="s">
        <v>118</v>
      </c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 t="s">
        <v>117</v>
      </c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 t="s">
        <v>116</v>
      </c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Lauren LaFrance</cp:lastModifiedBy>
  <cp:lastPrinted>2025-09-10T18:30:39Z</cp:lastPrinted>
  <dcterms:created xsi:type="dcterms:W3CDTF">2025-09-10T18:22:12Z</dcterms:created>
  <dcterms:modified xsi:type="dcterms:W3CDTF">2025-09-10T19:16:49Z</dcterms:modified>
</cp:coreProperties>
</file>