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13_ncr:1_{B6DB10A0-D668-47C1-BCEA-E8C9955549C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unding Worksheet - ACH Version" sheetId="1" r:id="rId1"/>
    <sheet name="Funding Worksheet - Folder Vers" sheetId="2" r:id="rId2"/>
    <sheet name="Funding Worksheet - Signoff V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2" l="1"/>
  <c r="F6" i="1"/>
  <c r="F26" i="1"/>
  <c r="F23" i="1"/>
  <c r="H35" i="1"/>
  <c r="E35" i="1"/>
  <c r="D35" i="1"/>
  <c r="C35" i="1"/>
</calcChain>
</file>

<file path=xl/sharedStrings.xml><?xml version="1.0" encoding="utf-8"?>
<sst xmlns="http://schemas.openxmlformats.org/spreadsheetml/2006/main" count="234" uniqueCount="126">
  <si>
    <t>Bristol County Savings Bank</t>
  </si>
  <si>
    <t>Funding Worksheet - ACH Version</t>
  </si>
  <si>
    <t>To</t>
  </si>
  <si>
    <t>From</t>
  </si>
  <si>
    <t>Dealer Name</t>
  </si>
  <si>
    <t>Funded by</t>
  </si>
  <si>
    <t>Dealer Flat</t>
  </si>
  <si>
    <t>Dealer Split</t>
  </si>
  <si>
    <t>Net to Dealer</t>
  </si>
  <si>
    <t>Contracted Amount Financed</t>
  </si>
  <si>
    <t>Alden Mazda</t>
  </si>
  <si>
    <t>Marlene Braganca</t>
  </si>
  <si>
    <t>Rachel Gorham</t>
  </si>
  <si>
    <t>Battles Nissan, LLC</t>
  </si>
  <si>
    <t>Coastal Volkswagon</t>
  </si>
  <si>
    <t>Colonial Ford Inc</t>
  </si>
  <si>
    <t>Colonial South Chevrolet</t>
  </si>
  <si>
    <t>Neli Oliveira</t>
  </si>
  <si>
    <t>Herb Chambers Boston Turnpike Inc d/b/a</t>
  </si>
  <si>
    <t>Mastria Mazda</t>
  </si>
  <si>
    <t>NARSA AMC LLC d/b/a</t>
  </si>
  <si>
    <t>Patriot Auto Group Inc d/b/a</t>
  </si>
  <si>
    <t>Planet Subaru</t>
  </si>
  <si>
    <t>Robertson's GMC Truck, Inc</t>
  </si>
  <si>
    <t>T F Murphy Enterprises Inc</t>
  </si>
  <si>
    <t>Viti Mercedes</t>
  </si>
  <si>
    <t>Wareham Ford</t>
  </si>
  <si>
    <t>Column1</t>
  </si>
  <si>
    <t>Column2</t>
  </si>
  <si>
    <t># 18</t>
  </si>
  <si>
    <t>CHIODI</t>
  </si>
  <si>
    <t>STEVE072286@AOL.COM</t>
  </si>
  <si>
    <t>SPRAGUE, STEPHEN</t>
  </si>
  <si>
    <t>Paper</t>
  </si>
  <si>
    <t>DealerTrack</t>
  </si>
  <si>
    <t>151198960</t>
  </si>
  <si>
    <t>NIEADLIK</t>
  </si>
  <si>
    <t>FSKOWRON@AOL.COM</t>
  </si>
  <si>
    <t>SKOWRONSKI, FRANK</t>
  </si>
  <si>
    <t>E Contract</t>
  </si>
  <si>
    <t>Route One</t>
  </si>
  <si>
    <t>151198952e</t>
  </si>
  <si>
    <t>SKINNER</t>
  </si>
  <si>
    <t>MARSHALL</t>
  </si>
  <si>
    <t>ROCKYBYTHESEA83@YAHOO.COM</t>
  </si>
  <si>
    <t>ROCKWELL, LINDA</t>
  </si>
  <si>
    <t>ROCKWELL, WILLIAM</t>
  </si>
  <si>
    <t>151198910e</t>
  </si>
  <si>
    <t>KELLY</t>
  </si>
  <si>
    <t>SHEBOB@VERIZON.NET</t>
  </si>
  <si>
    <t>HEINE, SHEILA</t>
  </si>
  <si>
    <t>151198902e</t>
  </si>
  <si>
    <t>WALL</t>
  </si>
  <si>
    <t>ERINTWILLIAMS@GMAIL.COM</t>
  </si>
  <si>
    <t>WILLIAMS, ERIN</t>
  </si>
  <si>
    <t>151198895e</t>
  </si>
  <si>
    <t>FONSECA</t>
  </si>
  <si>
    <t>gdeplandfall@gmail.com</t>
  </si>
  <si>
    <t>DEPRIZIO, ALFRED</t>
  </si>
  <si>
    <t>151198887e</t>
  </si>
  <si>
    <t>OLIVEIRA</t>
  </si>
  <si>
    <t>CHRISTIANGOMES2000@HOTMAIL.COM</t>
  </si>
  <si>
    <t>GOMES, CHRISTIAN</t>
  </si>
  <si>
    <t>151198879</t>
  </si>
  <si>
    <t>MCMAHON</t>
  </si>
  <si>
    <t>gabuildersma@gmail.com</t>
  </si>
  <si>
    <t>ANDREWS, GERRY</t>
  </si>
  <si>
    <t>151198861e</t>
  </si>
  <si>
    <t>TOUSIGNANT</t>
  </si>
  <si>
    <t>DEPOT44@GMAIL.COM</t>
  </si>
  <si>
    <t>GEHALO, KENNETH</t>
  </si>
  <si>
    <t>151198803e</t>
  </si>
  <si>
    <t>Carolan</t>
  </si>
  <si>
    <t>CALBLACKWOOD@COMCAST.NET</t>
  </si>
  <si>
    <t>BLACKWOOD, CAROLAN</t>
  </si>
  <si>
    <t>151198770e</t>
  </si>
  <si>
    <t>MARCIANTE</t>
  </si>
  <si>
    <t>ROOD, BARBARA</t>
  </si>
  <si>
    <t>151198762e</t>
  </si>
  <si>
    <t>SCHMIDT</t>
  </si>
  <si>
    <t>USAFORCE.KB@GMAIL.COM</t>
  </si>
  <si>
    <t>BIANCHI, KIM</t>
  </si>
  <si>
    <t>151198754e</t>
  </si>
  <si>
    <t>HIGGINS</t>
  </si>
  <si>
    <t>DEBJLONG2525@GMAIL.COM</t>
  </si>
  <si>
    <t>LONG, DEBORAH</t>
  </si>
  <si>
    <t>151198738e</t>
  </si>
  <si>
    <t>Camara</t>
  </si>
  <si>
    <t>CAROLKOBZA@COMCAST.NET</t>
  </si>
  <si>
    <t>KOBZA, ERNEST</t>
  </si>
  <si>
    <t>151198704e</t>
  </si>
  <si>
    <t>OIONYSOPOUIOU</t>
  </si>
  <si>
    <t>CAFUA</t>
  </si>
  <si>
    <t>elenixag@gmail.com</t>
  </si>
  <si>
    <t>NONE@GMAIL.COM</t>
  </si>
  <si>
    <t>MEDEIROS, ELENI</t>
  </si>
  <si>
    <t>MEDEIROS, NICHOLAS</t>
  </si>
  <si>
    <t>151198689e</t>
  </si>
  <si>
    <t>Broderick</t>
  </si>
  <si>
    <t>bammarquedant@gmail.com</t>
  </si>
  <si>
    <t>MARQUEDANT, BRIGID</t>
  </si>
  <si>
    <t>151198671e</t>
  </si>
  <si>
    <t>Manzo</t>
  </si>
  <si>
    <t>MARTORANA, ANTHONY</t>
  </si>
  <si>
    <t>151198655e</t>
  </si>
  <si>
    <t>SOUSA</t>
  </si>
  <si>
    <t>CVMERONC28@GMAIL.COM</t>
  </si>
  <si>
    <t>COUTINHO, CAMERON</t>
  </si>
  <si>
    <t>151198647e</t>
  </si>
  <si>
    <t>Co-App MMN</t>
  </si>
  <si>
    <t>App MMN</t>
  </si>
  <si>
    <t>Co-Applicant Email</t>
  </si>
  <si>
    <t>Applicant Email</t>
  </si>
  <si>
    <t>Amount Financed</t>
  </si>
  <si>
    <t>Co-Applicant Name</t>
  </si>
  <si>
    <t>Applicant Name</t>
  </si>
  <si>
    <t>Contract Type</t>
  </si>
  <si>
    <t>Portal</t>
  </si>
  <si>
    <t>Account Number</t>
  </si>
  <si>
    <t>Funding Worksheet - Folder Version</t>
  </si>
  <si>
    <t>Date Signed______________________________</t>
  </si>
  <si>
    <t>Received By_________________________________________________________________________</t>
  </si>
  <si>
    <t>Delivered By________________________________________________________________________</t>
  </si>
  <si>
    <t># 2</t>
  </si>
  <si>
    <t>Funding Worksheet - Signoff Version</t>
  </si>
  <si>
    <t>5900     6390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</si>
</sst>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/>
  </cellStyleXfs>
  <cellXfs count="17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2" fillId="2" borderId="0" xfId="1"/>
    <xf numFmtId="0" fontId="2" fillId="0" borderId="0" xfId="1" applyFill="1"/>
    <xf numFmtId="164" fontId="2" fillId="0" borderId="0" xfId="1" applyNumberFormat="1" applyFill="1" applyAlignment="1">
      <alignment horizontal="right"/>
    </xf>
    <xf numFmtId="0" fontId="1" fillId="0" borderId="0" xfId="1" applyFont="1" applyFill="1" applyAlignment="1">
      <alignment horizontal="left"/>
    </xf>
    <xf numFmtId="0" fontId="2" fillId="0" borderId="0" xfId="1" applyFill="1"/>
    <xf numFmtId="0" fontId="1" fillId="0" borderId="0" xfId="1" applyFont="1" applyFill="1" applyAlignment="1">
      <alignment horizontal="right"/>
    </xf>
    <xf numFmtId="7" fontId="2" fillId="0" borderId="0" xfId="1" applyNumberFormat="1" applyFill="1"/>
    <xf numFmtId="0" fontId="1" fillId="0" borderId="0" xfId="1" applyFont="1" applyFill="1"/>
    <xf numFmtId="7" fontId="1" fillId="0" borderId="0" xfId="1" applyNumberFormat="1" applyFont="1" applyFill="1"/>
  </cellXfs>
  <cellStyles count="2">
    <cellStyle name="Normal" xfId="0" builtinId="0"/>
    <cellStyle name="Normal 2" xfId="1" xr:uid="{3AC89D4B-BB0A-48D4-A5DE-15BADBE96EF2}"/>
  </cellStyles>
  <dxfs count="25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1" formatCode="&quot;$&quot;#,##0.00_);\(&quot;$&quot;#,##0.00\)"/>
    </dxf>
    <dxf>
      <numFmt numFmtId="11" formatCode="&quot;$&quot;#,##0.00_);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H35">
  <tableColumns count="8">
    <tableColumn id="1" xr3:uid="{00000000-0010-0000-0000-000001000000}" name="Dealer Name"/>
    <tableColumn id="2" xr3:uid="{00000000-0010-0000-0000-000002000000}" name="Funded by"/>
    <tableColumn id="3" xr3:uid="{00000000-0010-0000-0000-000003000000}" name="Dealer Flat"/>
    <tableColumn id="4" xr3:uid="{00000000-0010-0000-0000-000004000000}" name="Dealer Split"/>
    <tableColumn id="5" xr3:uid="{00000000-0010-0000-0000-000005000000}" name="Net to Dealer"/>
    <tableColumn id="7" xr3:uid="{FEF92AC8-EAB6-43DD-B1B4-D565BE88F992}" name="Column1" dataDxfId="23"/>
    <tableColumn id="8" xr3:uid="{C00B433F-C245-4892-9431-33A69BAFCD2F}" name="Column2" dataDxfId="24"/>
    <tableColumn id="6" xr3:uid="{00000000-0010-0000-0000-000006000000}" name="Contracted Amount Financ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9542C5-29E5-4134-BD99-43CD510F5572}" name="Table_13" displayName="Table_13" ref="A3:L22" headerRowDxfId="10" dataDxfId="8" totalsRowDxfId="9">
  <tableColumns count="12">
    <tableColumn id="1" xr3:uid="{00000000-0010-0000-0000-000001000000}" name="Account Number" dataDxfId="22"/>
    <tableColumn id="2" xr3:uid="{00000000-0010-0000-0000-000002000000}" name="Portal" dataDxfId="21"/>
    <tableColumn id="3" xr3:uid="{00000000-0010-0000-0000-000003000000}" name="Contract Type" dataDxfId="20"/>
    <tableColumn id="4" xr3:uid="{00000000-0010-0000-0000-000004000000}" name="Applicant Name" dataDxfId="19"/>
    <tableColumn id="5" xr3:uid="{00000000-0010-0000-0000-000005000000}" name="Co-Applicant Name" dataDxfId="18"/>
    <tableColumn id="6" xr3:uid="{00000000-0010-0000-0000-000006000000}" name="Dealer Name" dataDxfId="17"/>
    <tableColumn id="7" xr3:uid="{00000000-0010-0000-0000-000007000000}" name="Funded by" dataDxfId="16"/>
    <tableColumn id="8" xr3:uid="{00000000-0010-0000-0000-000008000000}" name="Amount Financed" dataDxfId="15"/>
    <tableColumn id="9" xr3:uid="{00000000-0010-0000-0000-000009000000}" name="Applicant Email" dataDxfId="14"/>
    <tableColumn id="10" xr3:uid="{00000000-0010-0000-0000-00000A000000}" name="Co-Applicant Email" dataDxfId="13"/>
    <tableColumn id="11" xr3:uid="{00000000-0010-0000-0000-00000B000000}" name="App MMN" dataDxfId="12"/>
    <tableColumn id="12" xr3:uid="{00000000-0010-0000-0000-00000C000000}" name="Co-App MMN" dataDxfId="1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1E43D42-6223-4314-AE66-D1C6670F6F73}" name="Table_14" displayName="Table_14" ref="A3:E6" headerRowDxfId="2" dataDxfId="0" totalsRowDxfId="1">
  <tableColumns count="5">
    <tableColumn id="1" xr3:uid="{00000000-0010-0000-0000-000001000000}" name="Account Number" dataDxfId="7"/>
    <tableColumn id="2" xr3:uid="{00000000-0010-0000-0000-000002000000}" name="Contract Type" dataDxfId="6"/>
    <tableColumn id="3" xr3:uid="{00000000-0010-0000-0000-000003000000}" name="Applicant Name" dataDxfId="5"/>
    <tableColumn id="4" xr3:uid="{00000000-0010-0000-0000-000004000000}" name="Co-Applicant Name" dataDxfId="4"/>
    <tableColumn id="5" xr3:uid="{00000000-0010-0000-0000-000005000000}" name="Dealer Name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5"/>
  <sheetViews>
    <sheetView tabSelected="1" workbookViewId="0">
      <pane ySplit="3" topLeftCell="A13" activePane="bottomLeft" state="frozen"/>
      <selection pane="bottomLeft" activeCell="J34" sqref="J34"/>
    </sheetView>
  </sheetViews>
  <sheetFormatPr defaultRowHeight="15" x14ac:dyDescent="0.25"/>
  <cols>
    <col min="1" max="1" width="39.5703125" bestFit="1" customWidth="1"/>
    <col min="2" max="2" width="17.7109375" bestFit="1" customWidth="1"/>
    <col min="3" max="3" width="11.140625" bestFit="1" customWidth="1"/>
    <col min="4" max="4" width="11.85546875" bestFit="1" customWidth="1"/>
    <col min="5" max="5" width="13.28515625" bestFit="1" customWidth="1"/>
    <col min="6" max="7" width="13.28515625" customWidth="1"/>
    <col min="8" max="8" width="27.85546875" bestFit="1" customWidth="1"/>
  </cols>
  <sheetData>
    <row r="1" spans="1:8" x14ac:dyDescent="0.25">
      <c r="C1" t="s">
        <v>3</v>
      </c>
      <c r="D1" s="4">
        <v>45840</v>
      </c>
      <c r="E1" t="s">
        <v>2</v>
      </c>
      <c r="H1" s="4">
        <v>45840.999988425923</v>
      </c>
    </row>
    <row r="2" spans="1:8" x14ac:dyDescent="0.25">
      <c r="A2" s="5" t="s">
        <v>0</v>
      </c>
      <c r="B2" s="6"/>
      <c r="C2" s="6"/>
      <c r="D2" s="7" t="s">
        <v>1</v>
      </c>
      <c r="E2" s="6"/>
      <c r="F2" s="6"/>
      <c r="G2" s="6"/>
      <c r="H2" s="6"/>
    </row>
    <row r="3" spans="1:8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27</v>
      </c>
      <c r="G3" t="s">
        <v>28</v>
      </c>
      <c r="H3" t="s">
        <v>9</v>
      </c>
    </row>
    <row r="4" spans="1:8" x14ac:dyDescent="0.25">
      <c r="A4" t="s">
        <v>10</v>
      </c>
      <c r="B4" t="s">
        <v>11</v>
      </c>
      <c r="C4" s="2">
        <v>500</v>
      </c>
      <c r="D4" s="2">
        <v>0</v>
      </c>
      <c r="E4" s="2">
        <v>19910</v>
      </c>
      <c r="F4" s="2"/>
      <c r="G4" s="2"/>
      <c r="H4" s="2">
        <v>19985</v>
      </c>
    </row>
    <row r="5" spans="1:8" x14ac:dyDescent="0.25">
      <c r="A5" t="s">
        <v>10</v>
      </c>
      <c r="B5" t="s">
        <v>11</v>
      </c>
      <c r="C5" s="2">
        <v>650</v>
      </c>
      <c r="D5" s="2">
        <v>0</v>
      </c>
      <c r="E5" s="2">
        <v>23798.85</v>
      </c>
      <c r="F5" s="2"/>
      <c r="G5" s="2"/>
      <c r="H5" s="2">
        <v>23873.85</v>
      </c>
    </row>
    <row r="6" spans="1:8" x14ac:dyDescent="0.25">
      <c r="A6" t="s">
        <v>10</v>
      </c>
      <c r="B6" t="s">
        <v>12</v>
      </c>
      <c r="C6" s="2">
        <v>750</v>
      </c>
      <c r="D6" s="2">
        <v>0</v>
      </c>
      <c r="E6" s="2">
        <v>26192.69</v>
      </c>
      <c r="F6" s="2">
        <f>SUM(E4:E6)</f>
        <v>69901.539999999994</v>
      </c>
      <c r="G6" s="2"/>
      <c r="H6" s="2">
        <v>26267.69</v>
      </c>
    </row>
    <row r="7" spans="1:8" x14ac:dyDescent="0.25">
      <c r="C7" s="2"/>
      <c r="D7" s="2"/>
      <c r="E7" s="2"/>
      <c r="F7" s="2"/>
      <c r="G7" s="2"/>
      <c r="H7" s="2"/>
    </row>
    <row r="8" spans="1:8" x14ac:dyDescent="0.25">
      <c r="A8" t="s">
        <v>13</v>
      </c>
      <c r="B8" t="s">
        <v>12</v>
      </c>
      <c r="C8" s="2">
        <v>500</v>
      </c>
      <c r="D8" s="2">
        <v>0</v>
      </c>
      <c r="E8" s="2">
        <v>19485</v>
      </c>
      <c r="F8" s="2"/>
      <c r="G8" s="2"/>
      <c r="H8" s="2">
        <v>19560</v>
      </c>
    </row>
    <row r="9" spans="1:8" x14ac:dyDescent="0.25">
      <c r="C9" s="2"/>
      <c r="D9" s="2"/>
      <c r="E9" s="2"/>
      <c r="F9" s="2"/>
      <c r="G9" s="2"/>
      <c r="H9" s="2"/>
    </row>
    <row r="10" spans="1:8" x14ac:dyDescent="0.25">
      <c r="A10" t="s">
        <v>14</v>
      </c>
      <c r="B10" t="s">
        <v>11</v>
      </c>
      <c r="C10" s="2">
        <v>1050</v>
      </c>
      <c r="D10" s="2">
        <v>0</v>
      </c>
      <c r="E10" s="2">
        <v>39961.629999999997</v>
      </c>
      <c r="F10" s="2"/>
      <c r="G10" s="2"/>
      <c r="H10" s="2">
        <v>40036.629999999997</v>
      </c>
    </row>
    <row r="11" spans="1:8" x14ac:dyDescent="0.25">
      <c r="C11" s="2"/>
      <c r="D11" s="2"/>
      <c r="E11" s="2"/>
      <c r="F11" s="2"/>
      <c r="G11" s="2"/>
      <c r="H11" s="2"/>
    </row>
    <row r="12" spans="1:8" x14ac:dyDescent="0.25">
      <c r="A12" t="s">
        <v>15</v>
      </c>
      <c r="B12" t="s">
        <v>12</v>
      </c>
      <c r="C12" s="2">
        <v>650</v>
      </c>
      <c r="D12" s="2">
        <v>0</v>
      </c>
      <c r="E12" s="2">
        <v>22654.25</v>
      </c>
      <c r="F12" s="2"/>
      <c r="G12" s="2"/>
      <c r="H12" s="2">
        <v>22729.25</v>
      </c>
    </row>
    <row r="13" spans="1:8" x14ac:dyDescent="0.25">
      <c r="C13" s="2"/>
      <c r="D13" s="2"/>
      <c r="E13" s="2"/>
      <c r="F13" s="2"/>
      <c r="G13" s="2"/>
      <c r="H13" s="2"/>
    </row>
    <row r="14" spans="1:8" x14ac:dyDescent="0.25">
      <c r="A14" t="s">
        <v>16</v>
      </c>
      <c r="B14" t="s">
        <v>17</v>
      </c>
      <c r="C14" s="2">
        <v>750</v>
      </c>
      <c r="D14" s="2">
        <v>0</v>
      </c>
      <c r="E14" s="2">
        <v>29779.94</v>
      </c>
      <c r="F14" s="2"/>
      <c r="G14" s="2"/>
      <c r="H14" s="2">
        <v>29854.94</v>
      </c>
    </row>
    <row r="15" spans="1:8" x14ac:dyDescent="0.25">
      <c r="C15" s="2"/>
      <c r="D15" s="2"/>
      <c r="E15" s="2"/>
      <c r="F15" s="2"/>
      <c r="G15" s="2"/>
      <c r="H15" s="2"/>
    </row>
    <row r="16" spans="1:8" x14ac:dyDescent="0.25">
      <c r="A16" t="s">
        <v>18</v>
      </c>
      <c r="B16" t="s">
        <v>17</v>
      </c>
      <c r="C16" s="2">
        <v>500</v>
      </c>
      <c r="D16" s="2">
        <v>0</v>
      </c>
      <c r="E16" s="2">
        <v>14925</v>
      </c>
      <c r="F16" s="2"/>
      <c r="G16" s="2"/>
      <c r="H16" s="2">
        <v>15000</v>
      </c>
    </row>
    <row r="17" spans="1:8" x14ac:dyDescent="0.25">
      <c r="C17" s="2"/>
      <c r="D17" s="2"/>
      <c r="E17" s="2"/>
      <c r="F17" s="2"/>
      <c r="G17" s="2"/>
      <c r="H17" s="2"/>
    </row>
    <row r="18" spans="1:8" x14ac:dyDescent="0.25">
      <c r="A18" t="s">
        <v>19</v>
      </c>
      <c r="B18" t="s">
        <v>11</v>
      </c>
      <c r="C18" s="2">
        <v>500</v>
      </c>
      <c r="D18" s="2">
        <v>0</v>
      </c>
      <c r="E18" s="2">
        <v>16859.48</v>
      </c>
      <c r="F18" s="2"/>
      <c r="G18" s="2" t="s">
        <v>125</v>
      </c>
      <c r="H18" s="2">
        <v>16934.48</v>
      </c>
    </row>
    <row r="19" spans="1:8" x14ac:dyDescent="0.25">
      <c r="C19" s="2"/>
      <c r="D19" s="2"/>
      <c r="E19" s="2"/>
      <c r="F19" s="2"/>
      <c r="G19" s="2"/>
      <c r="H19" s="2"/>
    </row>
    <row r="20" spans="1:8" x14ac:dyDescent="0.25">
      <c r="A20" t="s">
        <v>20</v>
      </c>
      <c r="B20" t="s">
        <v>17</v>
      </c>
      <c r="C20" s="2">
        <v>750</v>
      </c>
      <c r="D20" s="2">
        <v>0</v>
      </c>
      <c r="E20" s="2">
        <v>28365.94</v>
      </c>
      <c r="F20" s="2"/>
      <c r="G20" s="2"/>
      <c r="H20" s="2">
        <v>28440.94</v>
      </c>
    </row>
    <row r="21" spans="1:8" x14ac:dyDescent="0.25">
      <c r="C21" s="2"/>
      <c r="D21" s="2"/>
      <c r="E21" s="2"/>
      <c r="F21" s="2"/>
      <c r="G21" s="2"/>
      <c r="H21" s="2"/>
    </row>
    <row r="22" spans="1:8" x14ac:dyDescent="0.25">
      <c r="A22" t="s">
        <v>21</v>
      </c>
      <c r="B22" t="s">
        <v>11</v>
      </c>
      <c r="C22" s="2">
        <v>500</v>
      </c>
      <c r="D22" s="2">
        <v>0</v>
      </c>
      <c r="E22" s="2">
        <v>16003.97</v>
      </c>
      <c r="F22" s="2"/>
      <c r="G22" s="2"/>
      <c r="H22" s="2">
        <v>16078.97</v>
      </c>
    </row>
    <row r="23" spans="1:8" x14ac:dyDescent="0.25">
      <c r="A23" t="s">
        <v>21</v>
      </c>
      <c r="B23" t="s">
        <v>12</v>
      </c>
      <c r="C23" s="2">
        <v>750</v>
      </c>
      <c r="D23" s="2">
        <v>0</v>
      </c>
      <c r="E23" s="2">
        <v>25284.38</v>
      </c>
      <c r="F23" s="2">
        <f>SUM(E22:E23)</f>
        <v>41288.35</v>
      </c>
      <c r="G23" s="2"/>
      <c r="H23" s="2">
        <v>25359.38</v>
      </c>
    </row>
    <row r="24" spans="1:8" x14ac:dyDescent="0.25">
      <c r="C24" s="2"/>
      <c r="D24" s="2"/>
      <c r="E24" s="2"/>
      <c r="F24" s="2"/>
      <c r="G24" s="2"/>
      <c r="H24" s="2"/>
    </row>
    <row r="25" spans="1:8" x14ac:dyDescent="0.25">
      <c r="A25" t="s">
        <v>22</v>
      </c>
      <c r="B25" t="s">
        <v>17</v>
      </c>
      <c r="C25" s="2">
        <v>650</v>
      </c>
      <c r="D25" s="2">
        <v>0</v>
      </c>
      <c r="E25" s="2">
        <v>22047.08</v>
      </c>
      <c r="F25" s="2"/>
      <c r="G25" s="2"/>
      <c r="H25" s="2">
        <v>22122.080000000002</v>
      </c>
    </row>
    <row r="26" spans="1:8" x14ac:dyDescent="0.25">
      <c r="A26" t="s">
        <v>22</v>
      </c>
      <c r="B26" t="s">
        <v>17</v>
      </c>
      <c r="C26" s="2">
        <v>300</v>
      </c>
      <c r="D26" s="2">
        <v>0</v>
      </c>
      <c r="E26" s="2">
        <v>13914.09</v>
      </c>
      <c r="F26" s="2">
        <f>SUM(E25:E26)</f>
        <v>35961.17</v>
      </c>
      <c r="G26" s="2"/>
      <c r="H26" s="2">
        <v>13989.09</v>
      </c>
    </row>
    <row r="27" spans="1:8" x14ac:dyDescent="0.25">
      <c r="C27" s="2"/>
      <c r="D27" s="2"/>
      <c r="E27" s="2"/>
      <c r="F27" s="2"/>
      <c r="G27" s="2"/>
      <c r="H27" s="2"/>
    </row>
    <row r="28" spans="1:8" x14ac:dyDescent="0.25">
      <c r="A28" t="s">
        <v>23</v>
      </c>
      <c r="B28" t="s">
        <v>12</v>
      </c>
      <c r="C28" s="2">
        <v>850</v>
      </c>
      <c r="D28" s="2">
        <v>0</v>
      </c>
      <c r="E28" s="2">
        <v>32846.74</v>
      </c>
      <c r="F28" s="2"/>
      <c r="G28" s="2"/>
      <c r="H28" s="2">
        <v>32921.74</v>
      </c>
    </row>
    <row r="29" spans="1:8" x14ac:dyDescent="0.25">
      <c r="C29" s="2"/>
      <c r="D29" s="2"/>
      <c r="E29" s="2"/>
      <c r="F29" s="2"/>
      <c r="G29" s="2"/>
      <c r="H29" s="2"/>
    </row>
    <row r="30" spans="1:8" x14ac:dyDescent="0.25">
      <c r="A30" t="s">
        <v>24</v>
      </c>
      <c r="B30" t="s">
        <v>12</v>
      </c>
      <c r="C30" s="2">
        <v>1350</v>
      </c>
      <c r="D30" s="2">
        <v>0</v>
      </c>
      <c r="E30" s="2">
        <v>53849.440000000002</v>
      </c>
      <c r="F30" s="2"/>
      <c r="G30" s="2"/>
      <c r="H30" s="2">
        <v>53924.44</v>
      </c>
    </row>
    <row r="31" spans="1:8" x14ac:dyDescent="0.25">
      <c r="C31" s="2"/>
      <c r="D31" s="2"/>
      <c r="E31" s="2"/>
      <c r="F31" s="2"/>
      <c r="G31" s="2"/>
      <c r="H31" s="2"/>
    </row>
    <row r="32" spans="1:8" x14ac:dyDescent="0.25">
      <c r="A32" t="s">
        <v>25</v>
      </c>
      <c r="B32" t="s">
        <v>12</v>
      </c>
      <c r="C32" s="2">
        <v>1150</v>
      </c>
      <c r="D32" s="2">
        <v>0</v>
      </c>
      <c r="E32" s="2">
        <v>45445.5</v>
      </c>
      <c r="F32" s="2"/>
      <c r="G32" s="2"/>
      <c r="H32" s="2">
        <v>45520.5</v>
      </c>
    </row>
    <row r="33" spans="1:8" x14ac:dyDescent="0.25">
      <c r="C33" s="2"/>
      <c r="D33" s="2"/>
      <c r="E33" s="2"/>
      <c r="F33" s="2"/>
      <c r="G33" s="2"/>
      <c r="H33" s="2"/>
    </row>
    <row r="34" spans="1:8" x14ac:dyDescent="0.25">
      <c r="A34" t="s">
        <v>26</v>
      </c>
      <c r="B34" t="s">
        <v>17</v>
      </c>
      <c r="C34" s="2">
        <v>750</v>
      </c>
      <c r="D34" s="2">
        <v>0</v>
      </c>
      <c r="E34" s="2">
        <v>29153</v>
      </c>
      <c r="F34" s="2"/>
      <c r="G34" s="2"/>
      <c r="H34" s="2">
        <v>29228</v>
      </c>
    </row>
    <row r="35" spans="1:8" x14ac:dyDescent="0.25">
      <c r="A35" s="1"/>
      <c r="B35" s="1"/>
      <c r="C35" s="3">
        <f>SUM(C4:C34)</f>
        <v>12900</v>
      </c>
      <c r="D35" s="3">
        <f>SUM(D4:D34)</f>
        <v>0</v>
      </c>
      <c r="E35" s="3">
        <f>SUM(E4:E34)</f>
        <v>480476.98000000004</v>
      </c>
      <c r="F35" s="3"/>
      <c r="G35" s="3"/>
      <c r="H35" s="3">
        <f>SUM(H4:H34)</f>
        <v>481826.98000000004</v>
      </c>
    </row>
  </sheetData>
  <mergeCells count="2">
    <mergeCell ref="A2:C2"/>
    <mergeCell ref="D2:H2"/>
  </mergeCells>
  <phoneticPr fontId="3" type="noConversion"/>
  <pageMargins left="0.7" right="0.7" top="0.75" bottom="0.75" header="0.3" footer="0.3"/>
  <pageSetup paperSize="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28D1E-4FCE-4D49-BC95-A8FCFF513B3C}">
  <sheetPr>
    <pageSetUpPr fitToPage="1"/>
  </sheetPr>
  <dimension ref="A1:M29"/>
  <sheetViews>
    <sheetView workbookViewId="0">
      <pane ySplit="3" topLeftCell="A4" activePane="bottomLeft" state="frozen"/>
      <selection pane="bottomLeft" activeCell="E10" sqref="E10"/>
    </sheetView>
  </sheetViews>
  <sheetFormatPr defaultRowHeight="15" x14ac:dyDescent="0.25"/>
  <cols>
    <col min="1" max="1" width="16.42578125" style="8" bestFit="1" customWidth="1"/>
    <col min="2" max="2" width="12.140625" style="8" bestFit="1" customWidth="1"/>
    <col min="3" max="3" width="14" style="8" bestFit="1" customWidth="1"/>
    <col min="4" max="4" width="23.28515625" style="8" bestFit="1" customWidth="1"/>
    <col min="5" max="5" width="18.7109375" style="8" bestFit="1" customWidth="1"/>
    <col min="6" max="6" width="39.5703125" style="8" bestFit="1" customWidth="1"/>
    <col min="7" max="7" width="17.7109375" style="8" bestFit="1" customWidth="1"/>
    <col min="8" max="8" width="17.140625" style="8" bestFit="1" customWidth="1"/>
    <col min="9" max="9" width="37.42578125" style="8" bestFit="1" customWidth="1"/>
    <col min="10" max="10" width="20.28515625" style="8" bestFit="1" customWidth="1"/>
    <col min="11" max="11" width="13.140625" style="8" bestFit="1" customWidth="1"/>
    <col min="12" max="12" width="16.7109375" style="8" bestFit="1" customWidth="1"/>
    <col min="13" max="16384" width="9.140625" style="8"/>
  </cols>
  <sheetData>
    <row r="1" spans="1:13" ht="35.1" customHeight="1" x14ac:dyDescent="0.25">
      <c r="A1" s="9"/>
      <c r="B1" s="9"/>
      <c r="C1" s="9"/>
      <c r="D1" s="9"/>
      <c r="E1" s="9"/>
      <c r="F1" s="9"/>
      <c r="G1" s="9"/>
      <c r="H1" s="9"/>
      <c r="I1" s="9"/>
      <c r="J1" s="9" t="s">
        <v>3</v>
      </c>
      <c r="K1" s="10">
        <v>45840</v>
      </c>
      <c r="L1" s="9" t="s">
        <v>2</v>
      </c>
      <c r="M1" s="9"/>
    </row>
    <row r="2" spans="1:13" ht="35.1" customHeight="1" x14ac:dyDescent="0.25">
      <c r="A2" s="11" t="s">
        <v>0</v>
      </c>
      <c r="B2" s="12"/>
      <c r="C2" s="12"/>
      <c r="D2" s="12"/>
      <c r="E2" s="12"/>
      <c r="F2" s="12"/>
      <c r="G2" s="13" t="s">
        <v>119</v>
      </c>
      <c r="H2" s="12"/>
      <c r="I2" s="12"/>
      <c r="J2" s="12"/>
      <c r="K2" s="12"/>
      <c r="L2" s="12"/>
      <c r="M2" s="9"/>
    </row>
    <row r="3" spans="1:13" ht="35.1" customHeight="1" x14ac:dyDescent="0.25">
      <c r="A3" s="9" t="s">
        <v>118</v>
      </c>
      <c r="B3" s="9" t="s">
        <v>117</v>
      </c>
      <c r="C3" s="9" t="s">
        <v>116</v>
      </c>
      <c r="D3" s="9" t="s">
        <v>115</v>
      </c>
      <c r="E3" s="9" t="s">
        <v>114</v>
      </c>
      <c r="F3" s="9" t="s">
        <v>4</v>
      </c>
      <c r="G3" s="9" t="s">
        <v>5</v>
      </c>
      <c r="H3" s="9" t="s">
        <v>113</v>
      </c>
      <c r="I3" s="9" t="s">
        <v>112</v>
      </c>
      <c r="J3" s="9" t="s">
        <v>111</v>
      </c>
      <c r="K3" s="9" t="s">
        <v>110</v>
      </c>
      <c r="L3" s="9" t="s">
        <v>109</v>
      </c>
      <c r="M3" s="9"/>
    </row>
    <row r="4" spans="1:13" ht="35.1" customHeight="1" x14ac:dyDescent="0.25">
      <c r="A4" s="9" t="s">
        <v>108</v>
      </c>
      <c r="B4" s="9" t="s">
        <v>40</v>
      </c>
      <c r="C4" s="9" t="s">
        <v>39</v>
      </c>
      <c r="D4" s="9" t="s">
        <v>107</v>
      </c>
      <c r="E4" s="9"/>
      <c r="F4" s="9" t="s">
        <v>10</v>
      </c>
      <c r="G4" s="9" t="s">
        <v>11</v>
      </c>
      <c r="H4" s="14">
        <v>23873.85</v>
      </c>
      <c r="I4" s="9" t="s">
        <v>106</v>
      </c>
      <c r="J4" s="9"/>
      <c r="K4" s="9" t="s">
        <v>105</v>
      </c>
      <c r="L4" s="9"/>
      <c r="M4" s="9"/>
    </row>
    <row r="5" spans="1:13" ht="35.1" customHeight="1" x14ac:dyDescent="0.25">
      <c r="A5" s="9" t="s">
        <v>104</v>
      </c>
      <c r="B5" s="9" t="s">
        <v>40</v>
      </c>
      <c r="C5" s="9" t="s">
        <v>39</v>
      </c>
      <c r="D5" s="9" t="s">
        <v>103</v>
      </c>
      <c r="E5" s="9"/>
      <c r="F5" s="9" t="s">
        <v>21</v>
      </c>
      <c r="G5" s="9" t="s">
        <v>11</v>
      </c>
      <c r="H5" s="14">
        <v>16078.97</v>
      </c>
      <c r="I5" s="9"/>
      <c r="J5" s="9"/>
      <c r="K5" s="9" t="s">
        <v>102</v>
      </c>
      <c r="L5" s="9"/>
      <c r="M5" s="9"/>
    </row>
    <row r="6" spans="1:13" ht="35.1" customHeight="1" x14ac:dyDescent="0.25">
      <c r="A6" s="9" t="s">
        <v>101</v>
      </c>
      <c r="B6" s="9" t="s">
        <v>40</v>
      </c>
      <c r="C6" s="9" t="s">
        <v>39</v>
      </c>
      <c r="D6" s="9" t="s">
        <v>100</v>
      </c>
      <c r="E6" s="9"/>
      <c r="F6" s="9" t="s">
        <v>19</v>
      </c>
      <c r="G6" s="9" t="s">
        <v>11</v>
      </c>
      <c r="H6" s="14">
        <v>16934.48</v>
      </c>
      <c r="I6" s="9" t="s">
        <v>99</v>
      </c>
      <c r="J6" s="9"/>
      <c r="K6" s="9" t="s">
        <v>98</v>
      </c>
      <c r="L6" s="9"/>
      <c r="M6" s="9"/>
    </row>
    <row r="7" spans="1:13" ht="35.1" customHeight="1" x14ac:dyDescent="0.25">
      <c r="A7" s="9" t="s">
        <v>97</v>
      </c>
      <c r="B7" s="9" t="s">
        <v>40</v>
      </c>
      <c r="C7" s="9" t="s">
        <v>39</v>
      </c>
      <c r="D7" s="9" t="s">
        <v>96</v>
      </c>
      <c r="E7" s="9" t="s">
        <v>95</v>
      </c>
      <c r="F7" s="9" t="s">
        <v>16</v>
      </c>
      <c r="G7" s="9" t="s">
        <v>17</v>
      </c>
      <c r="H7" s="14">
        <v>29854.94</v>
      </c>
      <c r="I7" s="9" t="s">
        <v>94</v>
      </c>
      <c r="J7" s="9" t="s">
        <v>93</v>
      </c>
      <c r="K7" s="9" t="s">
        <v>92</v>
      </c>
      <c r="L7" s="9" t="s">
        <v>91</v>
      </c>
      <c r="M7" s="9"/>
    </row>
    <row r="8" spans="1:13" ht="35.1" customHeight="1" x14ac:dyDescent="0.25">
      <c r="A8" s="9" t="s">
        <v>90</v>
      </c>
      <c r="B8" s="9" t="s">
        <v>40</v>
      </c>
      <c r="C8" s="9" t="s">
        <v>39</v>
      </c>
      <c r="D8" s="9" t="s">
        <v>89</v>
      </c>
      <c r="E8" s="9"/>
      <c r="F8" s="9" t="s">
        <v>10</v>
      </c>
      <c r="G8" s="9" t="s">
        <v>11</v>
      </c>
      <c r="H8" s="14">
        <v>19985</v>
      </c>
      <c r="I8" s="9" t="s">
        <v>88</v>
      </c>
      <c r="J8" s="9"/>
      <c r="K8" s="9" t="s">
        <v>87</v>
      </c>
      <c r="L8" s="9"/>
      <c r="M8" s="9"/>
    </row>
    <row r="9" spans="1:13" ht="35.1" customHeight="1" x14ac:dyDescent="0.25">
      <c r="A9" s="9" t="s">
        <v>86</v>
      </c>
      <c r="B9" s="9" t="s">
        <v>40</v>
      </c>
      <c r="C9" s="9" t="s">
        <v>39</v>
      </c>
      <c r="D9" s="9" t="s">
        <v>85</v>
      </c>
      <c r="E9" s="9"/>
      <c r="F9" s="9" t="s">
        <v>21</v>
      </c>
      <c r="G9" s="9" t="s">
        <v>12</v>
      </c>
      <c r="H9" s="14">
        <v>25359.38</v>
      </c>
      <c r="I9" s="9" t="s">
        <v>84</v>
      </c>
      <c r="J9" s="9"/>
      <c r="K9" s="9" t="s">
        <v>83</v>
      </c>
      <c r="L9" s="9"/>
      <c r="M9" s="9"/>
    </row>
    <row r="10" spans="1:13" ht="35.1" customHeight="1" x14ac:dyDescent="0.25">
      <c r="A10" s="9" t="s">
        <v>82</v>
      </c>
      <c r="B10" s="9" t="s">
        <v>34</v>
      </c>
      <c r="C10" s="9" t="s">
        <v>39</v>
      </c>
      <c r="D10" s="9" t="s">
        <v>81</v>
      </c>
      <c r="E10" s="9"/>
      <c r="F10" s="9" t="s">
        <v>13</v>
      </c>
      <c r="G10" s="9" t="s">
        <v>12</v>
      </c>
      <c r="H10" s="14">
        <v>19560</v>
      </c>
      <c r="I10" s="9" t="s">
        <v>80</v>
      </c>
      <c r="J10" s="9"/>
      <c r="K10" s="9" t="s">
        <v>79</v>
      </c>
      <c r="L10" s="9"/>
      <c r="M10" s="9"/>
    </row>
    <row r="11" spans="1:13" ht="35.1" customHeight="1" x14ac:dyDescent="0.25">
      <c r="A11" s="9" t="s">
        <v>78</v>
      </c>
      <c r="B11" s="9" t="s">
        <v>40</v>
      </c>
      <c r="C11" s="9" t="s">
        <v>39</v>
      </c>
      <c r="D11" s="9" t="s">
        <v>77</v>
      </c>
      <c r="E11" s="9"/>
      <c r="F11" s="9" t="s">
        <v>10</v>
      </c>
      <c r="G11" s="9" t="s">
        <v>12</v>
      </c>
      <c r="H11" s="14">
        <v>26267.69</v>
      </c>
      <c r="I11" s="9"/>
      <c r="J11" s="9"/>
      <c r="K11" s="9" t="s">
        <v>76</v>
      </c>
      <c r="L11" s="9"/>
      <c r="M11" s="9"/>
    </row>
    <row r="12" spans="1:13" ht="35.1" customHeight="1" x14ac:dyDescent="0.25">
      <c r="A12" s="9" t="s">
        <v>75</v>
      </c>
      <c r="B12" s="9" t="s">
        <v>34</v>
      </c>
      <c r="C12" s="9" t="s">
        <v>39</v>
      </c>
      <c r="D12" s="9" t="s">
        <v>74</v>
      </c>
      <c r="E12" s="9"/>
      <c r="F12" s="9" t="s">
        <v>14</v>
      </c>
      <c r="G12" s="9" t="s">
        <v>11</v>
      </c>
      <c r="H12" s="14">
        <v>40036.629999999997</v>
      </c>
      <c r="I12" s="9" t="s">
        <v>73</v>
      </c>
      <c r="J12" s="9"/>
      <c r="K12" s="9" t="s">
        <v>72</v>
      </c>
      <c r="L12" s="9"/>
      <c r="M12" s="9"/>
    </row>
    <row r="13" spans="1:13" ht="35.1" customHeight="1" x14ac:dyDescent="0.25">
      <c r="A13" s="9" t="s">
        <v>71</v>
      </c>
      <c r="B13" s="9" t="s">
        <v>34</v>
      </c>
      <c r="C13" s="9" t="s">
        <v>39</v>
      </c>
      <c r="D13" s="9" t="s">
        <v>70</v>
      </c>
      <c r="E13" s="9"/>
      <c r="F13" s="9" t="s">
        <v>25</v>
      </c>
      <c r="G13" s="9" t="s">
        <v>12</v>
      </c>
      <c r="H13" s="14">
        <v>45520.5</v>
      </c>
      <c r="I13" s="9" t="s">
        <v>69</v>
      </c>
      <c r="J13" s="9"/>
      <c r="K13" s="9" t="s">
        <v>68</v>
      </c>
      <c r="L13" s="9"/>
      <c r="M13" s="9"/>
    </row>
    <row r="14" spans="1:13" ht="35.1" customHeight="1" x14ac:dyDescent="0.25">
      <c r="A14" s="9" t="s">
        <v>67</v>
      </c>
      <c r="B14" s="9" t="s">
        <v>40</v>
      </c>
      <c r="C14" s="9" t="s">
        <v>39</v>
      </c>
      <c r="D14" s="9" t="s">
        <v>66</v>
      </c>
      <c r="E14" s="9"/>
      <c r="F14" s="9" t="s">
        <v>15</v>
      </c>
      <c r="G14" s="9" t="s">
        <v>12</v>
      </c>
      <c r="H14" s="14">
        <v>22729.25</v>
      </c>
      <c r="I14" s="9" t="s">
        <v>65</v>
      </c>
      <c r="J14" s="9"/>
      <c r="K14" s="9" t="s">
        <v>64</v>
      </c>
      <c r="L14" s="9"/>
      <c r="M14" s="9"/>
    </row>
    <row r="15" spans="1:13" ht="35.1" customHeight="1" x14ac:dyDescent="0.25">
      <c r="A15" s="9" t="s">
        <v>63</v>
      </c>
      <c r="B15" s="9" t="s">
        <v>34</v>
      </c>
      <c r="C15" s="9" t="s">
        <v>33</v>
      </c>
      <c r="D15" s="9" t="s">
        <v>62</v>
      </c>
      <c r="E15" s="9"/>
      <c r="F15" s="9" t="s">
        <v>20</v>
      </c>
      <c r="G15" s="9" t="s">
        <v>17</v>
      </c>
      <c r="H15" s="14">
        <v>28440.94</v>
      </c>
      <c r="I15" s="9" t="s">
        <v>61</v>
      </c>
      <c r="J15" s="9"/>
      <c r="K15" s="9" t="s">
        <v>60</v>
      </c>
      <c r="L15" s="9"/>
      <c r="M15" s="9"/>
    </row>
    <row r="16" spans="1:13" ht="35.1" customHeight="1" x14ac:dyDescent="0.25">
      <c r="A16" s="9" t="s">
        <v>59</v>
      </c>
      <c r="B16" s="9" t="s">
        <v>40</v>
      </c>
      <c r="C16" s="9" t="s">
        <v>39</v>
      </c>
      <c r="D16" s="9" t="s">
        <v>58</v>
      </c>
      <c r="E16" s="9"/>
      <c r="F16" s="9" t="s">
        <v>26</v>
      </c>
      <c r="G16" s="9" t="s">
        <v>17</v>
      </c>
      <c r="H16" s="14">
        <v>29228</v>
      </c>
      <c r="I16" s="9" t="s">
        <v>57</v>
      </c>
      <c r="J16" s="9"/>
      <c r="K16" s="9" t="s">
        <v>56</v>
      </c>
      <c r="L16" s="9"/>
      <c r="M16" s="9"/>
    </row>
    <row r="17" spans="1:13" ht="35.1" customHeight="1" x14ac:dyDescent="0.25">
      <c r="A17" s="9" t="s">
        <v>55</v>
      </c>
      <c r="B17" s="9" t="s">
        <v>34</v>
      </c>
      <c r="C17" s="9" t="s">
        <v>39</v>
      </c>
      <c r="D17" s="9" t="s">
        <v>54</v>
      </c>
      <c r="E17" s="9"/>
      <c r="F17" s="9" t="s">
        <v>18</v>
      </c>
      <c r="G17" s="9" t="s">
        <v>17</v>
      </c>
      <c r="H17" s="14">
        <v>15000</v>
      </c>
      <c r="I17" s="9" t="s">
        <v>53</v>
      </c>
      <c r="J17" s="9"/>
      <c r="K17" s="9" t="s">
        <v>52</v>
      </c>
      <c r="L17" s="9"/>
      <c r="M17" s="9"/>
    </row>
    <row r="18" spans="1:13" ht="35.1" customHeight="1" x14ac:dyDescent="0.25">
      <c r="A18" s="9" t="s">
        <v>51</v>
      </c>
      <c r="B18" s="9" t="s">
        <v>34</v>
      </c>
      <c r="C18" s="9" t="s">
        <v>39</v>
      </c>
      <c r="D18" s="9" t="s">
        <v>50</v>
      </c>
      <c r="E18" s="9"/>
      <c r="F18" s="9" t="s">
        <v>22</v>
      </c>
      <c r="G18" s="9" t="s">
        <v>17</v>
      </c>
      <c r="H18" s="14">
        <v>13989.09</v>
      </c>
      <c r="I18" s="9" t="s">
        <v>49</v>
      </c>
      <c r="J18" s="9"/>
      <c r="K18" s="9" t="s">
        <v>48</v>
      </c>
      <c r="L18" s="9"/>
      <c r="M18" s="9"/>
    </row>
    <row r="19" spans="1:13" ht="35.1" customHeight="1" x14ac:dyDescent="0.25">
      <c r="A19" s="9" t="s">
        <v>47</v>
      </c>
      <c r="B19" s="9" t="s">
        <v>34</v>
      </c>
      <c r="C19" s="9" t="s">
        <v>39</v>
      </c>
      <c r="D19" s="9" t="s">
        <v>46</v>
      </c>
      <c r="E19" s="9" t="s">
        <v>45</v>
      </c>
      <c r="F19" s="9" t="s">
        <v>22</v>
      </c>
      <c r="G19" s="9" t="s">
        <v>17</v>
      </c>
      <c r="H19" s="14">
        <v>22122.080000000002</v>
      </c>
      <c r="I19" s="9" t="s">
        <v>44</v>
      </c>
      <c r="J19" s="9"/>
      <c r="K19" s="9" t="s">
        <v>43</v>
      </c>
      <c r="L19" s="9" t="s">
        <v>42</v>
      </c>
      <c r="M19" s="9"/>
    </row>
    <row r="20" spans="1:13" ht="35.1" customHeight="1" x14ac:dyDescent="0.25">
      <c r="A20" s="9" t="s">
        <v>41</v>
      </c>
      <c r="B20" s="9" t="s">
        <v>40</v>
      </c>
      <c r="C20" s="9" t="s">
        <v>39</v>
      </c>
      <c r="D20" s="9" t="s">
        <v>38</v>
      </c>
      <c r="E20" s="9"/>
      <c r="F20" s="9" t="s">
        <v>24</v>
      </c>
      <c r="G20" s="9" t="s">
        <v>12</v>
      </c>
      <c r="H20" s="14">
        <v>53924.44</v>
      </c>
      <c r="I20" s="9" t="s">
        <v>37</v>
      </c>
      <c r="J20" s="9"/>
      <c r="K20" s="9" t="s">
        <v>36</v>
      </c>
      <c r="L20" s="9"/>
      <c r="M20" s="9"/>
    </row>
    <row r="21" spans="1:13" ht="35.1" customHeight="1" x14ac:dyDescent="0.25">
      <c r="A21" s="9" t="s">
        <v>35</v>
      </c>
      <c r="B21" s="9" t="s">
        <v>34</v>
      </c>
      <c r="C21" s="9" t="s">
        <v>33</v>
      </c>
      <c r="D21" s="9" t="s">
        <v>32</v>
      </c>
      <c r="E21" s="9"/>
      <c r="F21" s="9" t="s">
        <v>23</v>
      </c>
      <c r="G21" s="9" t="s">
        <v>12</v>
      </c>
      <c r="H21" s="14">
        <v>32921.74</v>
      </c>
      <c r="I21" s="9" t="s">
        <v>31</v>
      </c>
      <c r="J21" s="9"/>
      <c r="K21" s="9" t="s">
        <v>30</v>
      </c>
      <c r="L21" s="9"/>
      <c r="M21" s="9"/>
    </row>
    <row r="22" spans="1:13" ht="35.1" customHeight="1" x14ac:dyDescent="0.25">
      <c r="A22" s="15"/>
      <c r="B22" s="15"/>
      <c r="C22" s="15"/>
      <c r="D22" s="15" t="s">
        <v>29</v>
      </c>
      <c r="E22" s="15"/>
      <c r="F22" s="15"/>
      <c r="G22" s="15"/>
      <c r="H22" s="16">
        <f>SUM(H4:H21)</f>
        <v>481826.98000000004</v>
      </c>
      <c r="I22" s="15"/>
      <c r="J22" s="15"/>
      <c r="K22" s="15"/>
      <c r="L22" s="15"/>
      <c r="M22" s="9"/>
    </row>
    <row r="23" spans="1:13" ht="35.1" customHeight="1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</row>
    <row r="24" spans="1:13" ht="35.1" customHeight="1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</row>
    <row r="25" spans="1:13" ht="35.1" customHeight="1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</row>
    <row r="26" spans="1:13" ht="35.1" customHeight="1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</row>
    <row r="27" spans="1:13" ht="35.1" customHeight="1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</row>
    <row r="28" spans="1:13" ht="35.1" customHeight="1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</row>
    <row r="29" spans="1:13" ht="35.1" customHeight="1" x14ac:dyDescent="0.25"/>
  </sheetData>
  <mergeCells count="2">
    <mergeCell ref="A2:F2"/>
    <mergeCell ref="G2:L2"/>
  </mergeCells>
  <pageMargins left="0.7" right="0.7" top="0.75" bottom="0.75" header="0.3" footer="0.3"/>
  <pageSetup paperSize="5" scale="60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BFFF3-07B2-4CB7-A8A7-EB5DFB19DB6E}">
  <sheetPr>
    <pageSetUpPr fitToPage="1"/>
  </sheetPr>
  <dimension ref="A1:H33"/>
  <sheetViews>
    <sheetView workbookViewId="0">
      <pane ySplit="3" topLeftCell="A4" activePane="bottomLeft" state="frozen"/>
      <selection pane="bottomLeft" activeCell="A23" sqref="A23"/>
    </sheetView>
  </sheetViews>
  <sheetFormatPr defaultRowHeight="15" x14ac:dyDescent="0.25"/>
  <cols>
    <col min="1" max="1" width="16.42578125" style="8" bestFit="1" customWidth="1"/>
    <col min="2" max="2" width="14" style="8" bestFit="1" customWidth="1"/>
    <col min="3" max="3" width="23.28515625" style="8" bestFit="1" customWidth="1"/>
    <col min="4" max="4" width="18.7109375" style="8" bestFit="1" customWidth="1"/>
    <col min="5" max="5" width="39.5703125" style="8" bestFit="1" customWidth="1"/>
    <col min="6" max="16384" width="9.140625" style="8"/>
  </cols>
  <sheetData>
    <row r="1" spans="1:8" x14ac:dyDescent="0.25">
      <c r="A1" s="9"/>
      <c r="B1" s="9"/>
      <c r="C1" s="9" t="s">
        <v>3</v>
      </c>
      <c r="D1" s="10">
        <v>45840</v>
      </c>
      <c r="E1" s="9" t="s">
        <v>2</v>
      </c>
      <c r="F1" s="9"/>
      <c r="G1" s="9"/>
      <c r="H1" s="9"/>
    </row>
    <row r="2" spans="1:8" x14ac:dyDescent="0.25">
      <c r="A2" s="11" t="s">
        <v>0</v>
      </c>
      <c r="B2" s="12"/>
      <c r="C2" s="12"/>
      <c r="D2" s="13" t="s">
        <v>124</v>
      </c>
      <c r="E2" s="12"/>
      <c r="F2" s="9"/>
      <c r="G2" s="9"/>
      <c r="H2" s="9"/>
    </row>
    <row r="3" spans="1:8" x14ac:dyDescent="0.25">
      <c r="A3" s="9" t="s">
        <v>118</v>
      </c>
      <c r="B3" s="9" t="s">
        <v>116</v>
      </c>
      <c r="C3" s="9" t="s">
        <v>115</v>
      </c>
      <c r="D3" s="9" t="s">
        <v>114</v>
      </c>
      <c r="E3" s="9" t="s">
        <v>4</v>
      </c>
      <c r="F3" s="9"/>
      <c r="G3" s="9"/>
      <c r="H3" s="9"/>
    </row>
    <row r="4" spans="1:8" x14ac:dyDescent="0.25">
      <c r="A4" s="9" t="s">
        <v>63</v>
      </c>
      <c r="B4" s="9" t="s">
        <v>33</v>
      </c>
      <c r="C4" s="9" t="s">
        <v>62</v>
      </c>
      <c r="D4" s="9"/>
      <c r="E4" s="9" t="s">
        <v>20</v>
      </c>
      <c r="F4" s="9"/>
      <c r="G4" s="9"/>
      <c r="H4" s="9"/>
    </row>
    <row r="5" spans="1:8" x14ac:dyDescent="0.25">
      <c r="A5" s="9" t="s">
        <v>35</v>
      </c>
      <c r="B5" s="9" t="s">
        <v>33</v>
      </c>
      <c r="C5" s="9" t="s">
        <v>32</v>
      </c>
      <c r="D5" s="9"/>
      <c r="E5" s="9" t="s">
        <v>23</v>
      </c>
      <c r="F5" s="9"/>
      <c r="G5" s="9"/>
      <c r="H5" s="9"/>
    </row>
    <row r="6" spans="1:8" x14ac:dyDescent="0.25">
      <c r="A6" s="15"/>
      <c r="B6" s="15"/>
      <c r="C6" s="15" t="s">
        <v>123</v>
      </c>
      <c r="D6" s="15"/>
      <c r="E6" s="15"/>
      <c r="F6" s="9"/>
      <c r="G6" s="9"/>
      <c r="H6" s="9"/>
    </row>
    <row r="7" spans="1:8" x14ac:dyDescent="0.25">
      <c r="A7" s="9"/>
      <c r="B7" s="9"/>
      <c r="C7" s="9"/>
      <c r="D7" s="9"/>
      <c r="E7" s="9"/>
      <c r="F7" s="9"/>
      <c r="G7" s="9"/>
      <c r="H7" s="9"/>
    </row>
    <row r="8" spans="1:8" x14ac:dyDescent="0.25">
      <c r="A8" s="9"/>
      <c r="B8" s="9"/>
      <c r="C8" s="9"/>
      <c r="D8" s="9"/>
      <c r="E8" s="9"/>
      <c r="F8" s="9"/>
      <c r="G8" s="9"/>
      <c r="H8" s="9"/>
    </row>
    <row r="9" spans="1:8" x14ac:dyDescent="0.25">
      <c r="A9" s="9" t="s">
        <v>122</v>
      </c>
      <c r="B9" s="9"/>
      <c r="C9" s="9"/>
      <c r="D9" s="9"/>
      <c r="E9" s="9"/>
      <c r="F9" s="9"/>
      <c r="G9" s="9"/>
      <c r="H9" s="9"/>
    </row>
    <row r="10" spans="1:8" x14ac:dyDescent="0.25">
      <c r="A10" s="9"/>
      <c r="B10" s="9"/>
      <c r="C10" s="9"/>
      <c r="D10" s="9"/>
      <c r="E10" s="9"/>
      <c r="F10" s="9"/>
      <c r="G10" s="9"/>
      <c r="H10" s="9"/>
    </row>
    <row r="11" spans="1:8" x14ac:dyDescent="0.25">
      <c r="A11" s="9"/>
      <c r="B11" s="9"/>
      <c r="C11" s="9"/>
      <c r="D11" s="9"/>
      <c r="E11" s="9"/>
      <c r="F11" s="9"/>
      <c r="G11" s="9"/>
      <c r="H11" s="9"/>
    </row>
    <row r="12" spans="1:8" x14ac:dyDescent="0.25">
      <c r="A12" s="9"/>
      <c r="B12" s="9"/>
      <c r="C12" s="9"/>
      <c r="D12" s="9"/>
      <c r="E12" s="9"/>
      <c r="F12" s="9"/>
      <c r="G12" s="9"/>
      <c r="H12" s="9"/>
    </row>
    <row r="13" spans="1:8" x14ac:dyDescent="0.25">
      <c r="A13" s="9" t="s">
        <v>121</v>
      </c>
      <c r="B13" s="9"/>
      <c r="C13" s="9"/>
      <c r="D13" s="9"/>
      <c r="E13" s="9"/>
      <c r="F13" s="9"/>
      <c r="G13" s="9"/>
      <c r="H13" s="9"/>
    </row>
    <row r="14" spans="1:8" x14ac:dyDescent="0.25">
      <c r="A14" s="9"/>
      <c r="B14" s="9"/>
      <c r="C14" s="9"/>
      <c r="D14" s="9"/>
      <c r="E14" s="9"/>
      <c r="F14" s="9"/>
      <c r="G14" s="9"/>
      <c r="H14" s="9"/>
    </row>
    <row r="15" spans="1:8" x14ac:dyDescent="0.25">
      <c r="A15" s="9" t="s">
        <v>120</v>
      </c>
      <c r="B15" s="9"/>
      <c r="C15" s="9"/>
      <c r="D15" s="9"/>
      <c r="E15" s="9"/>
      <c r="F15" s="9"/>
      <c r="G15" s="9"/>
      <c r="H15" s="9"/>
    </row>
    <row r="16" spans="1:8" x14ac:dyDescent="0.25">
      <c r="A16" s="9"/>
      <c r="B16" s="9"/>
      <c r="C16" s="9"/>
      <c r="D16" s="9"/>
      <c r="E16" s="9"/>
      <c r="F16" s="9"/>
      <c r="G16" s="9"/>
      <c r="H16" s="9"/>
    </row>
    <row r="17" spans="1:8" x14ac:dyDescent="0.25">
      <c r="A17" s="9"/>
      <c r="B17" s="9"/>
      <c r="C17" s="9"/>
      <c r="D17" s="9"/>
      <c r="E17" s="9"/>
      <c r="F17" s="9"/>
      <c r="G17" s="9"/>
      <c r="H17" s="9"/>
    </row>
    <row r="18" spans="1:8" x14ac:dyDescent="0.25">
      <c r="A18" s="9"/>
      <c r="B18" s="9"/>
      <c r="C18" s="9"/>
      <c r="D18" s="9"/>
      <c r="E18" s="9"/>
      <c r="F18" s="9"/>
      <c r="G18" s="9"/>
      <c r="H18" s="9"/>
    </row>
    <row r="19" spans="1:8" x14ac:dyDescent="0.25">
      <c r="A19" s="9"/>
      <c r="B19" s="9"/>
      <c r="C19" s="9"/>
      <c r="D19" s="9"/>
      <c r="E19" s="9"/>
      <c r="F19" s="9"/>
      <c r="G19" s="9"/>
      <c r="H19" s="9"/>
    </row>
    <row r="20" spans="1:8" x14ac:dyDescent="0.25">
      <c r="A20" s="9"/>
      <c r="B20" s="9"/>
      <c r="C20" s="9"/>
      <c r="D20" s="9"/>
      <c r="E20" s="9"/>
      <c r="F20" s="9"/>
      <c r="G20" s="9"/>
      <c r="H20" s="9"/>
    </row>
    <row r="21" spans="1:8" x14ac:dyDescent="0.25">
      <c r="A21" s="9"/>
      <c r="B21" s="9"/>
      <c r="C21" s="9"/>
      <c r="D21" s="9"/>
      <c r="E21" s="9"/>
      <c r="F21" s="9"/>
      <c r="G21" s="9"/>
      <c r="H21" s="9"/>
    </row>
    <row r="22" spans="1:8" x14ac:dyDescent="0.25">
      <c r="A22" s="9"/>
      <c r="B22" s="9"/>
      <c r="C22" s="9"/>
      <c r="D22" s="9"/>
      <c r="E22" s="9"/>
      <c r="F22" s="9"/>
      <c r="G22" s="9"/>
      <c r="H22" s="9"/>
    </row>
    <row r="23" spans="1:8" x14ac:dyDescent="0.25">
      <c r="A23" s="9"/>
      <c r="B23" s="9"/>
      <c r="C23" s="9"/>
      <c r="D23" s="9"/>
      <c r="E23" s="9"/>
      <c r="F23" s="9"/>
      <c r="G23" s="9"/>
      <c r="H23" s="9"/>
    </row>
    <row r="24" spans="1:8" x14ac:dyDescent="0.25">
      <c r="A24" s="9"/>
      <c r="B24" s="9"/>
      <c r="C24" s="9"/>
      <c r="D24" s="9"/>
      <c r="E24" s="9"/>
      <c r="F24" s="9"/>
      <c r="G24" s="9"/>
      <c r="H24" s="9"/>
    </row>
    <row r="25" spans="1:8" x14ac:dyDescent="0.25">
      <c r="A25" s="9"/>
      <c r="B25" s="9"/>
      <c r="C25" s="9"/>
      <c r="D25" s="9"/>
      <c r="E25" s="9"/>
      <c r="F25" s="9"/>
      <c r="G25" s="9"/>
      <c r="H25" s="9"/>
    </row>
    <row r="26" spans="1:8" x14ac:dyDescent="0.25">
      <c r="A26" s="9"/>
      <c r="B26" s="9"/>
      <c r="C26" s="9"/>
      <c r="D26" s="9"/>
      <c r="E26" s="9"/>
      <c r="F26" s="9"/>
      <c r="G26" s="9"/>
      <c r="H26" s="9"/>
    </row>
    <row r="27" spans="1:8" x14ac:dyDescent="0.25">
      <c r="A27" s="9"/>
      <c r="B27" s="9"/>
      <c r="C27" s="9"/>
      <c r="D27" s="9"/>
      <c r="E27" s="9"/>
      <c r="F27" s="9"/>
      <c r="G27" s="9"/>
      <c r="H27" s="9"/>
    </row>
    <row r="28" spans="1:8" x14ac:dyDescent="0.25">
      <c r="A28" s="9"/>
      <c r="B28" s="9"/>
      <c r="C28" s="9"/>
      <c r="D28" s="9"/>
      <c r="E28" s="9"/>
      <c r="F28" s="9"/>
      <c r="G28" s="9"/>
      <c r="H28" s="9"/>
    </row>
    <row r="29" spans="1:8" x14ac:dyDescent="0.25">
      <c r="A29" s="9"/>
      <c r="B29" s="9"/>
      <c r="C29" s="9"/>
      <c r="D29" s="9"/>
      <c r="E29" s="9"/>
      <c r="F29" s="9"/>
      <c r="G29" s="9"/>
      <c r="H29" s="9"/>
    </row>
    <row r="30" spans="1:8" x14ac:dyDescent="0.25">
      <c r="A30" s="9"/>
      <c r="B30" s="9"/>
      <c r="C30" s="9"/>
      <c r="D30" s="9"/>
      <c r="E30" s="9"/>
      <c r="F30" s="9"/>
      <c r="G30" s="9"/>
      <c r="H30" s="9"/>
    </row>
    <row r="31" spans="1:8" x14ac:dyDescent="0.25">
      <c r="A31" s="9"/>
      <c r="B31" s="9"/>
      <c r="C31" s="9"/>
      <c r="D31" s="9"/>
      <c r="E31" s="9"/>
      <c r="F31" s="9"/>
      <c r="G31" s="9"/>
      <c r="H31" s="9"/>
    </row>
    <row r="32" spans="1:8" x14ac:dyDescent="0.25">
      <c r="A32" s="9"/>
      <c r="B32" s="9"/>
      <c r="C32" s="9"/>
      <c r="D32" s="9"/>
      <c r="E32" s="9"/>
      <c r="F32" s="9"/>
      <c r="G32" s="9"/>
      <c r="H32" s="9"/>
    </row>
    <row r="33" spans="1:8" x14ac:dyDescent="0.25">
      <c r="A33" s="9"/>
      <c r="B33" s="9"/>
      <c r="C33" s="9"/>
      <c r="D33" s="9"/>
      <c r="E33" s="9"/>
      <c r="F33" s="9"/>
      <c r="G33" s="9"/>
      <c r="H33" s="9"/>
    </row>
  </sheetData>
  <mergeCells count="2">
    <mergeCell ref="A2:C2"/>
    <mergeCell ref="D2:E2"/>
  </mergeCells>
  <pageMargins left="0.7" right="0.7" top="0.75" bottom="0.75" header="0.3" footer="0.3"/>
  <pageSetup scale="80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ACH Version</vt:lpstr>
      <vt:lpstr>Funding Worksheet - Folder Vers</vt:lpstr>
      <vt:lpstr>Funding Worksheet - Signoff 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Neli Oliveira</cp:lastModifiedBy>
  <cp:lastPrinted>2025-07-02T18:37:44Z</cp:lastPrinted>
  <dcterms:created xsi:type="dcterms:W3CDTF">2025-07-02T18:27:46Z</dcterms:created>
  <dcterms:modified xsi:type="dcterms:W3CDTF">2025-07-02T18:52:43Z</dcterms:modified>
</cp:coreProperties>
</file>