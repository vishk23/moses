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D3B541A9-D6EF-4F29-8145-B7E33BA9EE8B}" xr6:coauthVersionLast="47" xr6:coauthVersionMax="47" xr10:uidLastSave="{00000000-0000-0000-0000-000000000000}"/>
  <bookViews>
    <workbookView xWindow="32565" yWindow="480" windowWidth="21390" windowHeight="1507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" l="1"/>
  <c r="G29" i="2"/>
  <c r="G26" i="2"/>
  <c r="G7" i="2"/>
  <c r="H40" i="2"/>
  <c r="F40" i="2"/>
  <c r="E40" i="2"/>
  <c r="D40" i="2"/>
  <c r="H25" i="1"/>
</calcChain>
</file>

<file path=xl/sharedStrings.xml><?xml version="1.0" encoding="utf-8"?>
<sst xmlns="http://schemas.openxmlformats.org/spreadsheetml/2006/main" count="258" uniqueCount="140">
  <si>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</si>
  <si>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</si>
  <si>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</si>
  <si>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</si>
  <si>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</si>
  <si>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</si>
  <si>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</si>
  <si>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</si>
  <si>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</si>
  <si>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</si>
  <si>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</si>
  <si>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</si>
  <si>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</si>
  <si>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</si>
  <si>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</si>
  <si>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</si>
  <si>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HEBERT, MICHAEL</t>
  </si>
  <si>
    <t>HEBERT, SAMANTHA</t>
  </si>
  <si>
    <t>Grieco Toyota</t>
  </si>
  <si>
    <t>Neli Oliveira</t>
  </si>
  <si>
    <t>KIDD</t>
  </si>
  <si>
    <t>CASTORINA</t>
  </si>
  <si>
    <t>Hardaker, Timothy</t>
  </si>
  <si>
    <t>Salvadore Chrysler</t>
  </si>
  <si>
    <t>Marlene Braganca</t>
  </si>
  <si>
    <t>tim67stang@gmail.com</t>
  </si>
  <si>
    <t>Keddy</t>
  </si>
  <si>
    <t>Doray, James</t>
  </si>
  <si>
    <t>Salvadore Chevrolet</t>
  </si>
  <si>
    <t>jim@milespress.us</t>
  </si>
  <si>
    <t>Bucci</t>
  </si>
  <si>
    <t>KJERSGARD, MEGAN</t>
  </si>
  <si>
    <t>T F Murphy Enterprises Inc</t>
  </si>
  <si>
    <t>mekjersgard@gmail.com</t>
  </si>
  <si>
    <t>LeTellier</t>
  </si>
  <si>
    <t>DealerTrack</t>
  </si>
  <si>
    <t>HASSELSTROM, WILLIAM</t>
  </si>
  <si>
    <t>AutoMax Preowned(Framingham)</t>
  </si>
  <si>
    <t>Leyden</t>
  </si>
  <si>
    <t>TEUBEL, DEBORAH</t>
  </si>
  <si>
    <t>TEUBEL, PETER</t>
  </si>
  <si>
    <t>Mathieu Ford Sales, Inc</t>
  </si>
  <si>
    <t>DTEUBEL5@GMAIL.COM</t>
  </si>
  <si>
    <t>Polman</t>
  </si>
  <si>
    <t>Beres</t>
  </si>
  <si>
    <t>TRACEY, ERIC</t>
  </si>
  <si>
    <t>AMARAL TRACEY, TRACY</t>
  </si>
  <si>
    <t>Paul Masse Buick GMC South, Inc</t>
  </si>
  <si>
    <t>ERICRI15@YAHOO.COM</t>
  </si>
  <si>
    <t>tja223@aol.com</t>
  </si>
  <si>
    <t>REBELLO</t>
  </si>
  <si>
    <t>SOUZA</t>
  </si>
  <si>
    <t>CIRINO, ALICIA</t>
  </si>
  <si>
    <t>CIRINO, RICARDO</t>
  </si>
  <si>
    <t>Planet Subaru</t>
  </si>
  <si>
    <t>RICARDO.NATIONAL@GMAIL.COM</t>
  </si>
  <si>
    <t>LITCHFIELD</t>
  </si>
  <si>
    <t>MANZATTO</t>
  </si>
  <si>
    <t>DESROCHERS, CHRISTOPHER</t>
  </si>
  <si>
    <t>MACARUSO</t>
  </si>
  <si>
    <t>151204907</t>
  </si>
  <si>
    <t>Paper</t>
  </si>
  <si>
    <t>Harris, Jeffrey</t>
  </si>
  <si>
    <t>Hiller Co Inc</t>
  </si>
  <si>
    <t>jeffph99@gmail.com</t>
  </si>
  <si>
    <t>RHOADES</t>
  </si>
  <si>
    <t>151204915</t>
  </si>
  <si>
    <t>CIVITARESE, SOPHIA</t>
  </si>
  <si>
    <t>MACY</t>
  </si>
  <si>
    <t>CURRIER, TYLER</t>
  </si>
  <si>
    <t>Rachel Gorham</t>
  </si>
  <si>
    <t>BALDI</t>
  </si>
  <si>
    <t>RICKETTS, ZENAIDA</t>
  </si>
  <si>
    <t>Adao Automotive Group Inc d/b/a</t>
  </si>
  <si>
    <t>RIVERA</t>
  </si>
  <si>
    <t>GREGORIO, JOSEPH</t>
  </si>
  <si>
    <t>JOEG1319@YAHOO.COM</t>
  </si>
  <si>
    <t>GILL</t>
  </si>
  <si>
    <t>BREAU, GABRIELLA</t>
  </si>
  <si>
    <t>BID Cars Boston</t>
  </si>
  <si>
    <t>GABRIELLA.BREAU@GMAIL.COM</t>
  </si>
  <si>
    <t>CRUSE</t>
  </si>
  <si>
    <t>FARBER, THOMAS</t>
  </si>
  <si>
    <t>tjfarber@yahoo.com</t>
  </si>
  <si>
    <t>FREEMAN</t>
  </si>
  <si>
    <t>ALCALA DUARTE, MARIBEL</t>
  </si>
  <si>
    <t>Richard Lundgren, Inc. d/b/a</t>
  </si>
  <si>
    <t>ANDRIBELL23@HOTMAIL.COM</t>
  </si>
  <si>
    <t>DUARTE</t>
  </si>
  <si>
    <t>WATERS, HEATHER</t>
  </si>
  <si>
    <t>Paul Masse Chevrolet, Inc</t>
  </si>
  <si>
    <t>hdwaters1@gmail.com</t>
  </si>
  <si>
    <t>GOLD</t>
  </si>
  <si>
    <t>LE, ANN</t>
  </si>
  <si>
    <t>New England Automax Inc (marlborough)</t>
  </si>
  <si>
    <t>ANNLE617@YAHOO.COM</t>
  </si>
  <si>
    <t>CHOU TRAN</t>
  </si>
  <si>
    <t>SOUSA, DEBORAH</t>
  </si>
  <si>
    <t>SOUSAD@VERIZON.NET</t>
  </si>
  <si>
    <t>O'NEIL</t>
  </si>
  <si>
    <t>LU, TONG</t>
  </si>
  <si>
    <t>Tasca Ford</t>
  </si>
  <si>
    <t>QIONG1978@YAHOO.COM</t>
  </si>
  <si>
    <t>LU</t>
  </si>
  <si>
    <t># 21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</si>
  <si>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</si>
  <si>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</si>
  <si>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</si>
  <si>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</si>
  <si>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</si>
  <si>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</si>
  <si>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Funding Worksheet - Signoff Version</t>
  </si>
  <si>
    <t># 2</t>
  </si>
  <si>
    <t>NE-AutoMax Preowned(Framingham)</t>
  </si>
  <si>
    <t>Lu-Richard Lundgren, Inc. d/b/a</t>
  </si>
  <si>
    <t>Kia of dart-Adao Automotive Group Inc d/b/a</t>
  </si>
  <si>
    <t>Column2</t>
  </si>
  <si>
    <t>Original Notes Delivered</t>
  </si>
  <si>
    <t>Delivered by:</t>
  </si>
  <si>
    <t>Received by:</t>
  </si>
  <si>
    <t>Date Signed:</t>
  </si>
  <si>
    <t>151204890 E</t>
  </si>
  <si>
    <t>151204957 E</t>
  </si>
  <si>
    <t>151204668 E</t>
  </si>
  <si>
    <t>151204692 E</t>
  </si>
  <si>
    <t>151204733 E</t>
  </si>
  <si>
    <t>151204741 E</t>
  </si>
  <si>
    <t>151204767 E</t>
  </si>
  <si>
    <t>151204783 E</t>
  </si>
  <si>
    <t>151204858 E</t>
  </si>
  <si>
    <t>151204866 E</t>
  </si>
  <si>
    <t>151204965 E</t>
  </si>
  <si>
    <t>151204973 E</t>
  </si>
  <si>
    <t>151204999 E</t>
  </si>
  <si>
    <t>151205004 E</t>
  </si>
  <si>
    <t>151205012 E</t>
  </si>
  <si>
    <t>151205020 E</t>
  </si>
  <si>
    <t>151205062 E</t>
  </si>
  <si>
    <t>151205088 E</t>
  </si>
  <si>
    <t>151205070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</si>
</sst>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  <xf numFmtId="0" fontId="0" fillId="0" borderId="1" xfId="0" applyBorder="1"/>
    <xf numFmtId="164" fontId="2" fillId="0" borderId="0" xfId="0" applyNumberFormat="1" applyFon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5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7AFF14-6FD7-4DB5-AC80-E6488DAC7379}" name="Table_13" displayName="Table_13" ref="A3:H40" headerRowDxfId="17" dataDxfId="15" totalsRowDxfId="16">
  <sortState xmlns:xlrd2="http://schemas.microsoft.com/office/spreadsheetml/2017/richdata2" ref="A4:H40">
    <sortCondition ref="A4:A40"/>
  </sortState>
  <tableColumns count="8">
    <tableColumn id="1" xr3:uid="{A2C0DE32-5CF6-4CDD-BBFD-2C3D86BFEBE2}" name="Dealer Name" dataDxfId="25"/>
    <tableColumn id="8" xr3:uid="{59982A7E-41A2-4CC8-87C9-FBDF671C3E4D}" name="Column2" dataDxfId="24"/>
    <tableColumn id="2" xr3:uid="{F781BDA0-D23A-490B-82F1-38862BB1BCA5}" name="Funded by" dataDxfId="23"/>
    <tableColumn id="3" xr3:uid="{64838FD9-FC06-47A4-A920-1AE18D79D68A}" name="Dealer Flat" dataDxfId="22"/>
    <tableColumn id="4" xr3:uid="{AC0A27DE-1A5E-4AAB-8FB9-B551E509900D}" name="Dealer Split" dataDxfId="21"/>
    <tableColumn id="5" xr3:uid="{F371D5E5-0A86-4CBE-B425-50F5314EDB69}" name="Net to Dealer" dataDxfId="20"/>
    <tableColumn id="7" xr3:uid="{7DD10A65-1D7C-4FF1-BC7E-2152E2E34972}" name="Column1" dataDxfId="19"/>
    <tableColumn id="6" xr3:uid="{3A8FC4E9-F263-41BE-A51D-E0292488221B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16D6F9-A604-4C06-BF4A-E06FFFC5B4FC}" name="Table_15" displayName="Table_15" ref="A3:E8">
  <tableColumns count="5">
    <tableColumn id="1" xr3:uid="{0B2C0C1E-3E7C-4CA6-9C1F-26453F79B3F8}" name="Account Number"/>
    <tableColumn id="2" xr3:uid="{9C2F30FC-64A6-45F7-8AC9-37077F57F6ED}" name="Contract Type"/>
    <tableColumn id="3" xr3:uid="{D2B7F943-4D91-42A5-B44A-42C2EC248F15}" name="Applicant Name"/>
    <tableColumn id="4" xr3:uid="{F0EFF12A-AB1B-4737-9BF6-426D3F02B47D}" name="Co-Applicant Name"/>
    <tableColumn id="5" xr3:uid="{0C72B8AB-C435-4F71-B29C-2170812F8D12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tabSelected="1" workbookViewId="0">
      <pane ySplit="3" topLeftCell="A13" activePane="bottomLeft" state="frozen"/>
      <selection pane="bottomLeft" activeCell="D27" sqref="D27"/>
    </sheetView>
  </sheetViews>
  <sheetFormatPr defaultRowHeight="15.75" x14ac:dyDescent="0.25"/>
  <cols>
    <col min="1" max="1" width="16.42578125" style="6" bestFit="1" customWidth="1"/>
    <col min="2" max="2" width="12.140625" style="6" bestFit="1" customWidth="1"/>
    <col min="3" max="3" width="14" style="6" bestFit="1" customWidth="1"/>
    <col min="4" max="4" width="28" style="6" bestFit="1" customWidth="1"/>
    <col min="5" max="5" width="23.7109375" style="6" bestFit="1" customWidth="1"/>
    <col min="6" max="6" width="31.85546875" style="6" customWidth="1"/>
    <col min="7" max="7" width="17.7109375" style="6" bestFit="1" customWidth="1"/>
    <col min="8" max="8" width="17.140625" style="6" bestFit="1" customWidth="1"/>
    <col min="9" max="9" width="30.7109375" style="6" bestFit="1" customWidth="1"/>
    <col min="10" max="10" width="32" style="6" bestFit="1" customWidth="1"/>
    <col min="11" max="11" width="13.140625" style="6" bestFit="1" customWidth="1"/>
    <col min="12" max="12" width="12.85546875" style="6" bestFit="1" customWidth="1"/>
    <col min="13" max="16384" width="9.140625" style="6"/>
  </cols>
  <sheetData>
    <row r="1" spans="1:12" x14ac:dyDescent="0.25">
      <c r="K1" s="16">
        <v>45860</v>
      </c>
      <c r="L1" s="17"/>
    </row>
    <row r="2" spans="1:12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  <c r="L2" s="9"/>
    </row>
    <row r="3" spans="1:12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ht="33" customHeight="1" x14ac:dyDescent="0.25">
      <c r="A4" s="6" t="s">
        <v>123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11">
        <v>27829.06</v>
      </c>
      <c r="K4" s="6" t="s">
        <v>20</v>
      </c>
      <c r="L4" s="6" t="s">
        <v>21</v>
      </c>
    </row>
    <row r="5" spans="1:12" ht="33" customHeight="1" x14ac:dyDescent="0.25">
      <c r="A5" s="6" t="s">
        <v>124</v>
      </c>
      <c r="B5" s="6" t="s">
        <v>14</v>
      </c>
      <c r="C5" s="6" t="s">
        <v>15</v>
      </c>
      <c r="D5" s="6" t="s">
        <v>22</v>
      </c>
      <c r="F5" s="6" t="s">
        <v>23</v>
      </c>
      <c r="G5" s="6" t="s">
        <v>24</v>
      </c>
      <c r="H5" s="11">
        <v>50538.44</v>
      </c>
      <c r="I5" s="6" t="s">
        <v>25</v>
      </c>
      <c r="K5" s="6" t="s">
        <v>26</v>
      </c>
    </row>
    <row r="6" spans="1:12" ht="33" customHeight="1" x14ac:dyDescent="0.25">
      <c r="A6" s="6" t="s">
        <v>125</v>
      </c>
      <c r="B6" s="6" t="s">
        <v>14</v>
      </c>
      <c r="C6" s="6" t="s">
        <v>15</v>
      </c>
      <c r="D6" s="6" t="s">
        <v>27</v>
      </c>
      <c r="F6" s="6" t="s">
        <v>28</v>
      </c>
      <c r="G6" s="6" t="s">
        <v>24</v>
      </c>
      <c r="H6" s="11">
        <v>17909.25</v>
      </c>
      <c r="I6" s="6" t="s">
        <v>29</v>
      </c>
      <c r="K6" s="6" t="s">
        <v>30</v>
      </c>
    </row>
    <row r="7" spans="1:12" ht="33" customHeight="1" x14ac:dyDescent="0.25">
      <c r="A7" s="6" t="s">
        <v>126</v>
      </c>
      <c r="B7" s="6" t="s">
        <v>14</v>
      </c>
      <c r="C7" s="6" t="s">
        <v>15</v>
      </c>
      <c r="D7" s="6" t="s">
        <v>31</v>
      </c>
      <c r="F7" s="6" t="s">
        <v>32</v>
      </c>
      <c r="G7" s="6" t="s">
        <v>24</v>
      </c>
      <c r="H7" s="11">
        <v>33479.449999999997</v>
      </c>
      <c r="I7" s="6" t="s">
        <v>33</v>
      </c>
      <c r="K7" s="6" t="s">
        <v>34</v>
      </c>
    </row>
    <row r="8" spans="1:12" ht="33" customHeight="1" x14ac:dyDescent="0.25">
      <c r="A8" s="6" t="s">
        <v>127</v>
      </c>
      <c r="B8" s="6" t="s">
        <v>35</v>
      </c>
      <c r="C8" s="6" t="s">
        <v>15</v>
      </c>
      <c r="D8" s="6" t="s">
        <v>36</v>
      </c>
      <c r="F8" s="6" t="s">
        <v>37</v>
      </c>
      <c r="G8" s="6" t="s">
        <v>24</v>
      </c>
      <c r="H8" s="11">
        <v>41041.81</v>
      </c>
      <c r="K8" s="6" t="s">
        <v>38</v>
      </c>
    </row>
    <row r="9" spans="1:12" ht="33" customHeight="1" x14ac:dyDescent="0.25">
      <c r="A9" s="6" t="s">
        <v>128</v>
      </c>
      <c r="B9" s="6" t="s">
        <v>14</v>
      </c>
      <c r="C9" s="6" t="s">
        <v>15</v>
      </c>
      <c r="D9" s="6" t="s">
        <v>39</v>
      </c>
      <c r="E9" s="6" t="s">
        <v>40</v>
      </c>
      <c r="F9" s="6" t="s">
        <v>41</v>
      </c>
      <c r="G9" s="6" t="s">
        <v>24</v>
      </c>
      <c r="H9" s="11">
        <v>26924</v>
      </c>
      <c r="I9" s="6" t="s">
        <v>42</v>
      </c>
      <c r="K9" s="6" t="s">
        <v>43</v>
      </c>
      <c r="L9" s="6" t="s">
        <v>44</v>
      </c>
    </row>
    <row r="10" spans="1:12" ht="33" customHeight="1" x14ac:dyDescent="0.25">
      <c r="A10" s="6" t="s">
        <v>129</v>
      </c>
      <c r="B10" s="6" t="s">
        <v>14</v>
      </c>
      <c r="C10" s="6" t="s">
        <v>15</v>
      </c>
      <c r="D10" s="6" t="s">
        <v>45</v>
      </c>
      <c r="E10" s="6" t="s">
        <v>46</v>
      </c>
      <c r="F10" s="6" t="s">
        <v>47</v>
      </c>
      <c r="G10" s="6" t="s">
        <v>19</v>
      </c>
      <c r="H10" s="11">
        <v>24745.439999999999</v>
      </c>
      <c r="I10" s="6" t="s">
        <v>48</v>
      </c>
      <c r="J10" s="6" t="s">
        <v>49</v>
      </c>
      <c r="K10" s="6" t="s">
        <v>50</v>
      </c>
      <c r="L10" s="6" t="s">
        <v>51</v>
      </c>
    </row>
    <row r="11" spans="1:12" ht="33" customHeight="1" x14ac:dyDescent="0.25">
      <c r="A11" s="6" t="s">
        <v>130</v>
      </c>
      <c r="B11" s="6" t="s">
        <v>35</v>
      </c>
      <c r="C11" s="6" t="s">
        <v>15</v>
      </c>
      <c r="D11" s="6" t="s">
        <v>52</v>
      </c>
      <c r="E11" s="6" t="s">
        <v>53</v>
      </c>
      <c r="F11" s="6" t="s">
        <v>54</v>
      </c>
      <c r="G11" s="6" t="s">
        <v>19</v>
      </c>
      <c r="H11" s="11">
        <v>31276.13</v>
      </c>
      <c r="J11" s="6" t="s">
        <v>55</v>
      </c>
      <c r="K11" s="6" t="s">
        <v>56</v>
      </c>
      <c r="L11" s="6" t="s">
        <v>57</v>
      </c>
    </row>
    <row r="12" spans="1:12" ht="33" customHeight="1" x14ac:dyDescent="0.25">
      <c r="A12" s="6" t="s">
        <v>121</v>
      </c>
      <c r="B12" s="6" t="s">
        <v>14</v>
      </c>
      <c r="C12" s="6" t="s">
        <v>15</v>
      </c>
      <c r="D12" s="6" t="s">
        <v>58</v>
      </c>
      <c r="F12" s="6" t="s">
        <v>18</v>
      </c>
      <c r="G12" s="6" t="s">
        <v>19</v>
      </c>
      <c r="H12" s="11">
        <v>50999.4</v>
      </c>
      <c r="K12" s="6" t="s">
        <v>59</v>
      </c>
    </row>
    <row r="13" spans="1:12" ht="33" customHeight="1" x14ac:dyDescent="0.25">
      <c r="A13" s="6" t="s">
        <v>60</v>
      </c>
      <c r="B13" s="6" t="s">
        <v>14</v>
      </c>
      <c r="C13" s="6" t="s">
        <v>61</v>
      </c>
      <c r="D13" s="6" t="s">
        <v>62</v>
      </c>
      <c r="F13" s="6" t="s">
        <v>63</v>
      </c>
      <c r="G13" s="6" t="s">
        <v>19</v>
      </c>
      <c r="H13" s="11">
        <v>30222.63</v>
      </c>
      <c r="I13" s="6" t="s">
        <v>64</v>
      </c>
      <c r="K13" s="6" t="s">
        <v>65</v>
      </c>
    </row>
    <row r="14" spans="1:12" ht="33" customHeight="1" x14ac:dyDescent="0.25">
      <c r="A14" s="6" t="s">
        <v>66</v>
      </c>
      <c r="B14" s="6" t="s">
        <v>14</v>
      </c>
      <c r="C14" s="6" t="s">
        <v>61</v>
      </c>
      <c r="D14" s="6" t="s">
        <v>67</v>
      </c>
      <c r="F14" s="6" t="s">
        <v>32</v>
      </c>
      <c r="G14" s="6" t="s">
        <v>19</v>
      </c>
      <c r="H14" s="11">
        <v>45456.63</v>
      </c>
      <c r="K14" s="6" t="s">
        <v>68</v>
      </c>
    </row>
    <row r="15" spans="1:12" ht="33" customHeight="1" x14ac:dyDescent="0.25">
      <c r="A15" s="6" t="s">
        <v>122</v>
      </c>
      <c r="B15" s="6" t="s">
        <v>14</v>
      </c>
      <c r="C15" s="6" t="s">
        <v>15</v>
      </c>
      <c r="D15" s="6" t="s">
        <v>69</v>
      </c>
      <c r="F15" s="6" t="s">
        <v>32</v>
      </c>
      <c r="G15" s="6" t="s">
        <v>70</v>
      </c>
      <c r="H15" s="11">
        <v>43972.19</v>
      </c>
      <c r="K15" s="6" t="s">
        <v>71</v>
      </c>
    </row>
    <row r="16" spans="1:12" ht="33" customHeight="1" x14ac:dyDescent="0.25">
      <c r="A16" s="6" t="s">
        <v>131</v>
      </c>
      <c r="B16" s="6" t="s">
        <v>35</v>
      </c>
      <c r="C16" s="6" t="s">
        <v>15</v>
      </c>
      <c r="D16" s="6" t="s">
        <v>72</v>
      </c>
      <c r="F16" s="6" t="s">
        <v>73</v>
      </c>
      <c r="G16" s="6" t="s">
        <v>70</v>
      </c>
      <c r="H16" s="11">
        <v>16281.56</v>
      </c>
      <c r="K16" s="6" t="s">
        <v>74</v>
      </c>
    </row>
    <row r="17" spans="1:12" ht="33" customHeight="1" x14ac:dyDescent="0.25">
      <c r="A17" s="6" t="s">
        <v>132</v>
      </c>
      <c r="B17" s="6" t="s">
        <v>14</v>
      </c>
      <c r="C17" s="6" t="s">
        <v>15</v>
      </c>
      <c r="D17" s="6" t="s">
        <v>75</v>
      </c>
      <c r="F17" s="6" t="s">
        <v>32</v>
      </c>
      <c r="G17" s="6" t="s">
        <v>70</v>
      </c>
      <c r="H17" s="11">
        <v>34137.160000000003</v>
      </c>
      <c r="I17" s="6" t="s">
        <v>76</v>
      </c>
      <c r="K17" s="6" t="s">
        <v>77</v>
      </c>
    </row>
    <row r="18" spans="1:12" ht="33" customHeight="1" x14ac:dyDescent="0.25">
      <c r="A18" s="6" t="s">
        <v>133</v>
      </c>
      <c r="B18" s="6" t="s">
        <v>35</v>
      </c>
      <c r="C18" s="6" t="s">
        <v>15</v>
      </c>
      <c r="D18" s="6" t="s">
        <v>78</v>
      </c>
      <c r="F18" s="6" t="s">
        <v>79</v>
      </c>
      <c r="G18" s="6" t="s">
        <v>70</v>
      </c>
      <c r="H18" s="11">
        <v>18609.189999999999</v>
      </c>
      <c r="I18" s="6" t="s">
        <v>80</v>
      </c>
      <c r="K18" s="6" t="s">
        <v>81</v>
      </c>
    </row>
    <row r="19" spans="1:12" ht="33" customHeight="1" x14ac:dyDescent="0.25">
      <c r="A19" s="6" t="s">
        <v>134</v>
      </c>
      <c r="B19" s="6" t="s">
        <v>14</v>
      </c>
      <c r="C19" s="6" t="s">
        <v>15</v>
      </c>
      <c r="D19" s="6" t="s">
        <v>82</v>
      </c>
      <c r="F19" s="6" t="s">
        <v>28</v>
      </c>
      <c r="G19" s="6" t="s">
        <v>70</v>
      </c>
      <c r="H19" s="11">
        <v>49175</v>
      </c>
      <c r="I19" s="6" t="s">
        <v>83</v>
      </c>
      <c r="K19" s="6" t="s">
        <v>84</v>
      </c>
    </row>
    <row r="20" spans="1:12" ht="33" customHeight="1" x14ac:dyDescent="0.25">
      <c r="A20" s="6" t="s">
        <v>135</v>
      </c>
      <c r="B20" s="6" t="s">
        <v>35</v>
      </c>
      <c r="C20" s="6" t="s">
        <v>15</v>
      </c>
      <c r="D20" s="6" t="s">
        <v>85</v>
      </c>
      <c r="F20" s="6" t="s">
        <v>86</v>
      </c>
      <c r="G20" s="6" t="s">
        <v>70</v>
      </c>
      <c r="H20" s="11">
        <v>44475.19</v>
      </c>
      <c r="I20" s="6" t="s">
        <v>87</v>
      </c>
      <c r="K20" s="6" t="s">
        <v>88</v>
      </c>
    </row>
    <row r="21" spans="1:12" ht="33" customHeight="1" x14ac:dyDescent="0.25">
      <c r="A21" s="6" t="s">
        <v>136</v>
      </c>
      <c r="B21" s="6" t="s">
        <v>14</v>
      </c>
      <c r="C21" s="6" t="s">
        <v>15</v>
      </c>
      <c r="D21" s="6" t="s">
        <v>89</v>
      </c>
      <c r="F21" s="6" t="s">
        <v>90</v>
      </c>
      <c r="G21" s="6" t="s">
        <v>70</v>
      </c>
      <c r="H21" s="11">
        <v>38562.69</v>
      </c>
      <c r="I21" s="6" t="s">
        <v>91</v>
      </c>
      <c r="K21" s="6" t="s">
        <v>92</v>
      </c>
    </row>
    <row r="22" spans="1:12" ht="33" customHeight="1" x14ac:dyDescent="0.25">
      <c r="A22" s="6" t="s">
        <v>137</v>
      </c>
      <c r="B22" s="6" t="s">
        <v>35</v>
      </c>
      <c r="C22" s="6" t="s">
        <v>15</v>
      </c>
      <c r="D22" s="6" t="s">
        <v>93</v>
      </c>
      <c r="F22" s="6" t="s">
        <v>94</v>
      </c>
      <c r="G22" s="6" t="s">
        <v>70</v>
      </c>
      <c r="H22" s="11">
        <v>34971</v>
      </c>
      <c r="I22" s="6" t="s">
        <v>95</v>
      </c>
      <c r="K22" s="6" t="s">
        <v>96</v>
      </c>
    </row>
    <row r="23" spans="1:12" ht="33" customHeight="1" x14ac:dyDescent="0.25">
      <c r="A23" s="6" t="s">
        <v>139</v>
      </c>
      <c r="B23" s="6" t="s">
        <v>35</v>
      </c>
      <c r="C23" s="6" t="s">
        <v>15</v>
      </c>
      <c r="D23" s="6" t="s">
        <v>97</v>
      </c>
      <c r="F23" s="6" t="s">
        <v>54</v>
      </c>
      <c r="G23" s="6" t="s">
        <v>19</v>
      </c>
      <c r="H23" s="11">
        <v>20527</v>
      </c>
      <c r="I23" s="6" t="s">
        <v>98</v>
      </c>
      <c r="K23" s="6" t="s">
        <v>99</v>
      </c>
    </row>
    <row r="24" spans="1:12" ht="33" customHeight="1" x14ac:dyDescent="0.25">
      <c r="A24" s="6" t="s">
        <v>138</v>
      </c>
      <c r="B24" s="6" t="s">
        <v>14</v>
      </c>
      <c r="C24" s="6" t="s">
        <v>15</v>
      </c>
      <c r="D24" s="6" t="s">
        <v>100</v>
      </c>
      <c r="F24" s="6" t="s">
        <v>101</v>
      </c>
      <c r="G24" s="6" t="s">
        <v>19</v>
      </c>
      <c r="H24" s="11">
        <v>29917.83</v>
      </c>
      <c r="I24" s="6" t="s">
        <v>102</v>
      </c>
      <c r="K24" s="6" t="s">
        <v>103</v>
      </c>
    </row>
    <row r="25" spans="1:12" x14ac:dyDescent="0.25">
      <c r="A25" s="13"/>
      <c r="B25" s="13"/>
      <c r="C25" s="13"/>
      <c r="D25" s="13" t="s">
        <v>104</v>
      </c>
      <c r="E25" s="13"/>
      <c r="F25" s="13"/>
      <c r="G25" s="13"/>
      <c r="H25" s="14">
        <f>SUM(H4:H24)</f>
        <v>711051.04999999993</v>
      </c>
      <c r="I25" s="13"/>
      <c r="J25" s="13"/>
      <c r="K25" s="13"/>
      <c r="L25" s="13"/>
    </row>
  </sheetData>
  <mergeCells count="3">
    <mergeCell ref="A2:F2"/>
    <mergeCell ref="G2:L2"/>
    <mergeCell ref="K1:L1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3BBA-AD59-459F-9D3A-526E751993E8}">
  <sheetPr>
    <pageSetUpPr fitToPage="1"/>
  </sheetPr>
  <dimension ref="A1:H40"/>
  <sheetViews>
    <sheetView workbookViewId="0">
      <selection activeCell="K15" sqref="K15"/>
    </sheetView>
  </sheetViews>
  <sheetFormatPr defaultRowHeight="15.75" x14ac:dyDescent="0.25"/>
  <cols>
    <col min="1" max="1" width="20.7109375" style="6" customWidth="1"/>
    <col min="2" max="2" width="19.85546875" style="6" customWidth="1"/>
    <col min="3" max="3" width="14.140625" style="6" customWidth="1"/>
    <col min="4" max="4" width="16.85546875" style="6" customWidth="1"/>
    <col min="5" max="5" width="14.42578125" style="6" customWidth="1"/>
    <col min="6" max="7" width="14.7109375" style="6" customWidth="1"/>
    <col min="8" max="8" width="19.28515625" style="6" customWidth="1"/>
    <col min="9" max="16384" width="9.140625" style="6"/>
  </cols>
  <sheetData>
    <row r="1" spans="1:8" x14ac:dyDescent="0.25">
      <c r="E1" s="7"/>
      <c r="H1" s="7">
        <v>45860.999988425923</v>
      </c>
    </row>
    <row r="2" spans="1:8" x14ac:dyDescent="0.25">
      <c r="A2" s="8" t="s">
        <v>0</v>
      </c>
      <c r="B2" s="8"/>
      <c r="C2" s="9"/>
      <c r="D2" s="9"/>
      <c r="E2" s="10" t="s">
        <v>105</v>
      </c>
      <c r="F2" s="9"/>
      <c r="G2" s="9"/>
      <c r="H2" s="9"/>
    </row>
    <row r="3" spans="1:8" x14ac:dyDescent="0.25">
      <c r="A3" s="6" t="s">
        <v>7</v>
      </c>
      <c r="B3" s="6" t="s">
        <v>116</v>
      </c>
      <c r="C3" s="6" t="s">
        <v>8</v>
      </c>
      <c r="D3" s="6" t="s">
        <v>106</v>
      </c>
      <c r="E3" s="6" t="s">
        <v>107</v>
      </c>
      <c r="F3" s="6" t="s">
        <v>108</v>
      </c>
      <c r="G3" s="6" t="s">
        <v>110</v>
      </c>
      <c r="H3" s="6" t="s">
        <v>109</v>
      </c>
    </row>
    <row r="4" spans="1:8" ht="27" customHeight="1" x14ac:dyDescent="0.25">
      <c r="A4" s="6" t="s">
        <v>79</v>
      </c>
      <c r="C4" s="6" t="s">
        <v>70</v>
      </c>
      <c r="D4" s="11">
        <v>500</v>
      </c>
      <c r="E4" s="11">
        <v>0</v>
      </c>
      <c r="F4" s="12">
        <v>18534.189999999999</v>
      </c>
      <c r="G4" s="11"/>
      <c r="H4" s="11">
        <v>18609.189999999999</v>
      </c>
    </row>
    <row r="5" spans="1:8" ht="27" customHeight="1" x14ac:dyDescent="0.25">
      <c r="D5" s="11"/>
      <c r="E5" s="11"/>
      <c r="F5" s="11"/>
      <c r="G5" s="11"/>
      <c r="H5" s="11"/>
    </row>
    <row r="6" spans="1:8" ht="27" customHeight="1" x14ac:dyDescent="0.25">
      <c r="A6" s="6" t="s">
        <v>18</v>
      </c>
      <c r="C6" s="6" t="s">
        <v>19</v>
      </c>
      <c r="D6" s="11">
        <v>1350</v>
      </c>
      <c r="E6" s="11">
        <v>0</v>
      </c>
      <c r="F6" s="11">
        <v>50924.4</v>
      </c>
      <c r="G6" s="11"/>
      <c r="H6" s="11">
        <v>50999.4</v>
      </c>
    </row>
    <row r="7" spans="1:8" ht="27" customHeight="1" x14ac:dyDescent="0.25">
      <c r="A7" s="6" t="s">
        <v>18</v>
      </c>
      <c r="C7" s="6" t="s">
        <v>19</v>
      </c>
      <c r="D7" s="11">
        <v>750</v>
      </c>
      <c r="E7" s="11">
        <v>0</v>
      </c>
      <c r="F7" s="11">
        <v>27754.06</v>
      </c>
      <c r="G7" s="12">
        <f>SUM(F6:F7)</f>
        <v>78678.460000000006</v>
      </c>
      <c r="H7" s="11">
        <v>27829.06</v>
      </c>
    </row>
    <row r="8" spans="1:8" ht="27" customHeight="1" x14ac:dyDescent="0.25">
      <c r="D8" s="11"/>
      <c r="E8" s="11"/>
      <c r="F8" s="11"/>
      <c r="G8" s="11"/>
      <c r="H8" s="11"/>
    </row>
    <row r="9" spans="1:8" ht="27" customHeight="1" x14ac:dyDescent="0.25">
      <c r="A9" s="6" t="s">
        <v>63</v>
      </c>
      <c r="C9" s="6" t="s">
        <v>19</v>
      </c>
      <c r="D9" s="11">
        <v>850</v>
      </c>
      <c r="E9" s="11">
        <v>0</v>
      </c>
      <c r="F9" s="12">
        <v>30147.63</v>
      </c>
      <c r="G9" s="11"/>
      <c r="H9" s="11">
        <v>30222.63</v>
      </c>
    </row>
    <row r="10" spans="1:8" ht="27" customHeight="1" x14ac:dyDescent="0.25">
      <c r="D10" s="11"/>
      <c r="E10" s="11"/>
      <c r="F10" s="12"/>
      <c r="G10" s="11"/>
      <c r="H10" s="11"/>
    </row>
    <row r="11" spans="1:8" ht="27" customHeight="1" x14ac:dyDescent="0.25">
      <c r="A11" s="6" t="s">
        <v>115</v>
      </c>
      <c r="C11" s="6" t="s">
        <v>70</v>
      </c>
      <c r="D11" s="11">
        <v>500</v>
      </c>
      <c r="E11" s="11">
        <v>0</v>
      </c>
      <c r="F11" s="12">
        <v>16206.56</v>
      </c>
      <c r="G11" s="11"/>
      <c r="H11" s="11">
        <v>16281.56</v>
      </c>
    </row>
    <row r="12" spans="1:8" ht="27" customHeight="1" x14ac:dyDescent="0.25">
      <c r="D12" s="11"/>
      <c r="E12" s="11"/>
      <c r="F12" s="12"/>
      <c r="G12" s="11"/>
      <c r="H12" s="11"/>
    </row>
    <row r="13" spans="1:8" ht="27" customHeight="1" x14ac:dyDescent="0.25">
      <c r="A13" s="6" t="s">
        <v>114</v>
      </c>
      <c r="C13" s="6" t="s">
        <v>70</v>
      </c>
      <c r="D13" s="11">
        <v>1050</v>
      </c>
      <c r="E13" s="11">
        <v>0</v>
      </c>
      <c r="F13" s="12">
        <v>44400.19</v>
      </c>
      <c r="G13" s="11"/>
      <c r="H13" s="11">
        <v>44475.19</v>
      </c>
    </row>
    <row r="14" spans="1:8" ht="27" customHeight="1" x14ac:dyDescent="0.25">
      <c r="D14" s="11"/>
      <c r="E14" s="11"/>
      <c r="F14" s="12"/>
      <c r="G14" s="11"/>
      <c r="H14" s="11"/>
    </row>
    <row r="15" spans="1:8" ht="27" customHeight="1" x14ac:dyDescent="0.25">
      <c r="A15" s="6" t="s">
        <v>41</v>
      </c>
      <c r="C15" s="6" t="s">
        <v>24</v>
      </c>
      <c r="D15" s="11">
        <v>750</v>
      </c>
      <c r="E15" s="11">
        <v>0</v>
      </c>
      <c r="F15" s="12">
        <v>26849</v>
      </c>
      <c r="G15" s="11"/>
      <c r="H15" s="11">
        <v>26924</v>
      </c>
    </row>
    <row r="16" spans="1:8" ht="27" customHeight="1" x14ac:dyDescent="0.25">
      <c r="D16" s="11"/>
      <c r="E16" s="11"/>
      <c r="F16" s="12"/>
      <c r="G16" s="11"/>
      <c r="H16" s="11"/>
    </row>
    <row r="17" spans="1:8" ht="27" customHeight="1" x14ac:dyDescent="0.25">
      <c r="A17" s="6" t="s">
        <v>113</v>
      </c>
      <c r="C17" s="6" t="s">
        <v>24</v>
      </c>
      <c r="D17" s="11">
        <v>1050</v>
      </c>
      <c r="E17" s="11">
        <v>0</v>
      </c>
      <c r="F17" s="12">
        <v>40966.81</v>
      </c>
      <c r="G17" s="11"/>
      <c r="H17" s="11">
        <v>41041.81</v>
      </c>
    </row>
    <row r="18" spans="1:8" ht="27" customHeight="1" x14ac:dyDescent="0.25">
      <c r="D18" s="11"/>
      <c r="E18" s="11"/>
      <c r="F18" s="12"/>
      <c r="G18" s="11"/>
      <c r="H18" s="11"/>
    </row>
    <row r="19" spans="1:8" ht="27" customHeight="1" x14ac:dyDescent="0.25">
      <c r="A19" s="6" t="s">
        <v>94</v>
      </c>
      <c r="C19" s="6" t="s">
        <v>70</v>
      </c>
      <c r="D19" s="11">
        <v>850</v>
      </c>
      <c r="E19" s="11">
        <v>0</v>
      </c>
      <c r="F19" s="12">
        <v>34896</v>
      </c>
      <c r="G19" s="11"/>
      <c r="H19" s="11">
        <v>34971</v>
      </c>
    </row>
    <row r="20" spans="1:8" ht="27" customHeight="1" x14ac:dyDescent="0.25">
      <c r="D20" s="11"/>
      <c r="E20" s="11"/>
      <c r="F20" s="12"/>
      <c r="G20" s="11"/>
      <c r="H20" s="11"/>
    </row>
    <row r="21" spans="1:8" ht="27" customHeight="1" x14ac:dyDescent="0.25">
      <c r="A21" s="6" t="s">
        <v>47</v>
      </c>
      <c r="C21" s="6" t="s">
        <v>19</v>
      </c>
      <c r="D21" s="11">
        <v>650</v>
      </c>
      <c r="E21" s="11">
        <v>0</v>
      </c>
      <c r="F21" s="12">
        <v>24670.44</v>
      </c>
      <c r="G21" s="11"/>
      <c r="H21" s="11">
        <v>24745.439999999999</v>
      </c>
    </row>
    <row r="22" spans="1:8" ht="27" customHeight="1" x14ac:dyDescent="0.25">
      <c r="D22" s="11"/>
      <c r="E22" s="11"/>
      <c r="F22" s="12"/>
      <c r="G22" s="11"/>
      <c r="H22" s="11"/>
    </row>
    <row r="23" spans="1:8" ht="27" customHeight="1" x14ac:dyDescent="0.25">
      <c r="A23" s="6" t="s">
        <v>90</v>
      </c>
      <c r="C23" s="6" t="s">
        <v>70</v>
      </c>
      <c r="D23" s="11">
        <v>950</v>
      </c>
      <c r="E23" s="11">
        <v>0</v>
      </c>
      <c r="F23" s="12">
        <v>38487.69</v>
      </c>
      <c r="G23" s="11"/>
      <c r="H23" s="11">
        <v>38562.69</v>
      </c>
    </row>
    <row r="24" spans="1:8" ht="27" customHeight="1" x14ac:dyDescent="0.25">
      <c r="D24" s="11"/>
      <c r="E24" s="11"/>
      <c r="F24" s="11"/>
      <c r="G24" s="11"/>
      <c r="H24" s="11"/>
    </row>
    <row r="25" spans="1:8" ht="27" customHeight="1" x14ac:dyDescent="0.25">
      <c r="A25" s="6" t="s">
        <v>54</v>
      </c>
      <c r="C25" s="6" t="s">
        <v>19</v>
      </c>
      <c r="D25" s="11">
        <v>650</v>
      </c>
      <c r="E25" s="11">
        <v>0</v>
      </c>
      <c r="F25" s="11">
        <v>20452</v>
      </c>
      <c r="G25" s="11"/>
      <c r="H25" s="11">
        <v>20527</v>
      </c>
    </row>
    <row r="26" spans="1:8" ht="27" customHeight="1" x14ac:dyDescent="0.25">
      <c r="A26" s="6" t="s">
        <v>54</v>
      </c>
      <c r="C26" s="6" t="s">
        <v>19</v>
      </c>
      <c r="D26" s="11">
        <v>850</v>
      </c>
      <c r="E26" s="11">
        <v>0</v>
      </c>
      <c r="F26" s="11">
        <v>31201.13</v>
      </c>
      <c r="G26" s="12">
        <f>SUM(F25:F26)</f>
        <v>51653.130000000005</v>
      </c>
      <c r="H26" s="11">
        <v>31276.13</v>
      </c>
    </row>
    <row r="27" spans="1:8" ht="27" customHeight="1" x14ac:dyDescent="0.25">
      <c r="D27" s="11"/>
      <c r="E27" s="11"/>
      <c r="F27" s="11"/>
      <c r="G27" s="11"/>
      <c r="H27" s="11"/>
    </row>
    <row r="28" spans="1:8" ht="27" customHeight="1" x14ac:dyDescent="0.25">
      <c r="A28" s="6" t="s">
        <v>28</v>
      </c>
      <c r="C28" s="6" t="s">
        <v>24</v>
      </c>
      <c r="D28" s="11">
        <v>500</v>
      </c>
      <c r="E28" s="11">
        <v>0</v>
      </c>
      <c r="F28" s="11">
        <v>17834.25</v>
      </c>
      <c r="G28" s="11"/>
      <c r="H28" s="11">
        <v>17909.25</v>
      </c>
    </row>
    <row r="29" spans="1:8" ht="27" customHeight="1" x14ac:dyDescent="0.25">
      <c r="A29" s="6" t="s">
        <v>28</v>
      </c>
      <c r="C29" s="6" t="s">
        <v>70</v>
      </c>
      <c r="D29" s="11">
        <v>1150</v>
      </c>
      <c r="E29" s="11">
        <v>0</v>
      </c>
      <c r="F29" s="11">
        <v>49100</v>
      </c>
      <c r="G29" s="12">
        <f>SUM(F28:F29)</f>
        <v>66934.25</v>
      </c>
      <c r="H29" s="11">
        <v>49175</v>
      </c>
    </row>
    <row r="30" spans="1:8" ht="27" customHeight="1" x14ac:dyDescent="0.25">
      <c r="D30" s="11"/>
      <c r="E30" s="11"/>
      <c r="F30" s="11"/>
      <c r="G30" s="11"/>
      <c r="H30" s="11"/>
    </row>
    <row r="31" spans="1:8" ht="27" customHeight="1" x14ac:dyDescent="0.25">
      <c r="A31" s="6" t="s">
        <v>23</v>
      </c>
      <c r="C31" s="6" t="s">
        <v>24</v>
      </c>
      <c r="D31" s="11">
        <v>1350</v>
      </c>
      <c r="E31" s="11">
        <v>0</v>
      </c>
      <c r="F31" s="12">
        <v>50463.44</v>
      </c>
      <c r="G31" s="11"/>
      <c r="H31" s="11">
        <v>50538.44</v>
      </c>
    </row>
    <row r="32" spans="1:8" ht="27" customHeight="1" x14ac:dyDescent="0.25">
      <c r="D32" s="11"/>
      <c r="E32" s="11"/>
      <c r="F32" s="11"/>
      <c r="G32" s="11"/>
      <c r="H32" s="11"/>
    </row>
    <row r="33" spans="1:8" ht="27" customHeight="1" x14ac:dyDescent="0.25">
      <c r="A33" s="6" t="s">
        <v>32</v>
      </c>
      <c r="C33" s="6" t="s">
        <v>24</v>
      </c>
      <c r="D33" s="11">
        <v>850</v>
      </c>
      <c r="E33" s="11">
        <v>0</v>
      </c>
      <c r="F33" s="11">
        <v>33404.449999999997</v>
      </c>
      <c r="G33" s="11"/>
      <c r="H33" s="11">
        <v>33479.449999999997</v>
      </c>
    </row>
    <row r="34" spans="1:8" ht="27" customHeight="1" x14ac:dyDescent="0.25">
      <c r="A34" s="6" t="s">
        <v>32</v>
      </c>
      <c r="C34" s="6" t="s">
        <v>70</v>
      </c>
      <c r="D34" s="11">
        <v>850</v>
      </c>
      <c r="E34" s="11">
        <v>0</v>
      </c>
      <c r="F34" s="11">
        <v>34062.160000000003</v>
      </c>
      <c r="G34" s="11"/>
      <c r="H34" s="11">
        <v>34137.160000000003</v>
      </c>
    </row>
    <row r="35" spans="1:8" ht="27" customHeight="1" x14ac:dyDescent="0.25">
      <c r="A35" s="6" t="s">
        <v>32</v>
      </c>
      <c r="C35" s="6" t="s">
        <v>70</v>
      </c>
      <c r="D35" s="11">
        <v>1050</v>
      </c>
      <c r="E35" s="11">
        <v>0</v>
      </c>
      <c r="F35" s="11">
        <v>43897.19</v>
      </c>
      <c r="G35" s="11"/>
      <c r="H35" s="11">
        <v>43972.19</v>
      </c>
    </row>
    <row r="36" spans="1:8" ht="27" customHeight="1" x14ac:dyDescent="0.25">
      <c r="A36" s="6" t="s">
        <v>32</v>
      </c>
      <c r="C36" s="6" t="s">
        <v>19</v>
      </c>
      <c r="D36" s="11">
        <v>1150</v>
      </c>
      <c r="E36" s="11">
        <v>0</v>
      </c>
      <c r="F36" s="11">
        <v>45381.63</v>
      </c>
      <c r="G36" s="12">
        <f>SUM(F33:F36)</f>
        <v>156745.43</v>
      </c>
      <c r="H36" s="11">
        <v>45456.63</v>
      </c>
    </row>
    <row r="37" spans="1:8" ht="27" customHeight="1" x14ac:dyDescent="0.25">
      <c r="D37" s="11"/>
      <c r="E37" s="11"/>
      <c r="F37" s="11"/>
      <c r="G37" s="11"/>
      <c r="H37" s="11"/>
    </row>
    <row r="38" spans="1:8" ht="27" customHeight="1" x14ac:dyDescent="0.25">
      <c r="A38" s="6" t="s">
        <v>101</v>
      </c>
      <c r="C38" s="6" t="s">
        <v>19</v>
      </c>
      <c r="D38" s="11">
        <v>750</v>
      </c>
      <c r="E38" s="11">
        <v>0</v>
      </c>
      <c r="F38" s="12">
        <v>29842.83</v>
      </c>
      <c r="G38" s="11"/>
      <c r="H38" s="11">
        <v>29917.83</v>
      </c>
    </row>
    <row r="39" spans="1:8" ht="27" customHeight="1" x14ac:dyDescent="0.25">
      <c r="D39" s="11"/>
      <c r="E39" s="11"/>
      <c r="F39" s="11"/>
      <c r="G39" s="11"/>
      <c r="H39" s="11"/>
    </row>
    <row r="40" spans="1:8" x14ac:dyDescent="0.25">
      <c r="A40" s="13"/>
      <c r="B40" s="13"/>
      <c r="C40" s="13"/>
      <c r="D40" s="14">
        <f>SUM(D4:D38)</f>
        <v>18400</v>
      </c>
      <c r="E40" s="14">
        <f>SUM(E4:E38)</f>
        <v>0</v>
      </c>
      <c r="F40" s="14">
        <f>SUM(F4:F38)</f>
        <v>709476.05</v>
      </c>
      <c r="G40" s="14"/>
      <c r="H40" s="14">
        <f>SUM(H4:H38)</f>
        <v>711051.05</v>
      </c>
    </row>
  </sheetData>
  <mergeCells count="2">
    <mergeCell ref="A2:D2"/>
    <mergeCell ref="E2:H2"/>
  </mergeCells>
  <pageMargins left="0.7" right="0.7" top="0.75" bottom="0.75" header="0.3" footer="0.3"/>
  <pageSetup scale="85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A529-AD5E-4E15-B4C4-D70B4EAE5E25}">
  <sheetPr>
    <pageSetUpPr fitToPage="1"/>
  </sheetPr>
  <dimension ref="A1:E23"/>
  <sheetViews>
    <sheetView workbookViewId="0">
      <selection activeCell="F19" sqref="F19"/>
    </sheetView>
  </sheetViews>
  <sheetFormatPr defaultRowHeight="15" x14ac:dyDescent="0.25"/>
  <cols>
    <col min="1" max="1" width="14.7109375" customWidth="1"/>
    <col min="2" max="2" width="8" customWidth="1"/>
    <col min="3" max="3" width="17.85546875" customWidth="1"/>
    <col min="4" max="4" width="7.7109375" customWidth="1"/>
    <col min="5" max="5" width="28.7109375" customWidth="1"/>
  </cols>
  <sheetData>
    <row r="1" spans="1:5" ht="24.95" customHeight="1" x14ac:dyDescent="0.25">
      <c r="A1" t="s">
        <v>117</v>
      </c>
      <c r="D1" s="2"/>
      <c r="E1" s="2">
        <v>45860.999988425923</v>
      </c>
    </row>
    <row r="2" spans="1:5" ht="24.95" customHeight="1" x14ac:dyDescent="0.25">
      <c r="A2" s="3" t="s">
        <v>0</v>
      </c>
      <c r="B2" s="4"/>
      <c r="C2" s="4"/>
      <c r="D2" s="5" t="s">
        <v>111</v>
      </c>
      <c r="E2" s="4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5" spans="1:5" s="6" customFormat="1" ht="27" customHeight="1" x14ac:dyDescent="0.25">
      <c r="A5" s="6" t="s">
        <v>60</v>
      </c>
      <c r="B5" s="6" t="s">
        <v>61</v>
      </c>
      <c r="C5" s="6" t="s">
        <v>62</v>
      </c>
      <c r="E5" s="6" t="s">
        <v>63</v>
      </c>
    </row>
    <row r="6" spans="1:5" s="6" customFormat="1" ht="27" customHeight="1" x14ac:dyDescent="0.25">
      <c r="A6" s="6" t="s">
        <v>66</v>
      </c>
      <c r="B6" s="6" t="s">
        <v>61</v>
      </c>
      <c r="C6" s="6" t="s">
        <v>67</v>
      </c>
      <c r="E6" s="6" t="s">
        <v>32</v>
      </c>
    </row>
    <row r="7" spans="1:5" ht="27" customHeight="1" x14ac:dyDescent="0.25"/>
    <row r="8" spans="1:5" x14ac:dyDescent="0.25">
      <c r="A8" s="1"/>
      <c r="B8" s="1"/>
      <c r="C8" s="1" t="s">
        <v>112</v>
      </c>
      <c r="D8" s="1"/>
      <c r="E8" s="1"/>
    </row>
    <row r="13" spans="1:5" x14ac:dyDescent="0.25">
      <c r="A13" t="s">
        <v>118</v>
      </c>
      <c r="B13" s="15"/>
      <c r="C13" s="15"/>
      <c r="D13" s="15"/>
    </row>
    <row r="18" spans="1:4" x14ac:dyDescent="0.25">
      <c r="A18" t="s">
        <v>119</v>
      </c>
      <c r="B18" s="15"/>
      <c r="C18" s="15"/>
      <c r="D18" s="15"/>
    </row>
    <row r="23" spans="1:4" x14ac:dyDescent="0.25">
      <c r="A23" t="s">
        <v>120</v>
      </c>
      <c r="B23" s="15"/>
      <c r="C23" s="15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2025-07-22T18:32:42Z</cp:lastPrinted>
  <dcterms:created xsi:type="dcterms:W3CDTF">2025-07-22T18:14:18Z</dcterms:created>
  <dcterms:modified xsi:type="dcterms:W3CDTF">2025-07-22T19:00:44Z</dcterms:modified>
</cp:coreProperties>
</file>