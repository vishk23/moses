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C79BBB1D-BE1C-4C3F-912E-75429F5AAF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H30" i="2"/>
  <c r="F7" i="1"/>
  <c r="F25" i="1"/>
  <c r="F40" i="1"/>
  <c r="H49" i="1"/>
  <c r="E49" i="1"/>
  <c r="D49" i="1"/>
  <c r="C49" i="1"/>
</calcChain>
</file>

<file path=xl/sharedStrings.xml><?xml version="1.0" encoding="utf-8"?>
<sst xmlns="http://schemas.openxmlformats.org/spreadsheetml/2006/main" count="318" uniqueCount="159">
  <si>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</si>
  <si>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</si>
  <si>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</si>
  <si>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</si>
  <si>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</si>
  <si>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</si>
  <si>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</si>
  <si>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</si>
  <si>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</si>
  <si>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</si>
  <si>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</si>
  <si>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</si>
  <si>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Rachel Gorham</t>
  </si>
  <si>
    <t>Neli Oliveira</t>
  </si>
  <si>
    <t>Alden Mazda</t>
  </si>
  <si>
    <t>Bald Hill Dodge Chrysler</t>
  </si>
  <si>
    <t>Coastal Volkswagon</t>
  </si>
  <si>
    <t>Colonial Ford Inc</t>
  </si>
  <si>
    <t>Colonial South Chevrolet</t>
  </si>
  <si>
    <t>Grieco Enterprises, LLC d/b/a</t>
  </si>
  <si>
    <t>Grieco Toyota</t>
  </si>
  <si>
    <t>Hiller Co Inc</t>
  </si>
  <si>
    <t>Hylan Auto Sales</t>
  </si>
  <si>
    <t>Lucchettis Service Center Inc</t>
  </si>
  <si>
    <t>Mastria Buick Pontiac</t>
  </si>
  <si>
    <t>Mathieu Ford Sales, Inc</t>
  </si>
  <si>
    <t>NARSA AMC LLC d/b/a</t>
  </si>
  <si>
    <t>Patriot Auto Group Inc d/b/a</t>
  </si>
  <si>
    <t>Paul Masse Buick GMC South, Inc</t>
  </si>
  <si>
    <t>Planet Automotive Sales LLC</t>
  </si>
  <si>
    <t>Richard Lundgren, Inc. d/b/a</t>
  </si>
  <si>
    <t>S&amp;E Auto Services and Sales Inc</t>
  </si>
  <si>
    <t>Tasca Automotive Group Rt 6 One Inc</t>
  </si>
  <si>
    <t>Column1</t>
  </si>
  <si>
    <t>Column2</t>
  </si>
  <si>
    <t># 26</t>
  </si>
  <si>
    <t>SMITH</t>
  </si>
  <si>
    <t>SDONOVAN1111@YAHOO.COM</t>
  </si>
  <si>
    <t>DONOVAN, STEPHEN</t>
  </si>
  <si>
    <t>E Contract</t>
  </si>
  <si>
    <t>Route One</t>
  </si>
  <si>
    <t>WILSON</t>
  </si>
  <si>
    <t>CURENALYNN@AOL.COM</t>
  </si>
  <si>
    <t>TURNER, CURENA</t>
  </si>
  <si>
    <t>151214831e</t>
  </si>
  <si>
    <t>RANDALL</t>
  </si>
  <si>
    <t>Mmwilliams508@gmail.com</t>
  </si>
  <si>
    <t>Williams, Matthew</t>
  </si>
  <si>
    <t>151214807e</t>
  </si>
  <si>
    <t>PIERCE</t>
  </si>
  <si>
    <t>Bfitzgerald_pk@verizon.net</t>
  </si>
  <si>
    <t>Pizzanello, Brenda</t>
  </si>
  <si>
    <t>151214758e</t>
  </si>
  <si>
    <t>CAPE COD ALARM CO INC</t>
  </si>
  <si>
    <t>MCCARTHY</t>
  </si>
  <si>
    <t>CORMIER, GENE</t>
  </si>
  <si>
    <t>Paper</t>
  </si>
  <si>
    <t>DealerTrack</t>
  </si>
  <si>
    <t>151214732</t>
  </si>
  <si>
    <t>WOODLAND</t>
  </si>
  <si>
    <t>TERRIOPHOTOGRAPHY@GMAIL.COM</t>
  </si>
  <si>
    <t>TERRIO, MATTHEW</t>
  </si>
  <si>
    <t>151214716</t>
  </si>
  <si>
    <t>BOULEY</t>
  </si>
  <si>
    <t>RONGIARD5@GMAIL.COM</t>
  </si>
  <si>
    <t>GIARD, RONALD</t>
  </si>
  <si>
    <t>151214708e</t>
  </si>
  <si>
    <t>MAZEIKA</t>
  </si>
  <si>
    <t>ptripp@gmail.com</t>
  </si>
  <si>
    <t>TRIPP, GEORGE</t>
  </si>
  <si>
    <t>151214691e</t>
  </si>
  <si>
    <t>CHAMPAINE</t>
  </si>
  <si>
    <t>tonydep46@comcast.net</t>
  </si>
  <si>
    <t>DEPASQUALE, ANTHONY</t>
  </si>
  <si>
    <t>151214667e</t>
  </si>
  <si>
    <t>SULLIVAN</t>
  </si>
  <si>
    <t>KSMARBITRATION@GMAIL.COM</t>
  </si>
  <si>
    <t>MURRAY, KATHLEEN</t>
  </si>
  <si>
    <t>151214659e</t>
  </si>
  <si>
    <t>LEMOS</t>
  </si>
  <si>
    <t>Jeffdacostar@gmail.com</t>
  </si>
  <si>
    <t>Dacosta, Jefferson</t>
  </si>
  <si>
    <t>151214633e</t>
  </si>
  <si>
    <t>MACKENZIE</t>
  </si>
  <si>
    <t>smfogarty42@gmail.com</t>
  </si>
  <si>
    <t>FOGARTY, SHANNON</t>
  </si>
  <si>
    <t>151214576e</t>
  </si>
  <si>
    <t>RICHARDS</t>
  </si>
  <si>
    <t>peter.christensen@dcyf.ri.gov</t>
  </si>
  <si>
    <t>CHRISTENSEN, PETER</t>
  </si>
  <si>
    <t>151214568e</t>
  </si>
  <si>
    <t>BURROWS</t>
  </si>
  <si>
    <t>kevanabedi@yahoo.com</t>
  </si>
  <si>
    <t>ABEDI, KEVAN</t>
  </si>
  <si>
    <t>151214550e</t>
  </si>
  <si>
    <t>Howard</t>
  </si>
  <si>
    <t>BITTER69ER@GMAIL.COM</t>
  </si>
  <si>
    <t>EMOND, KEVIN</t>
  </si>
  <si>
    <t>151214534e</t>
  </si>
  <si>
    <t>Silva</t>
  </si>
  <si>
    <t>simoes, mark</t>
  </si>
  <si>
    <t>151214518e</t>
  </si>
  <si>
    <t>BALLEM</t>
  </si>
  <si>
    <t>SHEEH567@GMAIL.COM</t>
  </si>
  <si>
    <t>SHEEHAN, JANET</t>
  </si>
  <si>
    <t>151214485</t>
  </si>
  <si>
    <t>PRISBY</t>
  </si>
  <si>
    <t>WHADDAD@GMAIL.COM</t>
  </si>
  <si>
    <t>HADDAD, WILLIAM</t>
  </si>
  <si>
    <t>151214451</t>
  </si>
  <si>
    <t>Serrate</t>
  </si>
  <si>
    <t>VALDIVIA, JOSE</t>
  </si>
  <si>
    <t>151214427e</t>
  </si>
  <si>
    <t>KELLY</t>
  </si>
  <si>
    <t>SCOTTYPAPASODORO@COMCAST.NET</t>
  </si>
  <si>
    <t>PAPASODORO, SCOTT</t>
  </si>
  <si>
    <t>151214419e</t>
  </si>
  <si>
    <t>FOLEY</t>
  </si>
  <si>
    <t>SHANFAM@AOL.COM</t>
  </si>
  <si>
    <t>SHANAHAN, EDWARD</t>
  </si>
  <si>
    <t>151214386e</t>
  </si>
  <si>
    <t>TRAVOLINO</t>
  </si>
  <si>
    <t>PKVAULT94@GMAIL.COM</t>
  </si>
  <si>
    <t>PAGLIUCA, CHRISTOPHER</t>
  </si>
  <si>
    <t>151214360e</t>
  </si>
  <si>
    <t>Gardner</t>
  </si>
  <si>
    <t>Rpatrylak@gmail.com</t>
  </si>
  <si>
    <t>PATRYLAK, RODNEY</t>
  </si>
  <si>
    <t>151214352e</t>
  </si>
  <si>
    <t>REYNOLDS</t>
  </si>
  <si>
    <t>JDUB25510@HOTMAIL.COM</t>
  </si>
  <si>
    <t>WILLIAMS, JONATHAN</t>
  </si>
  <si>
    <t>151214310e</t>
  </si>
  <si>
    <t>WING</t>
  </si>
  <si>
    <t>MJHIMAN@COMCAST.NET</t>
  </si>
  <si>
    <t>HORAN, MICHAEL</t>
  </si>
  <si>
    <t>151214287e</t>
  </si>
  <si>
    <t>Larrivee</t>
  </si>
  <si>
    <t>laa0864@comcast.net</t>
  </si>
  <si>
    <t>AGUIAR, LORI</t>
  </si>
  <si>
    <t>151214146e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</si>
  <si>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</si>
  <si>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</si>
  <si>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</si>
  <si>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</si>
  <si>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</si>
  <si>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</si>
  <si>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</si>
  <si>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</si>
  <si>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</si>
  <si>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</si>
  <si>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</si>
  <si>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</t>
  </si>
  <si>
    <t>Received By_______________________________________________________________</t>
  </si>
  <si>
    <t>Delivered By________________________________________________________________</t>
  </si>
  <si>
    <t># 4</t>
  </si>
  <si>
    <t>Funding Worksheet - Signoff Version</t>
  </si>
  <si>
    <t>151214865e</t>
  </si>
  <si>
    <t>4453      2150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</si>
</sst>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0" fillId="0" borderId="0" xfId="1" applyFont="1" applyFill="1"/>
  </cellXfs>
  <cellStyles count="2">
    <cellStyle name="Normal" xfId="0" builtinId="0"/>
    <cellStyle name="Normal 2" xfId="1" xr:uid="{B258E5A8-F52D-4E78-BC97-725F00FF20A4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49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E97206D6-ADBC-4F4A-819F-91C128EBB312}" name="Column1" dataDxfId="23"/>
    <tableColumn id="8" xr3:uid="{F9518B1A-06CC-407D-87ED-33C384E181D2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F1459-EACC-4548-B604-061D2E1C1530}" name="Table_13" displayName="Table_13" ref="A3:L30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DF2ACB-C1BB-478D-B5A6-0E35907B270C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workbookViewId="0">
      <pane ySplit="3" topLeftCell="A34" activePane="bottomLeft" state="frozen"/>
      <selection pane="bottomLeft" activeCell="G32" sqref="G32"/>
    </sheetView>
  </sheetViews>
  <sheetFormatPr defaultRowHeight="15" x14ac:dyDescent="0.25"/>
  <cols>
    <col min="1" max="1" width="35.7109375" bestFit="1" customWidth="1"/>
    <col min="2" max="2" width="17.7109375" bestFit="1" customWidth="1"/>
    <col min="3" max="3" width="11.140625" bestFit="1" customWidth="1"/>
    <col min="4" max="4" width="16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45887</v>
      </c>
      <c r="E1" t="s">
        <v>2</v>
      </c>
      <c r="H1" s="4">
        <v>45887.999988425923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33</v>
      </c>
      <c r="G3" t="s">
        <v>34</v>
      </c>
      <c r="H3" t="s">
        <v>9</v>
      </c>
    </row>
    <row r="4" spans="1:8" x14ac:dyDescent="0.25">
      <c r="A4" t="s">
        <v>10</v>
      </c>
      <c r="B4" t="s">
        <v>11</v>
      </c>
      <c r="C4" s="2">
        <v>1050</v>
      </c>
      <c r="D4" s="2">
        <v>0</v>
      </c>
      <c r="E4" s="2">
        <v>41500</v>
      </c>
      <c r="F4" s="2"/>
      <c r="G4" s="2"/>
      <c r="H4" s="2">
        <v>41575</v>
      </c>
    </row>
    <row r="5" spans="1:8" x14ac:dyDescent="0.25">
      <c r="A5" t="s">
        <v>10</v>
      </c>
      <c r="B5" t="s">
        <v>12</v>
      </c>
      <c r="C5" s="2">
        <v>650</v>
      </c>
      <c r="D5" s="2">
        <v>0</v>
      </c>
      <c r="E5" s="2">
        <v>21759.56</v>
      </c>
      <c r="F5" s="2"/>
      <c r="G5" s="2"/>
      <c r="H5" s="2">
        <v>21834.560000000001</v>
      </c>
    </row>
    <row r="6" spans="1:8" x14ac:dyDescent="0.25">
      <c r="A6" t="s">
        <v>10</v>
      </c>
      <c r="B6" t="s">
        <v>12</v>
      </c>
      <c r="C6" s="2">
        <v>850</v>
      </c>
      <c r="D6" s="2">
        <v>0</v>
      </c>
      <c r="E6" s="2">
        <v>31163.31</v>
      </c>
      <c r="F6" s="2"/>
      <c r="G6" s="2"/>
      <c r="H6" s="2">
        <v>31238.31</v>
      </c>
    </row>
    <row r="7" spans="1:8" x14ac:dyDescent="0.25">
      <c r="A7" t="s">
        <v>10</v>
      </c>
      <c r="B7" t="s">
        <v>13</v>
      </c>
      <c r="C7" s="2">
        <v>1350</v>
      </c>
      <c r="D7" s="2">
        <v>0</v>
      </c>
      <c r="E7" s="2">
        <v>57531.75</v>
      </c>
      <c r="F7" s="2">
        <f>SUM(E4:E7)</f>
        <v>151954.62</v>
      </c>
      <c r="G7" s="2"/>
      <c r="H7" s="2">
        <v>57606.75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13</v>
      </c>
      <c r="C9" s="2">
        <v>650</v>
      </c>
      <c r="D9" s="2">
        <v>0</v>
      </c>
      <c r="E9" s="2">
        <v>22384.65</v>
      </c>
      <c r="F9" s="2"/>
      <c r="G9" s="2"/>
      <c r="H9" s="2">
        <v>22459.65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13</v>
      </c>
      <c r="C11" s="2">
        <v>750</v>
      </c>
      <c r="D11" s="2">
        <v>0</v>
      </c>
      <c r="E11" s="2">
        <v>27887.200000000001</v>
      </c>
      <c r="F11" s="2"/>
      <c r="G11" s="2"/>
      <c r="H11" s="2">
        <v>27962.2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13</v>
      </c>
      <c r="C13" s="2">
        <v>850</v>
      </c>
      <c r="D13" s="2">
        <v>0</v>
      </c>
      <c r="E13" s="2">
        <v>30872.13</v>
      </c>
      <c r="F13" s="2"/>
      <c r="G13" s="2"/>
      <c r="H13" s="2">
        <v>30947.13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12</v>
      </c>
      <c r="C15" s="2">
        <v>650</v>
      </c>
      <c r="D15" s="2">
        <v>0</v>
      </c>
      <c r="E15" s="2">
        <v>22540</v>
      </c>
      <c r="F15" s="2"/>
      <c r="G15" s="2"/>
      <c r="H15" s="2">
        <v>22615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13</v>
      </c>
      <c r="C17" s="2">
        <v>750</v>
      </c>
      <c r="D17" s="2">
        <v>0</v>
      </c>
      <c r="E17" s="2">
        <v>29396.81</v>
      </c>
      <c r="F17" s="2"/>
      <c r="G17" s="2"/>
      <c r="H17" s="2">
        <v>29471.81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12</v>
      </c>
      <c r="C19" s="2">
        <v>850</v>
      </c>
      <c r="D19" s="2">
        <v>0</v>
      </c>
      <c r="E19" s="2">
        <v>34653.53</v>
      </c>
      <c r="F19" s="2"/>
      <c r="G19" s="2"/>
      <c r="H19" s="2">
        <v>34728.53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11</v>
      </c>
      <c r="C21" s="2">
        <v>1050</v>
      </c>
      <c r="D21" s="2">
        <v>0</v>
      </c>
      <c r="E21" s="2">
        <v>42025.25</v>
      </c>
      <c r="F21" s="2"/>
      <c r="G21" s="2"/>
      <c r="H21" s="2">
        <v>42100.25</v>
      </c>
    </row>
    <row r="22" spans="1:8" x14ac:dyDescent="0.25">
      <c r="A22" t="s">
        <v>20</v>
      </c>
      <c r="B22" t="s">
        <v>13</v>
      </c>
      <c r="C22" s="2">
        <v>850</v>
      </c>
      <c r="D22" s="2">
        <v>0</v>
      </c>
      <c r="E22" s="2">
        <v>34803.07</v>
      </c>
      <c r="F22" s="2">
        <f>SUM(E21:E22)</f>
        <v>76828.320000000007</v>
      </c>
      <c r="G22" s="2"/>
      <c r="H22" s="2">
        <v>34878.07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11</v>
      </c>
      <c r="C24" s="2">
        <v>750</v>
      </c>
      <c r="D24" s="2">
        <v>0</v>
      </c>
      <c r="E24" s="2">
        <v>29694.78</v>
      </c>
      <c r="F24" s="2"/>
      <c r="G24" s="2"/>
      <c r="H24" s="2">
        <v>29769.78</v>
      </c>
    </row>
    <row r="25" spans="1:8" x14ac:dyDescent="0.25">
      <c r="A25" t="s">
        <v>21</v>
      </c>
      <c r="B25" t="s">
        <v>13</v>
      </c>
      <c r="C25" s="2">
        <v>500</v>
      </c>
      <c r="D25" s="2">
        <v>0</v>
      </c>
      <c r="E25" s="2">
        <v>18019.689999999999</v>
      </c>
      <c r="F25" s="2">
        <f>SUM(E24:E25)</f>
        <v>47714.47</v>
      </c>
      <c r="G25" s="2"/>
      <c r="H25" s="2">
        <v>18094.689999999999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12</v>
      </c>
      <c r="C27" s="2">
        <v>750</v>
      </c>
      <c r="D27" s="2">
        <v>0</v>
      </c>
      <c r="E27" s="2">
        <v>26462.81</v>
      </c>
      <c r="F27" s="2"/>
      <c r="G27" s="2"/>
      <c r="H27" s="2">
        <v>26537.81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11</v>
      </c>
      <c r="C29" s="2">
        <v>850</v>
      </c>
      <c r="D29" s="2">
        <v>0</v>
      </c>
      <c r="E29" s="2">
        <v>34449.5</v>
      </c>
      <c r="F29" s="2"/>
      <c r="G29" s="2"/>
      <c r="H29" s="2">
        <v>34524.5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24</v>
      </c>
      <c r="B31" t="s">
        <v>13</v>
      </c>
      <c r="C31" s="2">
        <v>850</v>
      </c>
      <c r="D31" s="2">
        <v>0</v>
      </c>
      <c r="E31" s="2">
        <v>32493.74</v>
      </c>
      <c r="F31" s="2"/>
      <c r="G31" s="2" t="s">
        <v>158</v>
      </c>
      <c r="H31" s="2">
        <v>32568.74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25</v>
      </c>
      <c r="B33" t="s">
        <v>13</v>
      </c>
      <c r="C33" s="2">
        <v>1350</v>
      </c>
      <c r="D33" s="2">
        <v>0</v>
      </c>
      <c r="E33" s="2">
        <v>66445.88</v>
      </c>
      <c r="F33" s="2"/>
      <c r="G33" s="2"/>
      <c r="H33" s="2">
        <v>66520.88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26</v>
      </c>
      <c r="B35" t="s">
        <v>12</v>
      </c>
      <c r="C35" s="2">
        <v>500</v>
      </c>
      <c r="D35" s="2">
        <v>0</v>
      </c>
      <c r="E35" s="2">
        <v>17897.189999999999</v>
      </c>
      <c r="F35" s="2"/>
      <c r="G35" s="2"/>
      <c r="H35" s="2">
        <v>17972.189999999999</v>
      </c>
    </row>
    <row r="36" spans="1:8" x14ac:dyDescent="0.25">
      <c r="C36" s="2"/>
      <c r="D36" s="2"/>
      <c r="E36" s="2"/>
      <c r="F36" s="2"/>
      <c r="G36" s="2"/>
      <c r="H36" s="2"/>
    </row>
    <row r="37" spans="1:8" x14ac:dyDescent="0.25">
      <c r="A37" t="s">
        <v>27</v>
      </c>
      <c r="B37" t="s">
        <v>13</v>
      </c>
      <c r="C37" s="2">
        <v>650</v>
      </c>
      <c r="D37" s="2">
        <v>0</v>
      </c>
      <c r="E37" s="2">
        <v>21250.13</v>
      </c>
      <c r="F37" s="2"/>
      <c r="G37" s="2"/>
      <c r="H37" s="2">
        <v>21325.13</v>
      </c>
    </row>
    <row r="38" spans="1:8" x14ac:dyDescent="0.25">
      <c r="C38" s="2"/>
      <c r="D38" s="2"/>
      <c r="E38" s="2"/>
      <c r="F38" s="2"/>
      <c r="G38" s="2"/>
      <c r="H38" s="2"/>
    </row>
    <row r="39" spans="1:8" x14ac:dyDescent="0.25">
      <c r="A39" t="s">
        <v>28</v>
      </c>
      <c r="B39" t="s">
        <v>11</v>
      </c>
      <c r="C39" s="2">
        <v>950</v>
      </c>
      <c r="D39" s="2">
        <v>0</v>
      </c>
      <c r="E39" s="2">
        <v>39752.78</v>
      </c>
      <c r="F39" s="2"/>
      <c r="G39" s="2"/>
      <c r="H39" s="2">
        <v>39827.78</v>
      </c>
    </row>
    <row r="40" spans="1:8" x14ac:dyDescent="0.25">
      <c r="A40" t="s">
        <v>28</v>
      </c>
      <c r="B40" t="s">
        <v>13</v>
      </c>
      <c r="C40" s="2">
        <v>1150</v>
      </c>
      <c r="D40" s="2">
        <v>0</v>
      </c>
      <c r="E40" s="2">
        <v>47388.69</v>
      </c>
      <c r="F40" s="2">
        <f>SUM(E39:E40)</f>
        <v>87141.47</v>
      </c>
      <c r="G40" s="2"/>
      <c r="H40" s="2">
        <v>47463.69</v>
      </c>
    </row>
    <row r="41" spans="1:8" x14ac:dyDescent="0.25">
      <c r="C41" s="2"/>
      <c r="D41" s="2"/>
      <c r="E41" s="2"/>
      <c r="F41" s="2"/>
      <c r="G41" s="2"/>
      <c r="H41" s="2"/>
    </row>
    <row r="42" spans="1:8" x14ac:dyDescent="0.25">
      <c r="A42" t="s">
        <v>29</v>
      </c>
      <c r="B42" t="s">
        <v>13</v>
      </c>
      <c r="C42" s="2">
        <v>1350</v>
      </c>
      <c r="D42" s="2">
        <v>0</v>
      </c>
      <c r="E42" s="2">
        <v>60725.88</v>
      </c>
      <c r="F42" s="2"/>
      <c r="G42" s="2"/>
      <c r="H42" s="2">
        <v>60800.88</v>
      </c>
    </row>
    <row r="43" spans="1:8" x14ac:dyDescent="0.25">
      <c r="C43" s="2"/>
      <c r="D43" s="2"/>
      <c r="E43" s="2"/>
      <c r="F43" s="2"/>
      <c r="G43" s="2"/>
      <c r="H43" s="2"/>
    </row>
    <row r="44" spans="1:8" x14ac:dyDescent="0.25">
      <c r="A44" t="s">
        <v>30</v>
      </c>
      <c r="B44" t="s">
        <v>13</v>
      </c>
      <c r="C44" s="2">
        <v>1050</v>
      </c>
      <c r="D44" s="2">
        <v>0</v>
      </c>
      <c r="E44" s="2">
        <v>42987.69</v>
      </c>
      <c r="F44" s="2"/>
      <c r="G44" s="2"/>
      <c r="H44" s="2">
        <v>43062.69</v>
      </c>
    </row>
    <row r="45" spans="1:8" x14ac:dyDescent="0.25">
      <c r="C45" s="2"/>
      <c r="D45" s="2"/>
      <c r="E45" s="2"/>
      <c r="F45" s="2"/>
      <c r="G45" s="2"/>
      <c r="H45" s="2"/>
    </row>
    <row r="46" spans="1:8" x14ac:dyDescent="0.25">
      <c r="A46" t="s">
        <v>31</v>
      </c>
      <c r="B46" t="s">
        <v>13</v>
      </c>
      <c r="C46" s="2">
        <v>500</v>
      </c>
      <c r="D46" s="2">
        <v>0</v>
      </c>
      <c r="E46" s="2">
        <v>15974.94</v>
      </c>
      <c r="F46" s="2"/>
      <c r="G46" s="2"/>
      <c r="H46" s="2">
        <v>16049.94</v>
      </c>
    </row>
    <row r="47" spans="1:8" x14ac:dyDescent="0.25">
      <c r="C47" s="2"/>
      <c r="D47" s="2"/>
      <c r="E47" s="2"/>
      <c r="F47" s="2"/>
      <c r="G47" s="2"/>
      <c r="H47" s="2"/>
    </row>
    <row r="48" spans="1:8" x14ac:dyDescent="0.25">
      <c r="A48" t="s">
        <v>32</v>
      </c>
      <c r="B48" t="s">
        <v>12</v>
      </c>
      <c r="C48" s="2">
        <v>850</v>
      </c>
      <c r="D48" s="2">
        <v>0</v>
      </c>
      <c r="E48" s="2">
        <v>32887.379999999997</v>
      </c>
      <c r="F48" s="2"/>
      <c r="G48" s="2"/>
      <c r="H48" s="2">
        <v>32962.379999999997</v>
      </c>
    </row>
    <row r="49" spans="1:8" x14ac:dyDescent="0.25">
      <c r="A49" s="1"/>
      <c r="B49" s="1"/>
      <c r="C49" s="3">
        <f>SUM(C4:C48)</f>
        <v>22350</v>
      </c>
      <c r="D49" s="3">
        <f>SUM(D4:D48)</f>
        <v>0</v>
      </c>
      <c r="E49" s="3">
        <f>SUM(E4:E48)</f>
        <v>882948.34</v>
      </c>
      <c r="F49" s="3"/>
      <c r="G49" s="3"/>
      <c r="H49" s="3">
        <f>SUM(H4:H48)</f>
        <v>884898.34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A2F6-8EBB-4084-A72C-AFBDC13D3F1A}">
  <sheetPr>
    <pageSetUpPr fitToPage="1"/>
  </sheetPr>
  <dimension ref="A1:L32"/>
  <sheetViews>
    <sheetView workbookViewId="0">
      <pane ySplit="3" topLeftCell="A4" activePane="bottomLeft" state="frozen"/>
      <selection pane="bottomLeft" activeCell="E12" sqref="E1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4.5703125" style="8" bestFit="1" customWidth="1"/>
    <col min="5" max="5" width="18.7109375" style="8" bestFit="1" customWidth="1"/>
    <col min="6" max="6" width="35.7109375" style="8" bestFit="1" customWidth="1"/>
    <col min="7" max="7" width="17.7109375" style="8" bestFit="1" customWidth="1"/>
    <col min="8" max="8" width="17.140625" style="8" bestFit="1" customWidth="1"/>
    <col min="9" max="9" width="36.42578125" style="8" bestFit="1" customWidth="1"/>
    <col min="10" max="10" width="18.42578125" style="8" bestFit="1" customWidth="1"/>
    <col min="11" max="11" width="16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45887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151</v>
      </c>
      <c r="H2" s="12"/>
      <c r="I2" s="12"/>
      <c r="J2" s="12"/>
      <c r="K2" s="12"/>
      <c r="L2" s="12"/>
    </row>
    <row r="3" spans="1:12" ht="35.1" customHeight="1" x14ac:dyDescent="0.25">
      <c r="A3" s="9" t="s">
        <v>150</v>
      </c>
      <c r="B3" s="9" t="s">
        <v>149</v>
      </c>
      <c r="C3" s="9" t="s">
        <v>148</v>
      </c>
      <c r="D3" s="9" t="s">
        <v>147</v>
      </c>
      <c r="E3" s="9" t="s">
        <v>146</v>
      </c>
      <c r="F3" s="9" t="s">
        <v>4</v>
      </c>
      <c r="G3" s="9" t="s">
        <v>5</v>
      </c>
      <c r="H3" s="9" t="s">
        <v>145</v>
      </c>
      <c r="I3" s="9" t="s">
        <v>144</v>
      </c>
      <c r="J3" s="9" t="s">
        <v>143</v>
      </c>
      <c r="K3" s="9" t="s">
        <v>142</v>
      </c>
      <c r="L3" s="9" t="s">
        <v>141</v>
      </c>
    </row>
    <row r="4" spans="1:12" ht="35.1" customHeight="1" x14ac:dyDescent="0.25">
      <c r="A4" s="9" t="s">
        <v>140</v>
      </c>
      <c r="B4" s="9" t="s">
        <v>40</v>
      </c>
      <c r="C4" s="9" t="s">
        <v>39</v>
      </c>
      <c r="D4" s="9" t="s">
        <v>139</v>
      </c>
      <c r="E4" s="9"/>
      <c r="F4" s="9" t="s">
        <v>21</v>
      </c>
      <c r="G4" s="9" t="s">
        <v>11</v>
      </c>
      <c r="H4" s="14">
        <v>29769.78</v>
      </c>
      <c r="I4" s="9" t="s">
        <v>138</v>
      </c>
      <c r="J4" s="9"/>
      <c r="K4" s="9" t="s">
        <v>137</v>
      </c>
      <c r="L4" s="9"/>
    </row>
    <row r="5" spans="1:12" ht="35.1" customHeight="1" x14ac:dyDescent="0.25">
      <c r="A5" s="9" t="s">
        <v>136</v>
      </c>
      <c r="B5" s="9" t="s">
        <v>40</v>
      </c>
      <c r="C5" s="9" t="s">
        <v>39</v>
      </c>
      <c r="D5" s="9" t="s">
        <v>135</v>
      </c>
      <c r="E5" s="9"/>
      <c r="F5" s="9" t="s">
        <v>24</v>
      </c>
      <c r="G5" s="9" t="s">
        <v>13</v>
      </c>
      <c r="H5" s="14">
        <v>32568.74</v>
      </c>
      <c r="I5" s="9" t="s">
        <v>134</v>
      </c>
      <c r="J5" s="9"/>
      <c r="K5" s="9" t="s">
        <v>133</v>
      </c>
      <c r="L5" s="9"/>
    </row>
    <row r="6" spans="1:12" ht="35.1" customHeight="1" x14ac:dyDescent="0.25">
      <c r="A6" s="9" t="s">
        <v>132</v>
      </c>
      <c r="B6" s="9" t="s">
        <v>40</v>
      </c>
      <c r="C6" s="9" t="s">
        <v>39</v>
      </c>
      <c r="D6" s="9" t="s">
        <v>131</v>
      </c>
      <c r="E6" s="9"/>
      <c r="F6" s="9" t="s">
        <v>25</v>
      </c>
      <c r="G6" s="9" t="s">
        <v>13</v>
      </c>
      <c r="H6" s="14">
        <v>66520.88</v>
      </c>
      <c r="I6" s="9" t="s">
        <v>130</v>
      </c>
      <c r="J6" s="9"/>
      <c r="K6" s="9" t="s">
        <v>129</v>
      </c>
      <c r="L6" s="9"/>
    </row>
    <row r="7" spans="1:12" ht="35.1" customHeight="1" x14ac:dyDescent="0.25">
      <c r="A7" s="9" t="s">
        <v>128</v>
      </c>
      <c r="B7" s="9" t="s">
        <v>40</v>
      </c>
      <c r="C7" s="9" t="s">
        <v>39</v>
      </c>
      <c r="D7" s="9" t="s">
        <v>127</v>
      </c>
      <c r="E7" s="9"/>
      <c r="F7" s="9" t="s">
        <v>28</v>
      </c>
      <c r="G7" s="9" t="s">
        <v>11</v>
      </c>
      <c r="H7" s="14">
        <v>39827.78</v>
      </c>
      <c r="I7" s="9" t="s">
        <v>126</v>
      </c>
      <c r="J7" s="9"/>
      <c r="K7" s="9" t="s">
        <v>125</v>
      </c>
      <c r="L7" s="9"/>
    </row>
    <row r="8" spans="1:12" ht="35.1" customHeight="1" x14ac:dyDescent="0.25">
      <c r="A8" s="9" t="s">
        <v>124</v>
      </c>
      <c r="B8" s="9" t="s">
        <v>57</v>
      </c>
      <c r="C8" s="9" t="s">
        <v>39</v>
      </c>
      <c r="D8" s="9" t="s">
        <v>123</v>
      </c>
      <c r="E8" s="9"/>
      <c r="F8" s="9" t="s">
        <v>30</v>
      </c>
      <c r="G8" s="9" t="s">
        <v>13</v>
      </c>
      <c r="H8" s="14">
        <v>43062.69</v>
      </c>
      <c r="I8" s="9" t="s">
        <v>122</v>
      </c>
      <c r="J8" s="9"/>
      <c r="K8" s="9" t="s">
        <v>121</v>
      </c>
      <c r="L8" s="9"/>
    </row>
    <row r="9" spans="1:12" ht="35.1" customHeight="1" x14ac:dyDescent="0.25">
      <c r="A9" s="9" t="s">
        <v>120</v>
      </c>
      <c r="B9" s="9" t="s">
        <v>57</v>
      </c>
      <c r="C9" s="9" t="s">
        <v>39</v>
      </c>
      <c r="D9" s="9" t="s">
        <v>119</v>
      </c>
      <c r="E9" s="9"/>
      <c r="F9" s="9" t="s">
        <v>16</v>
      </c>
      <c r="G9" s="9" t="s">
        <v>13</v>
      </c>
      <c r="H9" s="14">
        <v>30947.13</v>
      </c>
      <c r="I9" s="9" t="s">
        <v>118</v>
      </c>
      <c r="J9" s="9"/>
      <c r="K9" s="9" t="s">
        <v>117</v>
      </c>
      <c r="L9" s="9"/>
    </row>
    <row r="10" spans="1:12" ht="35.1" customHeight="1" x14ac:dyDescent="0.25">
      <c r="A10" s="9" t="s">
        <v>116</v>
      </c>
      <c r="B10" s="9" t="s">
        <v>40</v>
      </c>
      <c r="C10" s="9" t="s">
        <v>39</v>
      </c>
      <c r="D10" s="9" t="s">
        <v>115</v>
      </c>
      <c r="E10" s="9"/>
      <c r="F10" s="9" t="s">
        <v>14</v>
      </c>
      <c r="G10" s="9" t="s">
        <v>13</v>
      </c>
      <c r="H10" s="14">
        <v>22459.65</v>
      </c>
      <c r="I10" s="9" t="s">
        <v>114</v>
      </c>
      <c r="J10" s="9"/>
      <c r="K10" s="9" t="s">
        <v>113</v>
      </c>
      <c r="L10" s="9"/>
    </row>
    <row r="11" spans="1:12" ht="35.1" customHeight="1" x14ac:dyDescent="0.25">
      <c r="A11" s="9" t="s">
        <v>112</v>
      </c>
      <c r="B11" s="9" t="s">
        <v>40</v>
      </c>
      <c r="C11" s="9" t="s">
        <v>39</v>
      </c>
      <c r="D11" s="9" t="s">
        <v>111</v>
      </c>
      <c r="E11" s="9"/>
      <c r="F11" s="9" t="s">
        <v>20</v>
      </c>
      <c r="G11" s="9" t="s">
        <v>11</v>
      </c>
      <c r="H11" s="14">
        <v>42100.25</v>
      </c>
      <c r="I11" s="9"/>
      <c r="J11" s="9"/>
      <c r="K11" s="9" t="s">
        <v>110</v>
      </c>
      <c r="L11" s="9"/>
    </row>
    <row r="12" spans="1:12" ht="35.1" customHeight="1" x14ac:dyDescent="0.25">
      <c r="A12" s="9" t="s">
        <v>109</v>
      </c>
      <c r="B12" s="9" t="s">
        <v>57</v>
      </c>
      <c r="C12" s="9" t="s">
        <v>56</v>
      </c>
      <c r="D12" s="9" t="s">
        <v>108</v>
      </c>
      <c r="E12" s="9"/>
      <c r="F12" s="9" t="s">
        <v>29</v>
      </c>
      <c r="G12" s="9" t="s">
        <v>13</v>
      </c>
      <c r="H12" s="14">
        <v>60800.88</v>
      </c>
      <c r="I12" s="9" t="s">
        <v>107</v>
      </c>
      <c r="J12" s="9"/>
      <c r="K12" s="9" t="s">
        <v>106</v>
      </c>
      <c r="L12" s="9"/>
    </row>
    <row r="13" spans="1:12" ht="35.1" customHeight="1" x14ac:dyDescent="0.25">
      <c r="A13" s="9" t="s">
        <v>105</v>
      </c>
      <c r="B13" s="9" t="s">
        <v>57</v>
      </c>
      <c r="C13" s="9" t="s">
        <v>56</v>
      </c>
      <c r="D13" s="9" t="s">
        <v>104</v>
      </c>
      <c r="E13" s="9"/>
      <c r="F13" s="9" t="s">
        <v>31</v>
      </c>
      <c r="G13" s="9" t="s">
        <v>13</v>
      </c>
      <c r="H13" s="14">
        <v>16049.94</v>
      </c>
      <c r="I13" s="9" t="s">
        <v>103</v>
      </c>
      <c r="J13" s="9"/>
      <c r="K13" s="9" t="s">
        <v>102</v>
      </c>
      <c r="L13" s="9"/>
    </row>
    <row r="14" spans="1:12" ht="35.1" customHeight="1" x14ac:dyDescent="0.25">
      <c r="A14" s="9" t="s">
        <v>101</v>
      </c>
      <c r="B14" s="9" t="s">
        <v>40</v>
      </c>
      <c r="C14" s="9" t="s">
        <v>39</v>
      </c>
      <c r="D14" s="9" t="s">
        <v>100</v>
      </c>
      <c r="E14" s="9"/>
      <c r="F14" s="9" t="s">
        <v>10</v>
      </c>
      <c r="G14" s="9" t="s">
        <v>11</v>
      </c>
      <c r="H14" s="14">
        <v>41575</v>
      </c>
      <c r="I14" s="9"/>
      <c r="J14" s="9"/>
      <c r="K14" s="9" t="s">
        <v>99</v>
      </c>
      <c r="L14" s="9"/>
    </row>
    <row r="15" spans="1:12" ht="35.1" customHeight="1" x14ac:dyDescent="0.25">
      <c r="A15" s="9" t="s">
        <v>98</v>
      </c>
      <c r="B15" s="9" t="s">
        <v>40</v>
      </c>
      <c r="C15" s="9" t="s">
        <v>39</v>
      </c>
      <c r="D15" s="9" t="s">
        <v>97</v>
      </c>
      <c r="E15" s="9"/>
      <c r="F15" s="9" t="s">
        <v>23</v>
      </c>
      <c r="G15" s="9" t="s">
        <v>11</v>
      </c>
      <c r="H15" s="14">
        <v>34524.5</v>
      </c>
      <c r="I15" s="9" t="s">
        <v>96</v>
      </c>
      <c r="J15" s="9"/>
      <c r="K15" s="9" t="s">
        <v>95</v>
      </c>
      <c r="L15" s="9"/>
    </row>
    <row r="16" spans="1:12" ht="35.1" customHeight="1" x14ac:dyDescent="0.25">
      <c r="A16" s="9" t="s">
        <v>94</v>
      </c>
      <c r="B16" s="9" t="s">
        <v>40</v>
      </c>
      <c r="C16" s="9" t="s">
        <v>39</v>
      </c>
      <c r="D16" s="9" t="s">
        <v>93</v>
      </c>
      <c r="E16" s="9"/>
      <c r="F16" s="9" t="s">
        <v>28</v>
      </c>
      <c r="G16" s="9" t="s">
        <v>13</v>
      </c>
      <c r="H16" s="14">
        <v>47463.69</v>
      </c>
      <c r="I16" s="9" t="s">
        <v>92</v>
      </c>
      <c r="J16" s="9"/>
      <c r="K16" s="9" t="s">
        <v>91</v>
      </c>
      <c r="L16" s="9"/>
    </row>
    <row r="17" spans="1:12" ht="35.1" customHeight="1" x14ac:dyDescent="0.25">
      <c r="A17" s="9" t="s">
        <v>90</v>
      </c>
      <c r="B17" s="9" t="s">
        <v>40</v>
      </c>
      <c r="C17" s="9" t="s">
        <v>39</v>
      </c>
      <c r="D17" s="9" t="s">
        <v>89</v>
      </c>
      <c r="E17" s="9"/>
      <c r="F17" s="9" t="s">
        <v>15</v>
      </c>
      <c r="G17" s="9" t="s">
        <v>13</v>
      </c>
      <c r="H17" s="14">
        <v>27962.2</v>
      </c>
      <c r="I17" s="9" t="s">
        <v>88</v>
      </c>
      <c r="J17" s="9"/>
      <c r="K17" s="9" t="s">
        <v>87</v>
      </c>
      <c r="L17" s="9"/>
    </row>
    <row r="18" spans="1:12" ht="35.1" customHeight="1" x14ac:dyDescent="0.25">
      <c r="A18" s="9" t="s">
        <v>86</v>
      </c>
      <c r="B18" s="9" t="s">
        <v>40</v>
      </c>
      <c r="C18" s="9" t="s">
        <v>39</v>
      </c>
      <c r="D18" s="9" t="s">
        <v>85</v>
      </c>
      <c r="E18" s="9"/>
      <c r="F18" s="9" t="s">
        <v>27</v>
      </c>
      <c r="G18" s="9" t="s">
        <v>13</v>
      </c>
      <c r="H18" s="14">
        <v>21325.13</v>
      </c>
      <c r="I18" s="9" t="s">
        <v>84</v>
      </c>
      <c r="J18" s="9"/>
      <c r="K18" s="9" t="s">
        <v>83</v>
      </c>
      <c r="L18" s="9"/>
    </row>
    <row r="19" spans="1:12" ht="35.1" customHeight="1" x14ac:dyDescent="0.25">
      <c r="A19" s="9" t="s">
        <v>82</v>
      </c>
      <c r="B19" s="9" t="s">
        <v>40</v>
      </c>
      <c r="C19" s="9" t="s">
        <v>39</v>
      </c>
      <c r="D19" s="9" t="s">
        <v>81</v>
      </c>
      <c r="E19" s="9"/>
      <c r="F19" s="9" t="s">
        <v>10</v>
      </c>
      <c r="G19" s="9" t="s">
        <v>13</v>
      </c>
      <c r="H19" s="14">
        <v>57606.75</v>
      </c>
      <c r="I19" s="9" t="s">
        <v>80</v>
      </c>
      <c r="J19" s="9"/>
      <c r="K19" s="9" t="s">
        <v>79</v>
      </c>
      <c r="L19" s="9"/>
    </row>
    <row r="20" spans="1:12" ht="35.1" customHeight="1" x14ac:dyDescent="0.25">
      <c r="A20" s="9" t="s">
        <v>78</v>
      </c>
      <c r="B20" s="9" t="s">
        <v>57</v>
      </c>
      <c r="C20" s="9" t="s">
        <v>39</v>
      </c>
      <c r="D20" s="9" t="s">
        <v>77</v>
      </c>
      <c r="E20" s="9"/>
      <c r="F20" s="9" t="s">
        <v>19</v>
      </c>
      <c r="G20" s="9" t="s">
        <v>12</v>
      </c>
      <c r="H20" s="14">
        <v>34728.53</v>
      </c>
      <c r="I20" s="9" t="s">
        <v>76</v>
      </c>
      <c r="J20" s="9"/>
      <c r="K20" s="9" t="s">
        <v>75</v>
      </c>
      <c r="L20" s="9"/>
    </row>
    <row r="21" spans="1:12" ht="35.1" customHeight="1" x14ac:dyDescent="0.25">
      <c r="A21" s="9" t="s">
        <v>74</v>
      </c>
      <c r="B21" s="9" t="s">
        <v>40</v>
      </c>
      <c r="C21" s="9" t="s">
        <v>39</v>
      </c>
      <c r="D21" s="9" t="s">
        <v>73</v>
      </c>
      <c r="E21" s="9"/>
      <c r="F21" s="9" t="s">
        <v>17</v>
      </c>
      <c r="G21" s="9" t="s">
        <v>12</v>
      </c>
      <c r="H21" s="14">
        <v>22615</v>
      </c>
      <c r="I21" s="9" t="s">
        <v>72</v>
      </c>
      <c r="J21" s="9"/>
      <c r="K21" s="9" t="s">
        <v>71</v>
      </c>
      <c r="L21" s="9"/>
    </row>
    <row r="22" spans="1:12" ht="35.1" customHeight="1" x14ac:dyDescent="0.25">
      <c r="A22" s="9" t="s">
        <v>70</v>
      </c>
      <c r="B22" s="9" t="s">
        <v>40</v>
      </c>
      <c r="C22" s="9" t="s">
        <v>39</v>
      </c>
      <c r="D22" s="9" t="s">
        <v>69</v>
      </c>
      <c r="E22" s="9"/>
      <c r="F22" s="9" t="s">
        <v>10</v>
      </c>
      <c r="G22" s="9" t="s">
        <v>12</v>
      </c>
      <c r="H22" s="14">
        <v>21834.560000000001</v>
      </c>
      <c r="I22" s="9" t="s">
        <v>68</v>
      </c>
      <c r="J22" s="9"/>
      <c r="K22" s="9" t="s">
        <v>67</v>
      </c>
      <c r="L22" s="9"/>
    </row>
    <row r="23" spans="1:12" ht="35.1" customHeight="1" x14ac:dyDescent="0.25">
      <c r="A23" s="9" t="s">
        <v>66</v>
      </c>
      <c r="B23" s="9" t="s">
        <v>40</v>
      </c>
      <c r="C23" s="9" t="s">
        <v>39</v>
      </c>
      <c r="D23" s="9" t="s">
        <v>65</v>
      </c>
      <c r="E23" s="9"/>
      <c r="F23" s="9" t="s">
        <v>32</v>
      </c>
      <c r="G23" s="9" t="s">
        <v>12</v>
      </c>
      <c r="H23" s="14">
        <v>32962.379999999997</v>
      </c>
      <c r="I23" s="9" t="s">
        <v>64</v>
      </c>
      <c r="J23" s="9"/>
      <c r="K23" s="9" t="s">
        <v>63</v>
      </c>
      <c r="L23" s="9"/>
    </row>
    <row r="24" spans="1:12" ht="35.1" customHeight="1" x14ac:dyDescent="0.25">
      <c r="A24" s="9" t="s">
        <v>62</v>
      </c>
      <c r="B24" s="9" t="s">
        <v>57</v>
      </c>
      <c r="C24" s="9" t="s">
        <v>56</v>
      </c>
      <c r="D24" s="9" t="s">
        <v>61</v>
      </c>
      <c r="E24" s="9"/>
      <c r="F24" s="9" t="s">
        <v>26</v>
      </c>
      <c r="G24" s="9" t="s">
        <v>12</v>
      </c>
      <c r="H24" s="14">
        <v>17972.189999999999</v>
      </c>
      <c r="I24" s="9" t="s">
        <v>60</v>
      </c>
      <c r="J24" s="9"/>
      <c r="K24" s="9" t="s">
        <v>59</v>
      </c>
      <c r="L24" s="9"/>
    </row>
    <row r="25" spans="1:12" ht="35.1" customHeight="1" x14ac:dyDescent="0.25">
      <c r="A25" s="9" t="s">
        <v>58</v>
      </c>
      <c r="B25" s="9" t="s">
        <v>57</v>
      </c>
      <c r="C25" s="9" t="s">
        <v>56</v>
      </c>
      <c r="D25" s="9" t="s">
        <v>53</v>
      </c>
      <c r="E25" s="9" t="s">
        <v>55</v>
      </c>
      <c r="F25" s="9" t="s">
        <v>22</v>
      </c>
      <c r="G25" s="9" t="s">
        <v>12</v>
      </c>
      <c r="H25" s="14">
        <v>26537.81</v>
      </c>
      <c r="I25" s="9"/>
      <c r="J25" s="9"/>
      <c r="K25" s="9" t="s">
        <v>54</v>
      </c>
      <c r="L25" s="9"/>
    </row>
    <row r="26" spans="1:12" ht="35.1" customHeight="1" x14ac:dyDescent="0.25">
      <c r="A26" s="9" t="s">
        <v>52</v>
      </c>
      <c r="B26" s="9" t="s">
        <v>40</v>
      </c>
      <c r="C26" s="9" t="s">
        <v>39</v>
      </c>
      <c r="D26" s="9" t="s">
        <v>51</v>
      </c>
      <c r="E26" s="9"/>
      <c r="F26" s="9" t="s">
        <v>21</v>
      </c>
      <c r="G26" s="9" t="s">
        <v>13</v>
      </c>
      <c r="H26" s="14">
        <v>18094.689999999999</v>
      </c>
      <c r="I26" s="9" t="s">
        <v>50</v>
      </c>
      <c r="J26" s="9"/>
      <c r="K26" s="9" t="s">
        <v>49</v>
      </c>
      <c r="L26" s="9"/>
    </row>
    <row r="27" spans="1:12" ht="35.1" customHeight="1" x14ac:dyDescent="0.25">
      <c r="A27" s="9" t="s">
        <v>48</v>
      </c>
      <c r="B27" s="9" t="s">
        <v>40</v>
      </c>
      <c r="C27" s="9" t="s">
        <v>39</v>
      </c>
      <c r="D27" s="9" t="s">
        <v>47</v>
      </c>
      <c r="E27" s="9"/>
      <c r="F27" s="9" t="s">
        <v>18</v>
      </c>
      <c r="G27" s="9" t="s">
        <v>13</v>
      </c>
      <c r="H27" s="14">
        <v>29471.81</v>
      </c>
      <c r="I27" s="9" t="s">
        <v>46</v>
      </c>
      <c r="J27" s="9"/>
      <c r="K27" s="9" t="s">
        <v>45</v>
      </c>
      <c r="L27" s="9"/>
    </row>
    <row r="28" spans="1:12" ht="35.1" customHeight="1" x14ac:dyDescent="0.25">
      <c r="A28" s="9" t="s">
        <v>44</v>
      </c>
      <c r="B28" s="9" t="s">
        <v>40</v>
      </c>
      <c r="C28" s="9" t="s">
        <v>39</v>
      </c>
      <c r="D28" s="9" t="s">
        <v>43</v>
      </c>
      <c r="E28" s="9"/>
      <c r="F28" s="9" t="s">
        <v>20</v>
      </c>
      <c r="G28" s="9" t="s">
        <v>13</v>
      </c>
      <c r="H28" s="14">
        <v>34878.07</v>
      </c>
      <c r="I28" s="9" t="s">
        <v>42</v>
      </c>
      <c r="J28" s="9"/>
      <c r="K28" s="9" t="s">
        <v>41</v>
      </c>
      <c r="L28" s="9"/>
    </row>
    <row r="29" spans="1:12" ht="35.1" customHeight="1" x14ac:dyDescent="0.25">
      <c r="A29" s="17" t="s">
        <v>157</v>
      </c>
      <c r="B29" s="9" t="s">
        <v>40</v>
      </c>
      <c r="C29" s="9" t="s">
        <v>39</v>
      </c>
      <c r="D29" s="9" t="s">
        <v>38</v>
      </c>
      <c r="E29" s="9"/>
      <c r="F29" s="9" t="s">
        <v>10</v>
      </c>
      <c r="G29" s="9" t="s">
        <v>12</v>
      </c>
      <c r="H29" s="14">
        <v>31238.31</v>
      </c>
      <c r="I29" s="9" t="s">
        <v>37</v>
      </c>
      <c r="J29" s="9"/>
      <c r="K29" s="9" t="s">
        <v>36</v>
      </c>
      <c r="L29" s="9"/>
    </row>
    <row r="30" spans="1:12" ht="35.1" customHeight="1" x14ac:dyDescent="0.25">
      <c r="A30" s="15"/>
      <c r="B30" s="15"/>
      <c r="C30" s="15"/>
      <c r="D30" s="15" t="s">
        <v>35</v>
      </c>
      <c r="E30" s="15"/>
      <c r="F30" s="15"/>
      <c r="G30" s="15"/>
      <c r="H30" s="16">
        <f>SUM(H4:H29)</f>
        <v>884898.34000000008</v>
      </c>
      <c r="I30" s="15"/>
      <c r="J30" s="15"/>
      <c r="K30" s="15"/>
      <c r="L30" s="15"/>
    </row>
    <row r="31" spans="1:12" ht="35.1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4021-BD8C-487A-A801-9FE3AF55413A}">
  <sheetPr>
    <pageSetUpPr fitToPage="1"/>
  </sheetPr>
  <dimension ref="A1:E26"/>
  <sheetViews>
    <sheetView workbookViewId="0">
      <pane ySplit="3" topLeftCell="A4" activePane="bottomLeft" state="frozen"/>
      <selection pane="bottomLeft" activeCell="D36" sqref="D3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4.5703125" style="8" bestFit="1" customWidth="1"/>
    <col min="4" max="4" width="18.7109375" style="8" bestFit="1" customWidth="1"/>
    <col min="5" max="5" width="35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45887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156</v>
      </c>
      <c r="E2" s="12"/>
    </row>
    <row r="3" spans="1:5" x14ac:dyDescent="0.25">
      <c r="A3" s="9" t="s">
        <v>150</v>
      </c>
      <c r="B3" s="9" t="s">
        <v>148</v>
      </c>
      <c r="C3" s="9" t="s">
        <v>147</v>
      </c>
      <c r="D3" s="9" t="s">
        <v>146</v>
      </c>
      <c r="E3" s="9" t="s">
        <v>4</v>
      </c>
    </row>
    <row r="4" spans="1:5" x14ac:dyDescent="0.25">
      <c r="A4" s="9" t="s">
        <v>109</v>
      </c>
      <c r="B4" s="9" t="s">
        <v>56</v>
      </c>
      <c r="C4" s="9" t="s">
        <v>108</v>
      </c>
      <c r="D4" s="9"/>
      <c r="E4" s="9" t="s">
        <v>29</v>
      </c>
    </row>
    <row r="5" spans="1:5" x14ac:dyDescent="0.25">
      <c r="A5" s="9" t="s">
        <v>105</v>
      </c>
      <c r="B5" s="9" t="s">
        <v>56</v>
      </c>
      <c r="C5" s="9" t="s">
        <v>104</v>
      </c>
      <c r="D5" s="9"/>
      <c r="E5" s="9" t="s">
        <v>31</v>
      </c>
    </row>
    <row r="6" spans="1:5" x14ac:dyDescent="0.25">
      <c r="A6" s="9" t="s">
        <v>62</v>
      </c>
      <c r="B6" s="9" t="s">
        <v>56</v>
      </c>
      <c r="C6" s="9" t="s">
        <v>61</v>
      </c>
      <c r="D6" s="9"/>
      <c r="E6" s="9" t="s">
        <v>26</v>
      </c>
    </row>
    <row r="7" spans="1:5" x14ac:dyDescent="0.25">
      <c r="A7" s="9" t="s">
        <v>58</v>
      </c>
      <c r="B7" s="9" t="s">
        <v>56</v>
      </c>
      <c r="C7" s="9" t="s">
        <v>53</v>
      </c>
      <c r="D7" s="9" t="s">
        <v>55</v>
      </c>
      <c r="E7" s="9" t="s">
        <v>22</v>
      </c>
    </row>
    <row r="8" spans="1:5" x14ac:dyDescent="0.25">
      <c r="A8" s="15"/>
      <c r="B8" s="15"/>
      <c r="C8" s="15" t="s">
        <v>155</v>
      </c>
      <c r="D8" s="15"/>
      <c r="E8" s="15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154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153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152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</sheetData>
  <mergeCells count="2">
    <mergeCell ref="A2:C2"/>
    <mergeCell ref="D2:E2"/>
  </mergeCells>
  <pageMargins left="0.7" right="0.7" top="0.75" bottom="0.75" header="0.3" footer="0.3"/>
  <pageSetup scale="8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2025-08-18T19:02:54Z</cp:lastPrinted>
  <dcterms:created xsi:type="dcterms:W3CDTF">2025-08-18T18:33:22Z</dcterms:created>
  <dcterms:modified xsi:type="dcterms:W3CDTF">2025-08-18T19:13:47Z</dcterms:modified>
</cp:coreProperties>
</file>