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49FA9C1C-5643-4A9F-9276-3C4AE1D4AFD9}" xr6:coauthVersionLast="47" xr6:coauthVersionMax="47" xr10:uidLastSave="{00000000-0000-0000-0000-000000000000}"/>
  <bookViews>
    <workbookView xWindow="30330" yWindow="240" windowWidth="18885" windowHeight="1516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H25" i="2"/>
  <c r="F25" i="2"/>
  <c r="E25" i="2"/>
  <c r="D25" i="2"/>
  <c r="H15" i="1"/>
</calcChain>
</file>

<file path=xl/sharedStrings.xml><?xml version="1.0" encoding="utf-8"?>
<sst xmlns="http://schemas.openxmlformats.org/spreadsheetml/2006/main" count="162" uniqueCount="93">
  <si>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</si>
  <si>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</si>
  <si>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</si>
  <si>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</si>
  <si>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</si>
  <si>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</si>
  <si>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</si>
  <si>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</si>
  <si>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</si>
  <si>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</si>
  <si>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</si>
  <si>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</si>
  <si>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</si>
  <si>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</si>
  <si>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</si>
  <si>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</si>
  <si>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CLANCY, KARYN</t>
  </si>
  <si>
    <t>Bourne Enterprises Inc</t>
  </si>
  <si>
    <t>Rachel Gorham</t>
  </si>
  <si>
    <t>GRANTKARYN2000@YAHOO.COM</t>
  </si>
  <si>
    <t>MEAD</t>
  </si>
  <si>
    <t>Route One</t>
  </si>
  <si>
    <t>MACDONALD, STEVEN</t>
  </si>
  <si>
    <t>MACDONALD, ANN</t>
  </si>
  <si>
    <t>Colonial Ford Inc</t>
  </si>
  <si>
    <t>Neli Oliveira</t>
  </si>
  <si>
    <t>SWMACESQ@AOL.COM</t>
  </si>
  <si>
    <t>gsdidntget@gmail.com</t>
  </si>
  <si>
    <t>HOBEIN</t>
  </si>
  <si>
    <t>FOSTER</t>
  </si>
  <si>
    <t>BARLOW, REBECCA</t>
  </si>
  <si>
    <t>Alden Buick Pontiac GMC</t>
  </si>
  <si>
    <t>ladybug1827@verizon.net</t>
  </si>
  <si>
    <t>GREENWOOD</t>
  </si>
  <si>
    <t>VIERA, ANGELINA</t>
  </si>
  <si>
    <t>Alden Mazda</t>
  </si>
  <si>
    <t>CLASSIC341@VERIZON.NET</t>
  </si>
  <si>
    <t>TEXEIRA</t>
  </si>
  <si>
    <t>COTE, PIERRE</t>
  </si>
  <si>
    <t>Anchor Subaru</t>
  </si>
  <si>
    <t>PIJCO@YAHOO.COM</t>
  </si>
  <si>
    <t>SYLVESTRE</t>
  </si>
  <si>
    <t>BELLANI, BRIAN</t>
  </si>
  <si>
    <t>Marlene Braganca</t>
  </si>
  <si>
    <t>bellplstng@aol.com</t>
  </si>
  <si>
    <t>Welch</t>
  </si>
  <si>
    <t>151210946</t>
  </si>
  <si>
    <t>Paper</t>
  </si>
  <si>
    <t>HOWARTH, JAMES</t>
  </si>
  <si>
    <t>Sandy Motors, Inc</t>
  </si>
  <si>
    <t>JHOWARTH89@GMAIL.COM</t>
  </si>
  <si>
    <t>CAMPAGNONE</t>
  </si>
  <si>
    <t>151210996</t>
  </si>
  <si>
    <t>KRIEGER, MARGARET</t>
  </si>
  <si>
    <t>Volvo of Tiverton</t>
  </si>
  <si>
    <t>MARGE.KRIEGER@GMAIL.COM</t>
  </si>
  <si>
    <t>MANGER</t>
  </si>
  <si>
    <t>WARD, LINDSEY</t>
  </si>
  <si>
    <t>Patriot Auto Group Inc d/b/a</t>
  </si>
  <si>
    <t>healthylindsayward@gmail.com</t>
  </si>
  <si>
    <t>Grabowski</t>
  </si>
  <si>
    <t>Leblanc, David</t>
  </si>
  <si>
    <t>Salvadore Chrysler</t>
  </si>
  <si>
    <t>crleblanc67@comcast.net</t>
  </si>
  <si>
    <t>WILLIAMS</t>
  </si>
  <si>
    <t>151211069</t>
  </si>
  <si>
    <t>THORNTON, RORY</t>
  </si>
  <si>
    <t>Robertson's GMC Truck, Inc</t>
  </si>
  <si>
    <t>ROEYTHORNTONBFD@GMAIL.COM</t>
  </si>
  <si>
    <t>CALDEN</t>
  </si>
  <si>
    <t># 11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</si>
  <si>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</si>
  <si>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</si>
  <si>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</si>
  <si>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</si>
  <si>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</si>
  <si>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</si>
  <si>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3</t>
  </si>
  <si>
    <t>Delivered by:</t>
  </si>
  <si>
    <t>Received by:</t>
  </si>
  <si>
    <t xml:space="preserve">Date Signed: </t>
  </si>
  <si>
    <t>Original Notes Delivered</t>
  </si>
  <si>
    <t>honda-Patriot Auto Group Inc d/b/a</t>
  </si>
  <si>
    <t>Column1</t>
  </si>
  <si>
    <t>Column2</t>
  </si>
  <si>
    <t>151210772 E</t>
  </si>
  <si>
    <t>151210847 E</t>
  </si>
  <si>
    <t>151210855 E</t>
  </si>
  <si>
    <t>151210863 E</t>
  </si>
  <si>
    <t>151210889 E</t>
  </si>
  <si>
    <t>151210938 E</t>
  </si>
  <si>
    <t>151211019 E</t>
  </si>
  <si>
    <t>151211051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</si>
</sst>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5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2CFC4B-9C72-4B11-A281-E927452FF157}" name="Table_14" displayName="Table_14" ref="A3:H25" headerRowDxfId="17" dataDxfId="15" totalsRowDxfId="16">
  <sortState xmlns:xlrd2="http://schemas.microsoft.com/office/spreadsheetml/2017/richdata2" ref="A4:H25">
    <sortCondition ref="A4:A25"/>
  </sortState>
  <tableColumns count="8">
    <tableColumn id="1" xr3:uid="{6691EADF-EAC6-4087-B7CC-CE45646FD2AE}" name="Dealer Name" dataDxfId="25"/>
    <tableColumn id="8" xr3:uid="{D28354A4-E709-4EA5-907E-B164EA351AFA}" name="Column2" dataDxfId="24"/>
    <tableColumn id="2" xr3:uid="{232DEE56-8940-4D59-B996-91D0D6E3BDE3}" name="Funded by" dataDxfId="23"/>
    <tableColumn id="3" xr3:uid="{30EE30DD-E339-43E3-91B7-99FE6D67D661}" name="Dealer Flat" dataDxfId="22"/>
    <tableColumn id="4" xr3:uid="{D07376C9-21DB-4B5A-9F5B-79BCAD063A02}" name="Dealer Split" dataDxfId="21"/>
    <tableColumn id="5" xr3:uid="{1CF618EF-2D2B-4BB3-95DD-00BB92AB19CB}" name="Net to Dealer" dataDxfId="20"/>
    <tableColumn id="7" xr3:uid="{BDA624D0-2926-4121-A40F-8E6860BE1DE7}" name="Column1" dataDxfId="19"/>
    <tableColumn id="6" xr3:uid="{E6C747C6-9623-49F3-AE02-4D36BC52CDFB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C407CD-4154-4B1B-836E-2C3177330405}" name="Table_16" displayName="Table_16" ref="A3:E7">
  <tableColumns count="5">
    <tableColumn id="1" xr3:uid="{31D7942B-CCA0-4285-B1CE-DEF1CBF9BD37}" name="Account Number"/>
    <tableColumn id="2" xr3:uid="{766F0ED1-166F-4AE0-BA25-A2DBEF673A17}" name="Contract Type"/>
    <tableColumn id="3" xr3:uid="{1BA86B46-AED5-4719-B1C2-FDF1782E36F8}" name="Applicant Name"/>
    <tableColumn id="4" xr3:uid="{1102680E-94CC-4479-82BC-ACCD7CA3B79B}" name="Co-Applicant Name"/>
    <tableColumn id="5" xr3:uid="{A67EF720-1B23-4C79-B1B1-61577590B48C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workbookViewId="0">
      <pane ySplit="3" topLeftCell="A4" activePane="bottomLeft" state="frozen"/>
      <selection pane="bottomLeft" activeCell="G17" sqref="G17"/>
    </sheetView>
  </sheetViews>
  <sheetFormatPr defaultRowHeight="15.75" x14ac:dyDescent="0.25"/>
  <cols>
    <col min="1" max="1" width="14.5703125" style="7" customWidth="1"/>
    <col min="2" max="2" width="12.140625" style="7" bestFit="1" customWidth="1"/>
    <col min="3" max="3" width="14" style="7" bestFit="1" customWidth="1"/>
    <col min="4" max="4" width="21.42578125" style="7" bestFit="1" customWidth="1"/>
    <col min="5" max="5" width="18.7109375" style="7" bestFit="1" customWidth="1"/>
    <col min="6" max="6" width="26.7109375" style="7" bestFit="1" customWidth="1"/>
    <col min="7" max="7" width="17.7109375" style="7" bestFit="1" customWidth="1"/>
    <col min="8" max="8" width="17.140625" style="7" bestFit="1" customWidth="1"/>
    <col min="9" max="9" width="32.85546875" style="7" bestFit="1" customWidth="1"/>
    <col min="10" max="10" width="22.28515625" style="7" bestFit="1" customWidth="1"/>
    <col min="11" max="11" width="15" style="7" bestFit="1" customWidth="1"/>
    <col min="12" max="12" width="9.28515625" style="7" customWidth="1"/>
    <col min="13" max="16384" width="9.140625" style="7"/>
  </cols>
  <sheetData>
    <row r="1" spans="1:12" x14ac:dyDescent="0.25">
      <c r="K1" s="16">
        <v>45876</v>
      </c>
      <c r="L1" s="17"/>
    </row>
    <row r="2" spans="1:12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</row>
    <row r="3" spans="1:12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33" customHeight="1" x14ac:dyDescent="0.25">
      <c r="A4" s="7" t="s">
        <v>85</v>
      </c>
      <c r="B4" s="7" t="s">
        <v>14</v>
      </c>
      <c r="C4" s="7" t="s">
        <v>15</v>
      </c>
      <c r="D4" s="7" t="s">
        <v>16</v>
      </c>
      <c r="F4" s="7" t="s">
        <v>17</v>
      </c>
      <c r="G4" s="7" t="s">
        <v>18</v>
      </c>
      <c r="H4" s="12">
        <v>18222.38</v>
      </c>
      <c r="I4" s="7" t="s">
        <v>19</v>
      </c>
      <c r="K4" s="7" t="s">
        <v>20</v>
      </c>
    </row>
    <row r="5" spans="1:12" ht="33" customHeight="1" x14ac:dyDescent="0.25">
      <c r="A5" s="7" t="s">
        <v>86</v>
      </c>
      <c r="B5" s="7" t="s">
        <v>21</v>
      </c>
      <c r="C5" s="7" t="s">
        <v>15</v>
      </c>
      <c r="D5" s="7" t="s">
        <v>22</v>
      </c>
      <c r="E5" s="7" t="s">
        <v>23</v>
      </c>
      <c r="F5" s="7" t="s">
        <v>24</v>
      </c>
      <c r="G5" s="7" t="s">
        <v>25</v>
      </c>
      <c r="H5" s="12">
        <v>43018.44</v>
      </c>
      <c r="I5" s="7" t="s">
        <v>26</v>
      </c>
      <c r="J5" s="7" t="s">
        <v>27</v>
      </c>
      <c r="K5" s="7" t="s">
        <v>28</v>
      </c>
      <c r="L5" s="7" t="s">
        <v>29</v>
      </c>
    </row>
    <row r="6" spans="1:12" ht="33" customHeight="1" x14ac:dyDescent="0.25">
      <c r="A6" s="7" t="s">
        <v>87</v>
      </c>
      <c r="B6" s="7" t="s">
        <v>21</v>
      </c>
      <c r="C6" s="7" t="s">
        <v>15</v>
      </c>
      <c r="D6" s="7" t="s">
        <v>30</v>
      </c>
      <c r="F6" s="7" t="s">
        <v>31</v>
      </c>
      <c r="G6" s="7" t="s">
        <v>25</v>
      </c>
      <c r="H6" s="12">
        <v>20849</v>
      </c>
      <c r="I6" s="7" t="s">
        <v>32</v>
      </c>
      <c r="K6" s="7" t="s">
        <v>33</v>
      </c>
    </row>
    <row r="7" spans="1:12" ht="33" customHeight="1" x14ac:dyDescent="0.25">
      <c r="A7" s="7" t="s">
        <v>88</v>
      </c>
      <c r="B7" s="7" t="s">
        <v>21</v>
      </c>
      <c r="C7" s="7" t="s">
        <v>15</v>
      </c>
      <c r="D7" s="7" t="s">
        <v>34</v>
      </c>
      <c r="F7" s="7" t="s">
        <v>35</v>
      </c>
      <c r="G7" s="7" t="s">
        <v>18</v>
      </c>
      <c r="H7" s="12">
        <v>32493.38</v>
      </c>
      <c r="I7" s="7" t="s">
        <v>36</v>
      </c>
      <c r="K7" s="7" t="s">
        <v>37</v>
      </c>
    </row>
    <row r="8" spans="1:12" ht="33" customHeight="1" x14ac:dyDescent="0.25">
      <c r="A8" s="7" t="s">
        <v>89</v>
      </c>
      <c r="B8" s="7" t="s">
        <v>14</v>
      </c>
      <c r="C8" s="7" t="s">
        <v>15</v>
      </c>
      <c r="D8" s="7" t="s">
        <v>38</v>
      </c>
      <c r="F8" s="7" t="s">
        <v>39</v>
      </c>
      <c r="G8" s="7" t="s">
        <v>18</v>
      </c>
      <c r="H8" s="12">
        <v>35141.75</v>
      </c>
      <c r="I8" s="7" t="s">
        <v>40</v>
      </c>
      <c r="K8" s="7" t="s">
        <v>41</v>
      </c>
    </row>
    <row r="9" spans="1:12" ht="33" customHeight="1" x14ac:dyDescent="0.25">
      <c r="A9" s="7" t="s">
        <v>90</v>
      </c>
      <c r="B9" s="7" t="s">
        <v>21</v>
      </c>
      <c r="C9" s="7" t="s">
        <v>15</v>
      </c>
      <c r="D9" s="7" t="s">
        <v>42</v>
      </c>
      <c r="F9" s="7" t="s">
        <v>31</v>
      </c>
      <c r="G9" s="7" t="s">
        <v>43</v>
      </c>
      <c r="H9" s="12">
        <v>56048.94</v>
      </c>
      <c r="I9" s="7" t="s">
        <v>44</v>
      </c>
      <c r="K9" s="7" t="s">
        <v>45</v>
      </c>
    </row>
    <row r="10" spans="1:12" ht="33" customHeight="1" x14ac:dyDescent="0.25">
      <c r="A10" s="7" t="s">
        <v>46</v>
      </c>
      <c r="B10" s="7" t="s">
        <v>14</v>
      </c>
      <c r="C10" s="7" t="s">
        <v>47</v>
      </c>
      <c r="D10" s="7" t="s">
        <v>48</v>
      </c>
      <c r="F10" s="7" t="s">
        <v>49</v>
      </c>
      <c r="G10" s="7" t="s">
        <v>25</v>
      </c>
      <c r="H10" s="12">
        <v>33386.93</v>
      </c>
      <c r="I10" s="7" t="s">
        <v>50</v>
      </c>
      <c r="K10" s="7" t="s">
        <v>51</v>
      </c>
    </row>
    <row r="11" spans="1:12" ht="33" customHeight="1" x14ac:dyDescent="0.25">
      <c r="A11" s="7" t="s">
        <v>52</v>
      </c>
      <c r="B11" s="7" t="s">
        <v>14</v>
      </c>
      <c r="C11" s="7" t="s">
        <v>47</v>
      </c>
      <c r="D11" s="7" t="s">
        <v>53</v>
      </c>
      <c r="F11" s="7" t="s">
        <v>54</v>
      </c>
      <c r="G11" s="7" t="s">
        <v>18</v>
      </c>
      <c r="H11" s="12">
        <v>49570.1</v>
      </c>
      <c r="I11" s="7" t="s">
        <v>55</v>
      </c>
      <c r="K11" s="7" t="s">
        <v>56</v>
      </c>
    </row>
    <row r="12" spans="1:12" ht="33" customHeight="1" x14ac:dyDescent="0.25">
      <c r="A12" s="7" t="s">
        <v>91</v>
      </c>
      <c r="B12" s="7" t="s">
        <v>21</v>
      </c>
      <c r="C12" s="7" t="s">
        <v>15</v>
      </c>
      <c r="D12" s="7" t="s">
        <v>57</v>
      </c>
      <c r="F12" s="7" t="s">
        <v>58</v>
      </c>
      <c r="G12" s="7" t="s">
        <v>43</v>
      </c>
      <c r="H12" s="12">
        <v>34297.629999999997</v>
      </c>
      <c r="I12" s="7" t="s">
        <v>59</v>
      </c>
      <c r="K12" s="7" t="s">
        <v>60</v>
      </c>
    </row>
    <row r="13" spans="1:12" ht="33" customHeight="1" x14ac:dyDescent="0.25">
      <c r="A13" s="7" t="s">
        <v>92</v>
      </c>
      <c r="B13" s="7" t="s">
        <v>21</v>
      </c>
      <c r="C13" s="7" t="s">
        <v>15</v>
      </c>
      <c r="D13" s="7" t="s">
        <v>61</v>
      </c>
      <c r="F13" s="7" t="s">
        <v>62</v>
      </c>
      <c r="G13" s="7" t="s">
        <v>25</v>
      </c>
      <c r="H13" s="12">
        <v>30452.44</v>
      </c>
      <c r="I13" s="7" t="s">
        <v>63</v>
      </c>
      <c r="K13" s="7" t="s">
        <v>64</v>
      </c>
    </row>
    <row r="14" spans="1:12" ht="33" customHeight="1" x14ac:dyDescent="0.25">
      <c r="A14" s="7" t="s">
        <v>65</v>
      </c>
      <c r="B14" s="7" t="s">
        <v>14</v>
      </c>
      <c r="C14" s="7" t="s">
        <v>47</v>
      </c>
      <c r="D14" s="7" t="s">
        <v>66</v>
      </c>
      <c r="F14" s="7" t="s">
        <v>67</v>
      </c>
      <c r="G14" s="7" t="s">
        <v>18</v>
      </c>
      <c r="H14" s="12">
        <v>86983.26</v>
      </c>
      <c r="I14" s="7" t="s">
        <v>68</v>
      </c>
      <c r="K14" s="7" t="s">
        <v>69</v>
      </c>
    </row>
    <row r="15" spans="1:12" x14ac:dyDescent="0.25">
      <c r="A15" s="14"/>
      <c r="B15" s="14"/>
      <c r="C15" s="14"/>
      <c r="D15" s="14" t="s">
        <v>70</v>
      </c>
      <c r="E15" s="14"/>
      <c r="F15" s="14"/>
      <c r="G15" s="14"/>
      <c r="H15" s="15">
        <f>SUM(H4:H14)</f>
        <v>440464.25</v>
      </c>
      <c r="I15" s="14"/>
      <c r="J15" s="14"/>
      <c r="K15" s="14"/>
      <c r="L15" s="14"/>
    </row>
  </sheetData>
  <mergeCells count="3">
    <mergeCell ref="A2:F2"/>
    <mergeCell ref="G2:L2"/>
    <mergeCell ref="K1:L1"/>
  </mergeCells>
  <pageMargins left="0.7" right="0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6F5C-4701-4438-8671-81ACF1BB3E62}">
  <sheetPr>
    <pageSetUpPr fitToPage="1"/>
  </sheetPr>
  <dimension ref="A1:H25"/>
  <sheetViews>
    <sheetView workbookViewId="0">
      <selection activeCell="J7" sqref="J7"/>
    </sheetView>
  </sheetViews>
  <sheetFormatPr defaultRowHeight="15.75" x14ac:dyDescent="0.25"/>
  <cols>
    <col min="1" max="1" width="20" style="7" customWidth="1"/>
    <col min="2" max="2" width="11.85546875" style="7" customWidth="1"/>
    <col min="3" max="3" width="20" style="7" customWidth="1"/>
    <col min="4" max="4" width="16.5703125" style="7" customWidth="1"/>
    <col min="5" max="5" width="16.85546875" style="7" customWidth="1"/>
    <col min="6" max="6" width="14.42578125" style="7" customWidth="1"/>
    <col min="7" max="7" width="13.28515625" style="7" customWidth="1"/>
    <col min="8" max="8" width="16.5703125" style="7" customWidth="1"/>
    <col min="9" max="16384" width="9.140625" style="7"/>
  </cols>
  <sheetData>
    <row r="1" spans="1:8" x14ac:dyDescent="0.25">
      <c r="E1" s="8"/>
      <c r="H1" s="8">
        <v>45876.999988425923</v>
      </c>
    </row>
    <row r="2" spans="1:8" x14ac:dyDescent="0.25">
      <c r="A2" s="9" t="s">
        <v>0</v>
      </c>
      <c r="B2" s="9"/>
      <c r="C2" s="10"/>
      <c r="D2" s="10"/>
      <c r="E2" s="11" t="s">
        <v>71</v>
      </c>
      <c r="F2" s="10"/>
      <c r="G2" s="10"/>
      <c r="H2" s="10"/>
    </row>
    <row r="3" spans="1:8" x14ac:dyDescent="0.25">
      <c r="A3" s="7" t="s">
        <v>7</v>
      </c>
      <c r="B3" s="7" t="s">
        <v>84</v>
      </c>
      <c r="C3" s="7" t="s">
        <v>8</v>
      </c>
      <c r="D3" s="7" t="s">
        <v>72</v>
      </c>
      <c r="E3" s="7" t="s">
        <v>73</v>
      </c>
      <c r="F3" s="7" t="s">
        <v>74</v>
      </c>
      <c r="G3" s="7" t="s">
        <v>83</v>
      </c>
      <c r="H3" s="7" t="s">
        <v>75</v>
      </c>
    </row>
    <row r="4" spans="1:8" ht="27" customHeight="1" x14ac:dyDescent="0.25">
      <c r="A4" s="7" t="s">
        <v>31</v>
      </c>
      <c r="C4" s="7" t="s">
        <v>43</v>
      </c>
      <c r="D4" s="12">
        <v>1350</v>
      </c>
      <c r="E4" s="12">
        <v>0</v>
      </c>
      <c r="F4" s="12">
        <v>55973.94</v>
      </c>
      <c r="G4" s="12"/>
      <c r="H4" s="12">
        <v>56048.94</v>
      </c>
    </row>
    <row r="5" spans="1:8" ht="27" customHeight="1" x14ac:dyDescent="0.25">
      <c r="A5" s="7" t="s">
        <v>31</v>
      </c>
      <c r="C5" s="7" t="s">
        <v>25</v>
      </c>
      <c r="D5" s="12">
        <v>650</v>
      </c>
      <c r="E5" s="12">
        <v>0</v>
      </c>
      <c r="F5" s="12">
        <v>20774</v>
      </c>
      <c r="G5" s="13">
        <f>SUM(F4:F5)</f>
        <v>76747.94</v>
      </c>
      <c r="H5" s="12">
        <v>20849</v>
      </c>
    </row>
    <row r="6" spans="1:8" ht="27" customHeight="1" x14ac:dyDescent="0.25">
      <c r="D6" s="12"/>
      <c r="E6" s="12"/>
      <c r="F6" s="12"/>
      <c r="G6" s="12"/>
      <c r="H6" s="12"/>
    </row>
    <row r="7" spans="1:8" ht="27" customHeight="1" x14ac:dyDescent="0.25">
      <c r="A7" s="7" t="s">
        <v>35</v>
      </c>
      <c r="C7" s="7" t="s">
        <v>18</v>
      </c>
      <c r="D7" s="12">
        <v>850</v>
      </c>
      <c r="E7" s="12">
        <v>0</v>
      </c>
      <c r="F7" s="13">
        <v>32418.38</v>
      </c>
      <c r="G7" s="12"/>
      <c r="H7" s="12">
        <v>32493.38</v>
      </c>
    </row>
    <row r="8" spans="1:8" ht="27" customHeight="1" x14ac:dyDescent="0.25">
      <c r="D8" s="12"/>
      <c r="E8" s="12"/>
      <c r="F8" s="13"/>
      <c r="G8" s="12"/>
      <c r="H8" s="12"/>
    </row>
    <row r="9" spans="1:8" ht="27" customHeight="1" x14ac:dyDescent="0.25">
      <c r="A9" s="7" t="s">
        <v>39</v>
      </c>
      <c r="C9" s="7" t="s">
        <v>18</v>
      </c>
      <c r="D9" s="12">
        <v>950</v>
      </c>
      <c r="E9" s="12">
        <v>0</v>
      </c>
      <c r="F9" s="13">
        <v>35066.75</v>
      </c>
      <c r="G9" s="12"/>
      <c r="H9" s="12">
        <v>35141.75</v>
      </c>
    </row>
    <row r="10" spans="1:8" ht="27" customHeight="1" x14ac:dyDescent="0.25">
      <c r="D10" s="12"/>
      <c r="E10" s="12"/>
      <c r="F10" s="13"/>
      <c r="G10" s="12"/>
      <c r="H10" s="12"/>
    </row>
    <row r="11" spans="1:8" ht="27" customHeight="1" x14ac:dyDescent="0.25">
      <c r="A11" s="7" t="s">
        <v>17</v>
      </c>
      <c r="C11" s="7" t="s">
        <v>18</v>
      </c>
      <c r="D11" s="12">
        <v>500</v>
      </c>
      <c r="E11" s="12">
        <v>0</v>
      </c>
      <c r="F11" s="13">
        <v>18147.38</v>
      </c>
      <c r="G11" s="12"/>
      <c r="H11" s="12">
        <v>18222.38</v>
      </c>
    </row>
    <row r="12" spans="1:8" ht="27" customHeight="1" x14ac:dyDescent="0.25">
      <c r="D12" s="12"/>
      <c r="E12" s="12"/>
      <c r="F12" s="13"/>
      <c r="G12" s="12"/>
      <c r="H12" s="12"/>
    </row>
    <row r="13" spans="1:8" ht="27" customHeight="1" x14ac:dyDescent="0.25">
      <c r="A13" s="7" t="s">
        <v>24</v>
      </c>
      <c r="C13" s="7" t="s">
        <v>25</v>
      </c>
      <c r="D13" s="12">
        <v>1050</v>
      </c>
      <c r="E13" s="12">
        <v>0</v>
      </c>
      <c r="F13" s="13">
        <v>42943.44</v>
      </c>
      <c r="G13" s="12"/>
      <c r="H13" s="12">
        <v>43018.44</v>
      </c>
    </row>
    <row r="14" spans="1:8" ht="27" customHeight="1" x14ac:dyDescent="0.25">
      <c r="D14" s="12"/>
      <c r="E14" s="12"/>
      <c r="F14" s="13"/>
      <c r="G14" s="12"/>
      <c r="H14" s="12"/>
    </row>
    <row r="15" spans="1:8" ht="27" customHeight="1" x14ac:dyDescent="0.25">
      <c r="A15" s="7" t="s">
        <v>82</v>
      </c>
      <c r="C15" s="7" t="s">
        <v>43</v>
      </c>
      <c r="D15" s="12">
        <v>850</v>
      </c>
      <c r="E15" s="12">
        <v>0</v>
      </c>
      <c r="F15" s="13">
        <v>34222.629999999997</v>
      </c>
      <c r="G15" s="12"/>
      <c r="H15" s="12">
        <v>34297.629999999997</v>
      </c>
    </row>
    <row r="16" spans="1:8" ht="27" customHeight="1" x14ac:dyDescent="0.25">
      <c r="D16" s="12"/>
      <c r="E16" s="12"/>
      <c r="F16" s="13"/>
      <c r="G16" s="12"/>
      <c r="H16" s="12"/>
    </row>
    <row r="17" spans="1:8" ht="27" customHeight="1" x14ac:dyDescent="0.25">
      <c r="A17" s="7" t="s">
        <v>67</v>
      </c>
      <c r="C17" s="7" t="s">
        <v>18</v>
      </c>
      <c r="D17" s="12">
        <v>1500</v>
      </c>
      <c r="E17" s="12">
        <v>0</v>
      </c>
      <c r="F17" s="13">
        <v>86908.26</v>
      </c>
      <c r="G17" s="12"/>
      <c r="H17" s="12">
        <v>86983.26</v>
      </c>
    </row>
    <row r="18" spans="1:8" ht="27" customHeight="1" x14ac:dyDescent="0.25">
      <c r="D18" s="12"/>
      <c r="E18" s="12"/>
      <c r="F18" s="13"/>
      <c r="G18" s="12"/>
      <c r="H18" s="12"/>
    </row>
    <row r="19" spans="1:8" ht="27" customHeight="1" x14ac:dyDescent="0.25">
      <c r="A19" s="7" t="s">
        <v>62</v>
      </c>
      <c r="C19" s="7" t="s">
        <v>25</v>
      </c>
      <c r="D19" s="12">
        <v>850</v>
      </c>
      <c r="E19" s="12">
        <v>0</v>
      </c>
      <c r="F19" s="13">
        <v>30377.439999999999</v>
      </c>
      <c r="G19" s="12"/>
      <c r="H19" s="12">
        <v>30452.44</v>
      </c>
    </row>
    <row r="20" spans="1:8" ht="27" customHeight="1" x14ac:dyDescent="0.25">
      <c r="D20" s="12"/>
      <c r="E20" s="12"/>
      <c r="F20" s="13"/>
      <c r="G20" s="12"/>
      <c r="H20" s="12"/>
    </row>
    <row r="21" spans="1:8" ht="27" customHeight="1" x14ac:dyDescent="0.25">
      <c r="A21" s="7" t="s">
        <v>49</v>
      </c>
      <c r="C21" s="7" t="s">
        <v>25</v>
      </c>
      <c r="D21" s="12">
        <v>850</v>
      </c>
      <c r="E21" s="12">
        <v>0</v>
      </c>
      <c r="F21" s="13">
        <v>33311.93</v>
      </c>
      <c r="G21" s="12"/>
      <c r="H21" s="12">
        <v>33386.93</v>
      </c>
    </row>
    <row r="22" spans="1:8" ht="27" customHeight="1" x14ac:dyDescent="0.25">
      <c r="D22" s="12"/>
      <c r="E22" s="12"/>
      <c r="F22" s="13"/>
      <c r="G22" s="12"/>
      <c r="H22" s="12"/>
    </row>
    <row r="23" spans="1:8" ht="27" customHeight="1" x14ac:dyDescent="0.25">
      <c r="A23" s="7" t="s">
        <v>54</v>
      </c>
      <c r="C23" s="7" t="s">
        <v>18</v>
      </c>
      <c r="D23" s="12">
        <v>1150</v>
      </c>
      <c r="E23" s="12">
        <v>0</v>
      </c>
      <c r="F23" s="13">
        <v>49495.1</v>
      </c>
      <c r="G23" s="12"/>
      <c r="H23" s="12">
        <v>49570.1</v>
      </c>
    </row>
    <row r="24" spans="1:8" x14ac:dyDescent="0.25">
      <c r="D24" s="12"/>
      <c r="E24" s="12"/>
      <c r="F24" s="12"/>
      <c r="G24" s="12"/>
      <c r="H24" s="12"/>
    </row>
    <row r="25" spans="1:8" x14ac:dyDescent="0.25">
      <c r="A25" s="14"/>
      <c r="B25" s="14"/>
      <c r="C25" s="14"/>
      <c r="D25" s="15">
        <f>SUM(D4:D23)</f>
        <v>10550</v>
      </c>
      <c r="E25" s="15">
        <f>SUM(E4:E23)</f>
        <v>0</v>
      </c>
      <c r="F25" s="15">
        <f>SUM(F4:F23)</f>
        <v>439639.25</v>
      </c>
      <c r="G25" s="15"/>
      <c r="H25" s="15">
        <f>SUM(H4:H23)</f>
        <v>440464.25</v>
      </c>
    </row>
  </sheetData>
  <mergeCells count="2">
    <mergeCell ref="A2:D2"/>
    <mergeCell ref="E2:H2"/>
  </mergeCells>
  <pageMargins left="0.7" right="0.2" top="0.75" bottom="0.25" header="0.3" footer="0.3"/>
  <pageSetup scale="8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13A4-F2BB-42E5-8B9A-CCC1475A2A08}">
  <sheetPr>
    <pageSetUpPr fitToPage="1"/>
  </sheetPr>
  <dimension ref="A1:E22"/>
  <sheetViews>
    <sheetView zoomScaleNormal="100" workbookViewId="0">
      <selection activeCell="E15" sqref="E15"/>
    </sheetView>
  </sheetViews>
  <sheetFormatPr defaultRowHeight="15" x14ac:dyDescent="0.25"/>
  <cols>
    <col min="1" max="1" width="12" customWidth="1"/>
    <col min="2" max="2" width="10.7109375" customWidth="1"/>
    <col min="3" max="3" width="17.42578125" customWidth="1"/>
    <col min="4" max="4" width="7.5703125" customWidth="1"/>
    <col min="5" max="5" width="30.140625" customWidth="1"/>
  </cols>
  <sheetData>
    <row r="1" spans="1:5" x14ac:dyDescent="0.25">
      <c r="A1" t="s">
        <v>81</v>
      </c>
      <c r="D1" s="2"/>
      <c r="E1" s="2">
        <v>45876.999988425923</v>
      </c>
    </row>
    <row r="2" spans="1:5" x14ac:dyDescent="0.25">
      <c r="A2" s="3" t="s">
        <v>0</v>
      </c>
      <c r="B2" s="4"/>
      <c r="C2" s="4"/>
      <c r="D2" s="5" t="s">
        <v>76</v>
      </c>
      <c r="E2" s="4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7" customHeight="1" x14ac:dyDescent="0.25">
      <c r="A4" t="s">
        <v>46</v>
      </c>
      <c r="B4" t="s">
        <v>47</v>
      </c>
      <c r="C4" t="s">
        <v>48</v>
      </c>
      <c r="E4" t="s">
        <v>49</v>
      </c>
    </row>
    <row r="5" spans="1:5" ht="27" customHeight="1" x14ac:dyDescent="0.25">
      <c r="A5" t="s">
        <v>52</v>
      </c>
      <c r="B5" t="s">
        <v>47</v>
      </c>
      <c r="C5" t="s">
        <v>53</v>
      </c>
      <c r="E5" t="s">
        <v>54</v>
      </c>
    </row>
    <row r="6" spans="1:5" ht="27" customHeight="1" x14ac:dyDescent="0.25">
      <c r="A6" t="s">
        <v>65</v>
      </c>
      <c r="B6" t="s">
        <v>47</v>
      </c>
      <c r="C6" t="s">
        <v>66</v>
      </c>
      <c r="E6" t="s">
        <v>67</v>
      </c>
    </row>
    <row r="7" spans="1:5" x14ac:dyDescent="0.25">
      <c r="A7" s="1"/>
      <c r="B7" s="1"/>
      <c r="C7" s="1" t="s">
        <v>77</v>
      </c>
      <c r="D7" s="1"/>
      <c r="E7" s="1"/>
    </row>
    <row r="12" spans="1:5" x14ac:dyDescent="0.25">
      <c r="A12" t="s">
        <v>78</v>
      </c>
      <c r="B12" s="6"/>
      <c r="C12" s="6"/>
      <c r="D12" s="6"/>
    </row>
    <row r="17" spans="1:4" x14ac:dyDescent="0.25">
      <c r="A17" t="s">
        <v>79</v>
      </c>
      <c r="B17" s="6"/>
      <c r="C17" s="6"/>
      <c r="D17" s="6"/>
    </row>
    <row r="22" spans="1:4" x14ac:dyDescent="0.25">
      <c r="A22" t="s">
        <v>80</v>
      </c>
      <c r="B22" s="6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2025-08-07T18:20:22Z</cp:lastPrinted>
  <dcterms:created xsi:type="dcterms:W3CDTF">2025-08-07T18:05:16Z</dcterms:created>
  <dcterms:modified xsi:type="dcterms:W3CDTF">2025-08-07T18:47:29Z</dcterms:modified>
</cp:coreProperties>
</file>