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8708B6B9-FB7F-4B4A-A1FC-D2C0F496AA49}" xr6:coauthVersionLast="47" xr6:coauthVersionMax="47" xr10:uidLastSave="{00000000-0000-0000-0000-000000000000}"/>
  <bookViews>
    <workbookView xWindow="30300" yWindow="555" windowWidth="21180" windowHeight="14280" xr2:uid="{00000000-000D-0000-FFFF-FFFF00000000}"/>
  </bookViews>
  <sheets>
    <sheet name="Funding Worksheet - Folder Vers" sheetId="1" r:id="rId1"/>
    <sheet name="Funding Worksheet - ACH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F24" i="2"/>
  <c r="E24" i="2"/>
  <c r="D24" i="2"/>
  <c r="H14" i="1"/>
</calcChain>
</file>

<file path=xl/sharedStrings.xml><?xml version="1.0" encoding="utf-8"?>
<sst xmlns="http://schemas.openxmlformats.org/spreadsheetml/2006/main" count="144" uniqueCount="89">
  <si>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</si>
  <si>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</si>
  <si>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</si>
  <si>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</si>
  <si>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</si>
  <si>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</si>
  <si>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</si>
  <si>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</si>
  <si>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</si>
  <si>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</si>
  <si>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</si>
  <si>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</si>
  <si>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</si>
  <si>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</si>
  <si>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</si>
  <si>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</si>
  <si>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</si>
  <si>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ALMEIDA, MANUEL</t>
  </si>
  <si>
    <t>Mastria Buick Pontiac</t>
  </si>
  <si>
    <t>Marlene Braganca</t>
  </si>
  <si>
    <t>Pavo</t>
  </si>
  <si>
    <t>Perrotta, Timothy</t>
  </si>
  <si>
    <t>Alden Mazda</t>
  </si>
  <si>
    <t>TIM@TIMPERROTTA.COM</t>
  </si>
  <si>
    <t>OUILLETTE</t>
  </si>
  <si>
    <t>DealerTrack</t>
  </si>
  <si>
    <t>KELLEY, MICHAEL</t>
  </si>
  <si>
    <t>Robertson's GMC Truck, Inc</t>
  </si>
  <si>
    <t>kellmic5@isu.edu</t>
  </si>
  <si>
    <t>FOGLEMAN</t>
  </si>
  <si>
    <t>DE SOUZA RAMOS, JEAN</t>
  </si>
  <si>
    <t>Metro Honda</t>
  </si>
  <si>
    <t>Neli Oliveira</t>
  </si>
  <si>
    <t>JEANSRAMOS.JR@GMAIL.COM</t>
  </si>
  <si>
    <t>RAMOS</t>
  </si>
  <si>
    <t>NATION, GREGORY</t>
  </si>
  <si>
    <t>T F Murphy Enterprises Inc</t>
  </si>
  <si>
    <t>Rachel Gorham</t>
  </si>
  <si>
    <t>GSN107@GMAIL.COM</t>
  </si>
  <si>
    <t>TIFFT</t>
  </si>
  <si>
    <t>WILKINS, BRYON</t>
  </si>
  <si>
    <t>Grieco Toyota</t>
  </si>
  <si>
    <t>BYRONWILKINS94@GMAIL.COM</t>
  </si>
  <si>
    <t>BATES</t>
  </si>
  <si>
    <t>SOMERS, CASSIE</t>
  </si>
  <si>
    <t>Coastal Volkswagon</t>
  </si>
  <si>
    <t>csomers70@comcast.net</t>
  </si>
  <si>
    <t>Bennett</t>
  </si>
  <si>
    <t>151233740</t>
  </si>
  <si>
    <t>Paper</t>
  </si>
  <si>
    <t>KELLER, CARL</t>
  </si>
  <si>
    <t>Bourne Enterprises Inc</t>
  </si>
  <si>
    <t>CAPTAINCHEFCARL@GMAIL.COM</t>
  </si>
  <si>
    <t>GULIFFA</t>
  </si>
  <si>
    <t>LEWIS, PHILLIP</t>
  </si>
  <si>
    <t>LEWIS, JENNIFER</t>
  </si>
  <si>
    <t>Patriot Auto Group Inc d/b/a</t>
  </si>
  <si>
    <t>PANDJLEWIS@VERIZON.NET</t>
  </si>
  <si>
    <t>pandjlewis@verizon.net</t>
  </si>
  <si>
    <t>HALTERMAN</t>
  </si>
  <si>
    <t>HALLETT</t>
  </si>
  <si>
    <t>LABELLE, APRIL</t>
  </si>
  <si>
    <t>Planet Subaru</t>
  </si>
  <si>
    <t>SOCCERADW9@GMAIL.COM</t>
  </si>
  <si>
    <t>GABEL</t>
  </si>
  <si>
    <t># 10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</si>
  <si>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</si>
  <si>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</si>
  <si>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</si>
  <si>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</si>
  <si>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</si>
  <si>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</si>
  <si>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</si>
  <si>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</si>
  <si>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Funding Worksheet - Signoff Version</t>
  </si>
  <si>
    <t># 1</t>
  </si>
  <si>
    <t>Delivered by:</t>
  </si>
  <si>
    <t>Receoved by:</t>
  </si>
  <si>
    <t xml:space="preserve">Signed by: </t>
  </si>
  <si>
    <t>4453-2150</t>
  </si>
  <si>
    <t>151233542 E</t>
  </si>
  <si>
    <t>151233584 E</t>
  </si>
  <si>
    <t>151233659 E</t>
  </si>
  <si>
    <t>151233675 E</t>
  </si>
  <si>
    <t>151233683 E</t>
  </si>
  <si>
    <t>151233708 E</t>
  </si>
  <si>
    <t>151233716 E</t>
  </si>
  <si>
    <t>151233766 E</t>
  </si>
  <si>
    <t>151233782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</si>
</sst>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7" fontId="2" fillId="0" borderId="0" xfId="0" applyNumberFormat="1" applyFont="1"/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4"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656F1-40B5-4E14-A209-8CE0A79BAAD1}" name="Table_14" displayName="Table_14" ref="A3:H24">
  <sortState xmlns:xlrd2="http://schemas.microsoft.com/office/spreadsheetml/2017/richdata2" ref="A4:H24">
    <sortCondition ref="A4:A24"/>
  </sortState>
  <tableColumns count="8">
    <tableColumn id="1" xr3:uid="{943FC943-23B3-4EA4-918E-B86AAB819634}" name="Dealer Name"/>
    <tableColumn id="7" xr3:uid="{9E20672E-4474-49EE-8BC9-A341BEFA3E99}" name="Column1"/>
    <tableColumn id="2" xr3:uid="{41E60584-5438-482E-BCFE-581FF69F62FB}" name="Funded by"/>
    <tableColumn id="3" xr3:uid="{82E291D2-9FE7-448B-8C8D-115811C262E1}" name="Dealer Flat"/>
    <tableColumn id="4" xr3:uid="{60D26EFB-ABC1-4CCE-B922-49ECD6AC45CD}" name="Dealer Split"/>
    <tableColumn id="5" xr3:uid="{DF0C0591-298A-4096-B00F-86E328A9E297}" name="Net to Dealer"/>
    <tableColumn id="8" xr3:uid="{42BF58B5-6F48-4099-AFEE-D7E9D125297A}" name="Column2" dataDxfId="0"/>
    <tableColumn id="6" xr3:uid="{8C63A99E-36CD-43D7-A822-5E3AE5C71812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86C67D-245D-486C-B40A-02C58E096CFB}" name="Table_15" displayName="Table_15" ref="A3:E5">
  <tableColumns count="5">
    <tableColumn id="1" xr3:uid="{7E5103AE-35E8-4C0B-A49E-7D23AC25187B}" name="Account Number"/>
    <tableColumn id="2" xr3:uid="{81081E04-85E2-465A-AF28-91B2E52D819F}" name="Contract Type"/>
    <tableColumn id="3" xr3:uid="{7005C932-3508-43FD-9EF6-532A756DBD37}" name="Applicant Name"/>
    <tableColumn id="4" xr3:uid="{63ECCDFF-3C1C-4C0F-8EE1-FC04B360C0C4}" name="Co-Applicant Name"/>
    <tableColumn id="5" xr3:uid="{A5F98C2A-7118-49B4-AF8E-274738EC8741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workbookViewId="0">
      <pane ySplit="3" topLeftCell="A4" activePane="bottomLeft" state="frozen"/>
      <selection pane="bottomLeft" activeCell="J18" sqref="J18"/>
    </sheetView>
  </sheetViews>
  <sheetFormatPr defaultRowHeight="15" x14ac:dyDescent="0.25"/>
  <cols>
    <col min="1" max="1" width="13.42578125" customWidth="1"/>
    <col min="2" max="2" width="12.140625" bestFit="1" customWidth="1"/>
    <col min="3" max="3" width="12" customWidth="1"/>
    <col min="4" max="4" width="23.42578125" bestFit="1" customWidth="1"/>
    <col min="5" max="5" width="18.7109375" bestFit="1" customWidth="1"/>
    <col min="6" max="6" width="26.7109375" bestFit="1" customWidth="1"/>
    <col min="7" max="7" width="17.7109375" bestFit="1" customWidth="1"/>
    <col min="8" max="8" width="17.140625" bestFit="1" customWidth="1"/>
    <col min="9" max="9" width="31.140625" bestFit="1" customWidth="1"/>
    <col min="10" max="10" width="22.85546875" bestFit="1" customWidth="1"/>
    <col min="11" max="11" width="16" bestFit="1" customWidth="1"/>
    <col min="12" max="12" width="7.85546875" customWidth="1"/>
    <col min="13" max="13" width="16" hidden="1" customWidth="1"/>
  </cols>
  <sheetData>
    <row r="1" spans="1:13" x14ac:dyDescent="0.25">
      <c r="K1" s="4">
        <v>45939</v>
      </c>
      <c r="M1" s="4">
        <v>45939.999988425923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ht="30" customHeight="1" x14ac:dyDescent="0.25">
      <c r="A4" t="s">
        <v>80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14685.73</v>
      </c>
      <c r="K4" t="s">
        <v>20</v>
      </c>
    </row>
    <row r="5" spans="1:13" ht="30" customHeight="1" x14ac:dyDescent="0.25">
      <c r="A5" t="s">
        <v>81</v>
      </c>
      <c r="B5" t="s">
        <v>15</v>
      </c>
      <c r="C5" t="s">
        <v>16</v>
      </c>
      <c r="D5" t="s">
        <v>21</v>
      </c>
      <c r="F5" t="s">
        <v>22</v>
      </c>
      <c r="G5" t="s">
        <v>19</v>
      </c>
      <c r="H5" s="2">
        <v>26820.81</v>
      </c>
      <c r="I5" t="s">
        <v>23</v>
      </c>
      <c r="K5" t="s">
        <v>24</v>
      </c>
    </row>
    <row r="6" spans="1:13" ht="30" customHeight="1" x14ac:dyDescent="0.25">
      <c r="A6" t="s">
        <v>82</v>
      </c>
      <c r="B6" t="s">
        <v>25</v>
      </c>
      <c r="C6" t="s">
        <v>16</v>
      </c>
      <c r="D6" t="s">
        <v>26</v>
      </c>
      <c r="F6" t="s">
        <v>27</v>
      </c>
      <c r="G6" t="s">
        <v>19</v>
      </c>
      <c r="H6" s="2">
        <v>38791.629999999997</v>
      </c>
      <c r="I6" t="s">
        <v>28</v>
      </c>
      <c r="K6" t="s">
        <v>29</v>
      </c>
    </row>
    <row r="7" spans="1:13" ht="30" customHeight="1" x14ac:dyDescent="0.25">
      <c r="A7" t="s">
        <v>83</v>
      </c>
      <c r="B7" t="s">
        <v>25</v>
      </c>
      <c r="C7" t="s">
        <v>16</v>
      </c>
      <c r="D7" t="s">
        <v>30</v>
      </c>
      <c r="F7" t="s">
        <v>31</v>
      </c>
      <c r="G7" t="s">
        <v>32</v>
      </c>
      <c r="H7" s="2">
        <v>26067.54</v>
      </c>
      <c r="I7" t="s">
        <v>33</v>
      </c>
      <c r="K7" t="s">
        <v>34</v>
      </c>
    </row>
    <row r="8" spans="1:13" ht="30" customHeight="1" x14ac:dyDescent="0.25">
      <c r="A8" t="s">
        <v>84</v>
      </c>
      <c r="B8" t="s">
        <v>15</v>
      </c>
      <c r="C8" t="s">
        <v>16</v>
      </c>
      <c r="D8" t="s">
        <v>35</v>
      </c>
      <c r="F8" t="s">
        <v>36</v>
      </c>
      <c r="G8" t="s">
        <v>37</v>
      </c>
      <c r="H8" s="2">
        <v>30293.94</v>
      </c>
      <c r="I8" t="s">
        <v>38</v>
      </c>
      <c r="K8" t="s">
        <v>39</v>
      </c>
    </row>
    <row r="9" spans="1:13" ht="30" customHeight="1" x14ac:dyDescent="0.25">
      <c r="A9" t="s">
        <v>85</v>
      </c>
      <c r="B9" t="s">
        <v>15</v>
      </c>
      <c r="C9" t="s">
        <v>16</v>
      </c>
      <c r="D9" t="s">
        <v>40</v>
      </c>
      <c r="F9" t="s">
        <v>41</v>
      </c>
      <c r="G9" t="s">
        <v>32</v>
      </c>
      <c r="H9" s="2">
        <v>29143.06</v>
      </c>
      <c r="I9" t="s">
        <v>42</v>
      </c>
      <c r="K9" t="s">
        <v>43</v>
      </c>
    </row>
    <row r="10" spans="1:13" ht="30" customHeight="1" x14ac:dyDescent="0.25">
      <c r="A10" t="s">
        <v>86</v>
      </c>
      <c r="B10" t="s">
        <v>25</v>
      </c>
      <c r="C10" t="s">
        <v>16</v>
      </c>
      <c r="D10" t="s">
        <v>44</v>
      </c>
      <c r="F10" t="s">
        <v>45</v>
      </c>
      <c r="G10" t="s">
        <v>19</v>
      </c>
      <c r="H10" s="2">
        <v>27513.19</v>
      </c>
      <c r="I10" t="s">
        <v>46</v>
      </c>
      <c r="K10" t="s">
        <v>47</v>
      </c>
    </row>
    <row r="11" spans="1:13" ht="30" customHeight="1" x14ac:dyDescent="0.25">
      <c r="A11" t="s">
        <v>48</v>
      </c>
      <c r="B11" t="s">
        <v>25</v>
      </c>
      <c r="C11" t="s">
        <v>49</v>
      </c>
      <c r="D11" t="s">
        <v>50</v>
      </c>
      <c r="F11" t="s">
        <v>51</v>
      </c>
      <c r="G11" t="s">
        <v>32</v>
      </c>
      <c r="H11" s="2">
        <v>23841.13</v>
      </c>
      <c r="I11" t="s">
        <v>52</v>
      </c>
      <c r="K11" t="s">
        <v>53</v>
      </c>
    </row>
    <row r="12" spans="1:13" ht="30" customHeight="1" x14ac:dyDescent="0.25">
      <c r="A12" t="s">
        <v>87</v>
      </c>
      <c r="B12" t="s">
        <v>15</v>
      </c>
      <c r="C12" t="s">
        <v>16</v>
      </c>
      <c r="D12" t="s">
        <v>54</v>
      </c>
      <c r="E12" t="s">
        <v>55</v>
      </c>
      <c r="F12" t="s">
        <v>56</v>
      </c>
      <c r="G12" t="s">
        <v>37</v>
      </c>
      <c r="H12" s="2">
        <v>9065.5</v>
      </c>
      <c r="I12" t="s">
        <v>57</v>
      </c>
      <c r="J12" t="s">
        <v>58</v>
      </c>
      <c r="K12" t="s">
        <v>59</v>
      </c>
      <c r="L12" t="s">
        <v>60</v>
      </c>
    </row>
    <row r="13" spans="1:13" ht="30" customHeight="1" x14ac:dyDescent="0.25">
      <c r="A13" t="s">
        <v>88</v>
      </c>
      <c r="B13" t="s">
        <v>25</v>
      </c>
      <c r="C13" t="s">
        <v>16</v>
      </c>
      <c r="D13" t="s">
        <v>61</v>
      </c>
      <c r="F13" t="s">
        <v>62</v>
      </c>
      <c r="G13" t="s">
        <v>37</v>
      </c>
      <c r="H13" s="2">
        <v>23157</v>
      </c>
      <c r="I13" t="s">
        <v>63</v>
      </c>
      <c r="K13" t="s">
        <v>64</v>
      </c>
    </row>
    <row r="14" spans="1:13" x14ac:dyDescent="0.25">
      <c r="A14" s="1"/>
      <c r="B14" s="1"/>
      <c r="C14" s="1"/>
      <c r="D14" s="1" t="s">
        <v>65</v>
      </c>
      <c r="E14" s="1"/>
      <c r="F14" s="1"/>
      <c r="G14" s="1"/>
      <c r="H14" s="3">
        <f>SUM(H4:H13)</f>
        <v>249379.53</v>
      </c>
      <c r="I14" s="1"/>
      <c r="J14" s="1"/>
      <c r="K14" s="1"/>
      <c r="L14" s="1"/>
      <c r="M14" s="1"/>
    </row>
  </sheetData>
  <mergeCells count="2">
    <mergeCell ref="A2:F2"/>
    <mergeCell ref="G2:M2"/>
  </mergeCells>
  <pageMargins left="0.7" right="0.7" top="0.75" bottom="0.75" header="0.3" footer="0.3"/>
  <pageSetup paperSize="5" scale="7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8855-1FAF-4E4F-A261-D4F5C30E6A82}">
  <sheetPr>
    <pageSetUpPr fitToPage="1"/>
  </sheetPr>
  <dimension ref="A1:H24"/>
  <sheetViews>
    <sheetView workbookViewId="0">
      <selection activeCell="N9" sqref="N9"/>
    </sheetView>
  </sheetViews>
  <sheetFormatPr defaultRowHeight="15" x14ac:dyDescent="0.25"/>
  <cols>
    <col min="1" max="1" width="20.85546875" customWidth="1"/>
    <col min="2" max="2" width="12.140625" customWidth="1"/>
    <col min="3" max="3" width="18.140625" customWidth="1"/>
    <col min="4" max="4" width="16.28515625" customWidth="1"/>
    <col min="5" max="5" width="10.5703125" customWidth="1"/>
    <col min="6" max="6" width="17.85546875" customWidth="1"/>
    <col min="7" max="7" width="14.42578125" customWidth="1"/>
    <col min="8" max="8" width="17.5703125" customWidth="1"/>
  </cols>
  <sheetData>
    <row r="1" spans="1:8" x14ac:dyDescent="0.25">
      <c r="E1" s="4"/>
      <c r="H1" s="4">
        <v>45939.999988425923</v>
      </c>
    </row>
    <row r="2" spans="1:8" x14ac:dyDescent="0.25">
      <c r="A2" s="5" t="s">
        <v>0</v>
      </c>
      <c r="B2" s="5"/>
      <c r="C2" s="6"/>
      <c r="D2" s="6"/>
      <c r="E2" s="7" t="s">
        <v>66</v>
      </c>
      <c r="F2" s="6"/>
      <c r="G2" s="6"/>
      <c r="H2" s="6"/>
    </row>
    <row r="3" spans="1:8" x14ac:dyDescent="0.25">
      <c r="A3" t="s">
        <v>7</v>
      </c>
      <c r="B3" t="s">
        <v>71</v>
      </c>
      <c r="C3" t="s">
        <v>8</v>
      </c>
      <c r="D3" t="s">
        <v>67</v>
      </c>
      <c r="E3" t="s">
        <v>68</v>
      </c>
      <c r="F3" t="s">
        <v>69</v>
      </c>
      <c r="G3" t="s">
        <v>72</v>
      </c>
      <c r="H3" t="s">
        <v>70</v>
      </c>
    </row>
    <row r="4" spans="1:8" ht="24.95" customHeight="1" x14ac:dyDescent="0.25">
      <c r="A4" t="s">
        <v>22</v>
      </c>
      <c r="C4" t="s">
        <v>19</v>
      </c>
      <c r="D4" s="2">
        <v>750</v>
      </c>
      <c r="E4" s="2">
        <v>0</v>
      </c>
      <c r="F4" s="10">
        <v>26745.81</v>
      </c>
      <c r="G4" s="2"/>
      <c r="H4" s="2">
        <v>26820.81</v>
      </c>
    </row>
    <row r="5" spans="1:8" ht="24.95" customHeight="1" x14ac:dyDescent="0.25">
      <c r="D5" s="2"/>
      <c r="E5" s="2"/>
      <c r="F5" s="10"/>
      <c r="G5" s="2"/>
      <c r="H5" s="2"/>
    </row>
    <row r="6" spans="1:8" ht="24.95" customHeight="1" x14ac:dyDescent="0.25">
      <c r="A6" t="s">
        <v>51</v>
      </c>
      <c r="C6" t="s">
        <v>32</v>
      </c>
      <c r="D6" s="2">
        <v>650</v>
      </c>
      <c r="E6" s="2">
        <v>0</v>
      </c>
      <c r="F6" s="10">
        <v>23766.13</v>
      </c>
      <c r="G6" s="2"/>
      <c r="H6" s="2">
        <v>23841.13</v>
      </c>
    </row>
    <row r="7" spans="1:8" ht="24.95" customHeight="1" x14ac:dyDescent="0.25">
      <c r="D7" s="2"/>
      <c r="E7" s="2"/>
      <c r="F7" s="10"/>
      <c r="G7" s="2"/>
      <c r="H7" s="2"/>
    </row>
    <row r="8" spans="1:8" ht="24.95" customHeight="1" x14ac:dyDescent="0.25">
      <c r="A8" t="s">
        <v>45</v>
      </c>
      <c r="C8" t="s">
        <v>19</v>
      </c>
      <c r="D8" s="2">
        <v>750</v>
      </c>
      <c r="E8" s="2">
        <v>0</v>
      </c>
      <c r="F8" s="10">
        <v>27438.19</v>
      </c>
      <c r="G8" s="2"/>
      <c r="H8" s="2">
        <v>27513.19</v>
      </c>
    </row>
    <row r="9" spans="1:8" ht="24.95" customHeight="1" x14ac:dyDescent="0.25">
      <c r="D9" s="2"/>
      <c r="E9" s="2"/>
      <c r="F9" s="10"/>
      <c r="G9" s="2"/>
      <c r="H9" s="2"/>
    </row>
    <row r="10" spans="1:8" ht="24.95" customHeight="1" x14ac:dyDescent="0.25">
      <c r="A10" t="s">
        <v>41</v>
      </c>
      <c r="C10" t="s">
        <v>32</v>
      </c>
      <c r="D10" s="2">
        <v>750</v>
      </c>
      <c r="E10" s="2">
        <v>0</v>
      </c>
      <c r="F10" s="10">
        <v>29068.06</v>
      </c>
      <c r="G10" s="2"/>
      <c r="H10" s="2">
        <v>29143.06</v>
      </c>
    </row>
    <row r="11" spans="1:8" ht="24.95" customHeight="1" x14ac:dyDescent="0.25">
      <c r="D11" s="2"/>
      <c r="E11" s="2"/>
      <c r="F11" s="10"/>
      <c r="G11" s="2"/>
      <c r="H11" s="2"/>
    </row>
    <row r="12" spans="1:8" ht="24.95" customHeight="1" x14ac:dyDescent="0.25">
      <c r="A12" t="s">
        <v>73</v>
      </c>
      <c r="C12" t="s">
        <v>37</v>
      </c>
      <c r="D12" s="2">
        <v>150</v>
      </c>
      <c r="E12" s="2">
        <v>0</v>
      </c>
      <c r="F12" s="10">
        <v>8990.5</v>
      </c>
      <c r="G12" s="2"/>
      <c r="H12" s="2">
        <v>9065.5</v>
      </c>
    </row>
    <row r="13" spans="1:8" ht="24.95" customHeight="1" x14ac:dyDescent="0.25">
      <c r="D13" s="2"/>
      <c r="E13" s="2"/>
      <c r="F13" s="10"/>
      <c r="G13" s="2"/>
      <c r="H13" s="2"/>
    </row>
    <row r="14" spans="1:8" ht="24.95" customHeight="1" x14ac:dyDescent="0.25">
      <c r="A14" t="s">
        <v>18</v>
      </c>
      <c r="B14" s="9" t="s">
        <v>79</v>
      </c>
      <c r="C14" t="s">
        <v>19</v>
      </c>
      <c r="D14" s="2">
        <v>300</v>
      </c>
      <c r="E14" s="2">
        <v>0</v>
      </c>
      <c r="F14" s="10">
        <v>14610.73</v>
      </c>
      <c r="G14" s="2"/>
      <c r="H14" s="2">
        <v>14685.73</v>
      </c>
    </row>
    <row r="15" spans="1:8" ht="24.95" customHeight="1" x14ac:dyDescent="0.25">
      <c r="D15" s="2"/>
      <c r="E15" s="2"/>
      <c r="F15" s="10"/>
      <c r="G15" s="2"/>
      <c r="H15" s="2"/>
    </row>
    <row r="16" spans="1:8" ht="24.95" customHeight="1" x14ac:dyDescent="0.25">
      <c r="A16" t="s">
        <v>31</v>
      </c>
      <c r="C16" t="s">
        <v>32</v>
      </c>
      <c r="D16" s="2">
        <v>750</v>
      </c>
      <c r="E16" s="2">
        <v>0</v>
      </c>
      <c r="F16" s="10">
        <v>25992.54</v>
      </c>
      <c r="G16" s="2"/>
      <c r="H16" s="2">
        <v>26067.54</v>
      </c>
    </row>
    <row r="17" spans="1:8" ht="24.95" customHeight="1" x14ac:dyDescent="0.25">
      <c r="D17" s="2"/>
      <c r="E17" s="2"/>
      <c r="F17" s="10"/>
      <c r="G17" s="2"/>
      <c r="H17" s="2"/>
    </row>
    <row r="18" spans="1:8" ht="24.95" customHeight="1" x14ac:dyDescent="0.25">
      <c r="A18" t="s">
        <v>62</v>
      </c>
      <c r="C18" t="s">
        <v>37</v>
      </c>
      <c r="D18" s="2">
        <v>650</v>
      </c>
      <c r="E18" s="2">
        <v>0</v>
      </c>
      <c r="F18" s="10">
        <v>23082</v>
      </c>
      <c r="G18" s="2"/>
      <c r="H18" s="2">
        <v>23157</v>
      </c>
    </row>
    <row r="19" spans="1:8" ht="24.95" customHeight="1" x14ac:dyDescent="0.25">
      <c r="D19" s="2"/>
      <c r="E19" s="2"/>
      <c r="F19" s="10"/>
      <c r="G19" s="2"/>
      <c r="H19" s="2"/>
    </row>
    <row r="20" spans="1:8" ht="24.95" customHeight="1" x14ac:dyDescent="0.25">
      <c r="A20" t="s">
        <v>27</v>
      </c>
      <c r="C20" t="s">
        <v>19</v>
      </c>
      <c r="D20" s="2">
        <v>950</v>
      </c>
      <c r="E20" s="2">
        <v>0</v>
      </c>
      <c r="F20" s="10">
        <v>38716.629999999997</v>
      </c>
      <c r="G20" s="2"/>
      <c r="H20" s="2">
        <v>38791.629999999997</v>
      </c>
    </row>
    <row r="21" spans="1:8" ht="24.95" customHeight="1" x14ac:dyDescent="0.25">
      <c r="D21" s="2"/>
      <c r="E21" s="2"/>
      <c r="F21" s="10"/>
      <c r="G21" s="2"/>
      <c r="H21" s="2"/>
    </row>
    <row r="22" spans="1:8" ht="24.95" customHeight="1" x14ac:dyDescent="0.25">
      <c r="A22" t="s">
        <v>36</v>
      </c>
      <c r="C22" t="s">
        <v>37</v>
      </c>
      <c r="D22" s="2">
        <v>850</v>
      </c>
      <c r="E22" s="2">
        <v>0</v>
      </c>
      <c r="F22" s="10">
        <v>30218.94</v>
      </c>
      <c r="G22" s="2"/>
      <c r="H22" s="2">
        <v>30293.94</v>
      </c>
    </row>
    <row r="23" spans="1:8" ht="15" customHeight="1" x14ac:dyDescent="0.25">
      <c r="D23" s="2"/>
      <c r="E23" s="2"/>
      <c r="F23" s="10"/>
      <c r="G23" s="2"/>
      <c r="H23" s="2"/>
    </row>
    <row r="24" spans="1:8" x14ac:dyDescent="0.25">
      <c r="A24" s="1"/>
      <c r="B24" s="1"/>
      <c r="C24" s="1"/>
      <c r="D24" s="3">
        <f>SUM(D4:D22)</f>
        <v>6550</v>
      </c>
      <c r="E24" s="3">
        <f>SUM(E4:E22)</f>
        <v>0</v>
      </c>
      <c r="F24" s="3">
        <f>SUM(F4:F22)</f>
        <v>248629.53</v>
      </c>
      <c r="G24" s="3"/>
      <c r="H24" s="3">
        <f>SUM(H4:H22)</f>
        <v>249379.53</v>
      </c>
    </row>
  </sheetData>
  <mergeCells count="2">
    <mergeCell ref="A2:D2"/>
    <mergeCell ref="E2:H2"/>
  </mergeCells>
  <pageMargins left="0.7" right="0.7" top="0.75" bottom="0.75" header="0.3" footer="0.3"/>
  <pageSetup scale="8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F2FC-4EE6-401C-9D6E-AAABEDEC241C}">
  <dimension ref="A1:E21"/>
  <sheetViews>
    <sheetView workbookViewId="0">
      <selection activeCell="G8" sqref="G8"/>
    </sheetView>
  </sheetViews>
  <sheetFormatPr defaultRowHeight="15" x14ac:dyDescent="0.25"/>
  <cols>
    <col min="1" max="1" width="14.28515625" customWidth="1"/>
    <col min="3" max="3" width="12.7109375" customWidth="1"/>
    <col min="4" max="4" width="12.5703125" customWidth="1"/>
    <col min="5" max="5" width="22" customWidth="1"/>
  </cols>
  <sheetData>
    <row r="1" spans="1:5" x14ac:dyDescent="0.25">
      <c r="D1" s="4"/>
      <c r="E1" s="4">
        <v>45939.999988425923</v>
      </c>
    </row>
    <row r="2" spans="1:5" x14ac:dyDescent="0.25">
      <c r="A2" s="5" t="s">
        <v>0</v>
      </c>
      <c r="B2" s="6"/>
      <c r="C2" s="6"/>
      <c r="D2" s="7" t="s">
        <v>74</v>
      </c>
      <c r="E2" s="6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48</v>
      </c>
      <c r="B4" t="s">
        <v>49</v>
      </c>
      <c r="C4" t="s">
        <v>50</v>
      </c>
      <c r="E4" t="s">
        <v>51</v>
      </c>
    </row>
    <row r="5" spans="1:5" x14ac:dyDescent="0.25">
      <c r="A5" s="1"/>
      <c r="B5" s="1"/>
      <c r="C5" s="1" t="s">
        <v>75</v>
      </c>
      <c r="D5" s="1"/>
      <c r="E5" s="1"/>
    </row>
    <row r="11" spans="1:5" x14ac:dyDescent="0.25">
      <c r="A11" t="s">
        <v>76</v>
      </c>
      <c r="B11" s="8"/>
      <c r="C11" s="8"/>
      <c r="D11" s="8"/>
    </row>
    <row r="16" spans="1:5" x14ac:dyDescent="0.25">
      <c r="A16" t="s">
        <v>77</v>
      </c>
      <c r="B16" s="8"/>
      <c r="C16" s="8"/>
      <c r="D16" s="8"/>
    </row>
    <row r="21" spans="1:3" x14ac:dyDescent="0.25">
      <c r="A21" t="s">
        <v>78</v>
      </c>
      <c r="B21" s="8"/>
      <c r="C21" s="8"/>
    </row>
  </sheetData>
  <mergeCells count="2">
    <mergeCell ref="A2:C2"/>
    <mergeCell ref="D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2025-10-09T18:32:25Z</cp:lastPrinted>
  <dcterms:created xsi:type="dcterms:W3CDTF">2025-10-09T18:14:20Z</dcterms:created>
  <dcterms:modified xsi:type="dcterms:W3CDTF">2025-10-09T18:52:58Z</dcterms:modified>
</cp:coreProperties>
</file>