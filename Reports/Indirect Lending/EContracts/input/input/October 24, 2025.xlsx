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2E53B71-FE82-423F-AB41-0B1002D4A572}" xr6:coauthVersionLast="47" xr6:coauthVersionMax="47" xr10:uidLastSave="{00000000-0000-0000-0000-000000000000}"/>
  <bookViews>
    <workbookView xWindow="28905" yWindow="1470" windowWidth="24000" windowHeight="142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H30" i="2"/>
  <c r="F30" i="2"/>
  <c r="E30" i="2"/>
  <c r="D30" i="2"/>
  <c r="H19" i="1"/>
</calcChain>
</file>

<file path=xl/sharedStrings.xml><?xml version="1.0" encoding="utf-8"?>
<sst xmlns="http://schemas.openxmlformats.org/spreadsheetml/2006/main" count="213" uniqueCount="106">
  <si>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</si>
  <si>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</si>
  <si>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</si>
  <si>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</si>
  <si>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</si>
  <si>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</si>
  <si>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</si>
  <si>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</si>
  <si>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</si>
  <si>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</si>
  <si>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</si>
  <si>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</si>
  <si>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</si>
  <si>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</si>
  <si>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</si>
  <si>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151239508</t>
  </si>
  <si>
    <t>Route One</t>
  </si>
  <si>
    <t>Paper</t>
  </si>
  <si>
    <t>SHEIK, KAMALUDDIN</t>
  </si>
  <si>
    <t>Flood Mazda</t>
  </si>
  <si>
    <t>Marlene Braganca</t>
  </si>
  <si>
    <t>kamaluddin.cmt@gmail.com</t>
  </si>
  <si>
    <t>SHEIK</t>
  </si>
  <si>
    <t>E Contract</t>
  </si>
  <si>
    <t>Bond, Roxanne</t>
  </si>
  <si>
    <t>Salvadore Chevrolet</t>
  </si>
  <si>
    <t>CONNERY</t>
  </si>
  <si>
    <t>ALLSOP, SHEILA</t>
  </si>
  <si>
    <t>Patriot Auto Group Inc d/b/a</t>
  </si>
  <si>
    <t>sheilaallsop17@gmail.com</t>
  </si>
  <si>
    <t>REYNOLDS</t>
  </si>
  <si>
    <t>DealerTrack</t>
  </si>
  <si>
    <t>MARSDEN, MICHELE</t>
  </si>
  <si>
    <t>Infiniti of Norwood</t>
  </si>
  <si>
    <t>MGM@GMAIL.COM</t>
  </si>
  <si>
    <t>FITZGERALD</t>
  </si>
  <si>
    <t>151239582</t>
  </si>
  <si>
    <t>ANGILLY, KENNETH</t>
  </si>
  <si>
    <t>Fredette</t>
  </si>
  <si>
    <t>151239590</t>
  </si>
  <si>
    <t>FRAZA, MATTHEW</t>
  </si>
  <si>
    <t>Rustvold</t>
  </si>
  <si>
    <t>151239607</t>
  </si>
  <si>
    <t>NELSON, BRENDA</t>
  </si>
  <si>
    <t>brenda831@yahoo.com</t>
  </si>
  <si>
    <t>Dennett</t>
  </si>
  <si>
    <t>CRAIG, JEROME</t>
  </si>
  <si>
    <t>Tasca Automotive Group Rt 6 Two</t>
  </si>
  <si>
    <t>ROMEADONE@GMAIL.COM</t>
  </si>
  <si>
    <t>Ward</t>
  </si>
  <si>
    <t>Perry, Jeffrey</t>
  </si>
  <si>
    <t>Toyota of Dartmouth</t>
  </si>
  <si>
    <t>cbal29@comcast.net</t>
  </si>
  <si>
    <t>Mortensen</t>
  </si>
  <si>
    <t>151239665</t>
  </si>
  <si>
    <t>RYAN, ROBERT</t>
  </si>
  <si>
    <t>MCMAHON RYAN, NANCI</t>
  </si>
  <si>
    <t>Rachel Gorham</t>
  </si>
  <si>
    <t>LADONNICK</t>
  </si>
  <si>
    <t>CULLEN</t>
  </si>
  <si>
    <t>SCAFURI, SHANNA</t>
  </si>
  <si>
    <t>Lucchettis Service Center Inc</t>
  </si>
  <si>
    <t>Shanshanscaf25@gmail.com</t>
  </si>
  <si>
    <t>FITZPATRICK</t>
  </si>
  <si>
    <t>COADY, JOYCE</t>
  </si>
  <si>
    <t>Paul Masse Buick GMC South, Inc</t>
  </si>
  <si>
    <t>JECOADY@VERIZON.NET</t>
  </si>
  <si>
    <t>DECUBBLIS</t>
  </si>
  <si>
    <t>MCDONALD, MICHELLE</t>
  </si>
  <si>
    <t>RAH FALL RIVER VW, LLC</t>
  </si>
  <si>
    <t>MMCDONALDO@BAYCOASTINS.COM</t>
  </si>
  <si>
    <t>LHEUREUX</t>
  </si>
  <si>
    <t>POLIQUIN, CHARLENE</t>
  </si>
  <si>
    <t>Wareham Ford</t>
  </si>
  <si>
    <t>SEAPOLIQUIN@GMAIL.COM</t>
  </si>
  <si>
    <t>CHABOT</t>
  </si>
  <si>
    <t>151239730</t>
  </si>
  <si>
    <t>HAYES, MIKKI</t>
  </si>
  <si>
    <t>Planet Automotive Sales LLC</t>
  </si>
  <si>
    <t>SCOOPSIX@GMAIL.COM</t>
  </si>
  <si>
    <t>BURKE</t>
  </si>
  <si>
    <t># 15</t>
  </si>
  <si>
    <t>Column1</t>
  </si>
  <si>
    <t>151239532 E</t>
  </si>
  <si>
    <t>151239540 E</t>
  </si>
  <si>
    <t>151239558 E</t>
  </si>
  <si>
    <t>151239623 E</t>
  </si>
  <si>
    <t>151239631 E</t>
  </si>
  <si>
    <t>151239673 E</t>
  </si>
  <si>
    <t>151239699 E</t>
  </si>
  <si>
    <t>151239714 E</t>
  </si>
  <si>
    <t>151239722 E</t>
  </si>
  <si>
    <t>Funding Worksheet - ACH Version</t>
  </si>
  <si>
    <t>Dealer Flat</t>
  </si>
  <si>
    <t>Dealer Split</t>
  </si>
  <si>
    <t>Net to Dealer</t>
  </si>
  <si>
    <t>Contracted Amount Financed</t>
  </si>
  <si>
    <t>Column2</t>
  </si>
  <si>
    <t>Honda-Patriot Auto Group Inc d/b/a</t>
  </si>
  <si>
    <t>3376-3754</t>
  </si>
  <si>
    <t>Funding Worksheet - Signoff Version</t>
  </si>
  <si>
    <t># 6</t>
  </si>
  <si>
    <t>Delivered by:</t>
  </si>
  <si>
    <t>Received by:</t>
  </si>
  <si>
    <t>Date Singed: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</si>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</sst>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7" fontId="3" fillId="0" borderId="0" xfId="0" applyNumberFormat="1" applyFont="1"/>
    <xf numFmtId="0" fontId="3" fillId="0" borderId="0" xfId="0" applyFont="1"/>
    <xf numFmtId="0" fontId="2" fillId="0" borderId="0" xfId="0" applyFont="1"/>
    <xf numFmtId="7" fontId="2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9" headerRowDxfId="2" dataDxfId="0" totalsRowDxfId="1">
  <sortState xmlns:xlrd2="http://schemas.microsoft.com/office/spreadsheetml/2017/richdata2" ref="A4:M19">
    <sortCondition ref="G4:G19"/>
  </sortState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2CF9B3-E360-40F6-932A-CB13E0D16C67}" name="Table_14" displayName="Table_14" ref="A3:H30" headerRowDxfId="18" dataDxfId="16" totalsRowDxfId="17">
  <sortState xmlns:xlrd2="http://schemas.microsoft.com/office/spreadsheetml/2017/richdata2" ref="A4:H30">
    <sortCondition ref="A4:A30"/>
  </sortState>
  <tableColumns count="8">
    <tableColumn id="1" xr3:uid="{B6CEFBDE-5EB6-47C3-8F90-87103BFB7056}" name="Dealer Name" dataDxfId="26"/>
    <tableColumn id="8" xr3:uid="{EC9FB54A-71E8-4374-9ECC-F0B5F0DEA7AD}" name="Column2" dataDxfId="25"/>
    <tableColumn id="2" xr3:uid="{BD9B2E52-6A78-468E-B9B8-4752555381AE}" name="Funded by" dataDxfId="24"/>
    <tableColumn id="3" xr3:uid="{B4BAAEE8-E671-48CF-8929-60E913031359}" name="Dealer Flat" dataDxfId="23"/>
    <tableColumn id="4" xr3:uid="{F25DC67A-2383-4133-A269-67408A4A301E}" name="Dealer Split" dataDxfId="22"/>
    <tableColumn id="5" xr3:uid="{F60A8325-F2AA-4138-92C7-FCA636BEA530}" name="Net to Dealer" dataDxfId="21"/>
    <tableColumn id="7" xr3:uid="{8024D120-8E38-468F-90FA-6FFF357A70FB}" name="Column1" dataDxfId="20"/>
    <tableColumn id="6" xr3:uid="{E2F02F7E-FE5D-493F-BAB2-95C8E1C52CD5}" name="Contracted Amount Financed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985137-840F-4E5B-BF96-ABDFF06485D9}" name="Table_16" displayName="Table_16" ref="A3:F10">
  <tableColumns count="6">
    <tableColumn id="1" xr3:uid="{04687A10-2D09-4356-B0EE-CD10CC2390D6}" name="Account Number"/>
    <tableColumn id="2" xr3:uid="{937370D5-FB11-4BB9-9AAE-256AC86C94D4}" name="Contract Type"/>
    <tableColumn id="3" xr3:uid="{734EADC1-4A0C-4280-BC07-312C01B53882}" name="Applicant Name"/>
    <tableColumn id="4" xr3:uid="{2A3C62CA-DBEB-4998-AAB2-853834BD17D1}" name="Co-Applicant Name"/>
    <tableColumn id="5" xr3:uid="{B3B11384-A41E-496C-A2E8-55F8326EC06E}" name="Dealer Name"/>
    <tableColumn id="6" xr3:uid="{52CF0FD5-A33A-4673-A79E-BE17CC24B9AA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workbookViewId="0">
      <pane ySplit="3" topLeftCell="A12" activePane="bottomLeft" state="frozen"/>
      <selection pane="bottomLeft" activeCell="E24" sqref="E24"/>
    </sheetView>
  </sheetViews>
  <sheetFormatPr defaultRowHeight="15.75" x14ac:dyDescent="0.25"/>
  <cols>
    <col min="1" max="1" width="14" style="3" customWidth="1"/>
    <col min="2" max="2" width="12.140625" style="3" bestFit="1" customWidth="1"/>
    <col min="3" max="3" width="14" style="3" bestFit="1" customWidth="1"/>
    <col min="4" max="4" width="22.140625" style="3" bestFit="1" customWidth="1"/>
    <col min="5" max="5" width="23.5703125" style="3" bestFit="1" customWidth="1"/>
    <col min="6" max="6" width="32.42578125" style="3" bestFit="1" customWidth="1"/>
    <col min="7" max="7" width="17.7109375" style="3" bestFit="1" customWidth="1"/>
    <col min="8" max="8" width="17.140625" style="3" bestFit="1" customWidth="1"/>
    <col min="9" max="9" width="34.5703125" style="3" bestFit="1" customWidth="1"/>
    <col min="10" max="10" width="18.42578125" style="3" hidden="1" customWidth="1"/>
    <col min="11" max="11" width="13.7109375" style="3" customWidth="1"/>
    <col min="12" max="12" width="12.85546875" style="3" bestFit="1" customWidth="1"/>
    <col min="13" max="13" width="17.140625" style="3" hidden="1" customWidth="1"/>
    <col min="14" max="16384" width="9.140625" style="3"/>
  </cols>
  <sheetData>
    <row r="1" spans="1:13" s="3" customFormat="1" x14ac:dyDescent="0.25">
      <c r="K1" s="13">
        <v>45954</v>
      </c>
      <c r="L1" s="14"/>
      <c r="M1" s="4">
        <v>45954.999988425923</v>
      </c>
    </row>
    <row r="2" spans="1:13" s="3" customFormat="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s="3" customFormat="1" ht="33" customHeight="1" x14ac:dyDescent="0.25">
      <c r="A4" s="3" t="s">
        <v>15</v>
      </c>
      <c r="B4" s="3" t="s">
        <v>16</v>
      </c>
      <c r="C4" s="3" t="s">
        <v>17</v>
      </c>
      <c r="D4" s="3" t="s">
        <v>18</v>
      </c>
      <c r="F4" s="3" t="s">
        <v>19</v>
      </c>
      <c r="G4" s="3" t="s">
        <v>20</v>
      </c>
      <c r="H4" s="8">
        <v>21913.94</v>
      </c>
      <c r="I4" s="3" t="s">
        <v>21</v>
      </c>
      <c r="K4" s="3" t="s">
        <v>22</v>
      </c>
    </row>
    <row r="5" spans="1:13" s="3" customFormat="1" ht="33" customHeight="1" x14ac:dyDescent="0.25">
      <c r="A5" s="3" t="s">
        <v>83</v>
      </c>
      <c r="B5" s="3" t="s">
        <v>16</v>
      </c>
      <c r="C5" s="3" t="s">
        <v>23</v>
      </c>
      <c r="D5" s="3" t="s">
        <v>24</v>
      </c>
      <c r="F5" s="3" t="s">
        <v>25</v>
      </c>
      <c r="G5" s="3" t="s">
        <v>20</v>
      </c>
      <c r="H5" s="8">
        <v>20371.240000000002</v>
      </c>
      <c r="K5" s="3" t="s">
        <v>26</v>
      </c>
    </row>
    <row r="6" spans="1:13" s="3" customFormat="1" ht="33" customHeight="1" x14ac:dyDescent="0.25">
      <c r="A6" s="3" t="s">
        <v>84</v>
      </c>
      <c r="B6" s="3" t="s">
        <v>16</v>
      </c>
      <c r="C6" s="3" t="s">
        <v>23</v>
      </c>
      <c r="D6" s="3" t="s">
        <v>27</v>
      </c>
      <c r="F6" s="3" t="s">
        <v>28</v>
      </c>
      <c r="G6" s="3" t="s">
        <v>20</v>
      </c>
      <c r="H6" s="8">
        <v>15844.13</v>
      </c>
      <c r="I6" s="3" t="s">
        <v>29</v>
      </c>
      <c r="K6" s="3" t="s">
        <v>30</v>
      </c>
    </row>
    <row r="7" spans="1:13" s="3" customFormat="1" ht="33" customHeight="1" x14ac:dyDescent="0.25">
      <c r="A7" s="3" t="s">
        <v>85</v>
      </c>
      <c r="B7" s="3" t="s">
        <v>31</v>
      </c>
      <c r="C7" s="3" t="s">
        <v>23</v>
      </c>
      <c r="D7" s="3" t="s">
        <v>32</v>
      </c>
      <c r="F7" s="3" t="s">
        <v>33</v>
      </c>
      <c r="G7" s="3" t="s">
        <v>20</v>
      </c>
      <c r="H7" s="8">
        <v>24694.560000000001</v>
      </c>
      <c r="I7" s="3" t="s">
        <v>34</v>
      </c>
      <c r="K7" s="3" t="s">
        <v>35</v>
      </c>
    </row>
    <row r="8" spans="1:13" s="3" customFormat="1" ht="33" customHeight="1" x14ac:dyDescent="0.25">
      <c r="A8" s="3" t="s">
        <v>36</v>
      </c>
      <c r="B8" s="3" t="s">
        <v>16</v>
      </c>
      <c r="C8" s="3" t="s">
        <v>17</v>
      </c>
      <c r="D8" s="3" t="s">
        <v>37</v>
      </c>
      <c r="F8" s="3" t="s">
        <v>19</v>
      </c>
      <c r="G8" s="3" t="s">
        <v>20</v>
      </c>
      <c r="H8" s="8">
        <v>24252.33</v>
      </c>
      <c r="K8" s="3" t="s">
        <v>38</v>
      </c>
    </row>
    <row r="9" spans="1:13" s="3" customFormat="1" ht="33" customHeight="1" x14ac:dyDescent="0.25">
      <c r="A9" s="3" t="s">
        <v>39</v>
      </c>
      <c r="B9" s="3" t="s">
        <v>16</v>
      </c>
      <c r="C9" s="3" t="s">
        <v>17</v>
      </c>
      <c r="D9" s="3" t="s">
        <v>40</v>
      </c>
      <c r="F9" s="3" t="s">
        <v>19</v>
      </c>
      <c r="G9" s="3" t="s">
        <v>20</v>
      </c>
      <c r="H9" s="8">
        <v>18613.830000000002</v>
      </c>
      <c r="K9" s="3" t="s">
        <v>41</v>
      </c>
    </row>
    <row r="10" spans="1:13" s="3" customFormat="1" ht="33" customHeight="1" x14ac:dyDescent="0.25">
      <c r="A10" s="3" t="s">
        <v>42</v>
      </c>
      <c r="B10" s="3" t="s">
        <v>16</v>
      </c>
      <c r="C10" s="3" t="s">
        <v>17</v>
      </c>
      <c r="D10" s="3" t="s">
        <v>43</v>
      </c>
      <c r="F10" s="3" t="s">
        <v>19</v>
      </c>
      <c r="G10" s="3" t="s">
        <v>20</v>
      </c>
      <c r="H10" s="8">
        <v>19558.73</v>
      </c>
      <c r="I10" s="3" t="s">
        <v>44</v>
      </c>
      <c r="K10" s="3" t="s">
        <v>45</v>
      </c>
    </row>
    <row r="11" spans="1:13" s="3" customFormat="1" ht="33" customHeight="1" x14ac:dyDescent="0.25">
      <c r="A11" s="3" t="s">
        <v>86</v>
      </c>
      <c r="B11" s="3" t="s">
        <v>16</v>
      </c>
      <c r="C11" s="3" t="s">
        <v>23</v>
      </c>
      <c r="D11" s="3" t="s">
        <v>46</v>
      </c>
      <c r="F11" s="3" t="s">
        <v>47</v>
      </c>
      <c r="G11" s="3" t="s">
        <v>20</v>
      </c>
      <c r="H11" s="8">
        <v>25714.78</v>
      </c>
      <c r="I11" s="3" t="s">
        <v>48</v>
      </c>
      <c r="K11" s="3" t="s">
        <v>49</v>
      </c>
    </row>
    <row r="12" spans="1:13" s="3" customFormat="1" ht="33" customHeight="1" x14ac:dyDescent="0.25">
      <c r="A12" s="3" t="s">
        <v>87</v>
      </c>
      <c r="B12" s="3" t="s">
        <v>16</v>
      </c>
      <c r="C12" s="3" t="s">
        <v>23</v>
      </c>
      <c r="D12" s="3" t="s">
        <v>50</v>
      </c>
      <c r="F12" s="3" t="s">
        <v>51</v>
      </c>
      <c r="G12" s="3" t="s">
        <v>20</v>
      </c>
      <c r="H12" s="8">
        <v>51549.45</v>
      </c>
      <c r="I12" s="3" t="s">
        <v>52</v>
      </c>
      <c r="K12" s="3" t="s">
        <v>53</v>
      </c>
    </row>
    <row r="13" spans="1:13" s="3" customFormat="1" ht="33" customHeight="1" x14ac:dyDescent="0.25">
      <c r="A13" s="3" t="s">
        <v>54</v>
      </c>
      <c r="B13" s="3" t="s">
        <v>16</v>
      </c>
      <c r="C13" s="3" t="s">
        <v>17</v>
      </c>
      <c r="D13" s="3" t="s">
        <v>55</v>
      </c>
      <c r="E13" s="3" t="s">
        <v>56</v>
      </c>
      <c r="F13" s="3" t="s">
        <v>19</v>
      </c>
      <c r="G13" s="3" t="s">
        <v>57</v>
      </c>
      <c r="H13" s="8">
        <v>21974.19</v>
      </c>
      <c r="K13" s="3" t="s">
        <v>58</v>
      </c>
      <c r="L13" s="3" t="s">
        <v>59</v>
      </c>
    </row>
    <row r="14" spans="1:13" s="3" customFormat="1" ht="33" customHeight="1" x14ac:dyDescent="0.25">
      <c r="A14" s="3" t="s">
        <v>88</v>
      </c>
      <c r="B14" s="3" t="s">
        <v>16</v>
      </c>
      <c r="C14" s="3" t="s">
        <v>23</v>
      </c>
      <c r="D14" s="3" t="s">
        <v>60</v>
      </c>
      <c r="F14" s="3" t="s">
        <v>61</v>
      </c>
      <c r="G14" s="3" t="s">
        <v>57</v>
      </c>
      <c r="H14" s="8">
        <v>31441.37</v>
      </c>
      <c r="I14" s="3" t="s">
        <v>62</v>
      </c>
      <c r="K14" s="3" t="s">
        <v>63</v>
      </c>
    </row>
    <row r="15" spans="1:13" s="3" customFormat="1" ht="33" customHeight="1" x14ac:dyDescent="0.25">
      <c r="A15" s="3" t="s">
        <v>89</v>
      </c>
      <c r="B15" s="3" t="s">
        <v>16</v>
      </c>
      <c r="C15" s="3" t="s">
        <v>23</v>
      </c>
      <c r="D15" s="3" t="s">
        <v>64</v>
      </c>
      <c r="F15" s="3" t="s">
        <v>65</v>
      </c>
      <c r="G15" s="3" t="s">
        <v>57</v>
      </c>
      <c r="H15" s="8">
        <v>18369.48</v>
      </c>
      <c r="I15" s="3" t="s">
        <v>66</v>
      </c>
      <c r="K15" s="3" t="s">
        <v>67</v>
      </c>
    </row>
    <row r="16" spans="1:13" s="3" customFormat="1" ht="33" customHeight="1" x14ac:dyDescent="0.25">
      <c r="A16" s="3" t="s">
        <v>90</v>
      </c>
      <c r="B16" s="3" t="s">
        <v>31</v>
      </c>
      <c r="C16" s="3" t="s">
        <v>23</v>
      </c>
      <c r="D16" s="3" t="s">
        <v>68</v>
      </c>
      <c r="F16" s="3" t="s">
        <v>69</v>
      </c>
      <c r="G16" s="3" t="s">
        <v>57</v>
      </c>
      <c r="H16" s="8">
        <v>36286.44</v>
      </c>
      <c r="I16" s="3" t="s">
        <v>70</v>
      </c>
      <c r="K16" s="3" t="s">
        <v>71</v>
      </c>
    </row>
    <row r="17" spans="1:13" s="3" customFormat="1" ht="33" customHeight="1" x14ac:dyDescent="0.25">
      <c r="A17" s="3" t="s">
        <v>91</v>
      </c>
      <c r="B17" s="3" t="s">
        <v>16</v>
      </c>
      <c r="C17" s="3" t="s">
        <v>23</v>
      </c>
      <c r="D17" s="3" t="s">
        <v>72</v>
      </c>
      <c r="F17" s="3" t="s">
        <v>73</v>
      </c>
      <c r="G17" s="3" t="s">
        <v>57</v>
      </c>
      <c r="H17" s="8">
        <v>42914.69</v>
      </c>
      <c r="I17" s="3" t="s">
        <v>74</v>
      </c>
      <c r="K17" s="3" t="s">
        <v>75</v>
      </c>
    </row>
    <row r="18" spans="1:13" s="3" customFormat="1" ht="33" customHeight="1" x14ac:dyDescent="0.25">
      <c r="A18" s="3" t="s">
        <v>76</v>
      </c>
      <c r="B18" s="3" t="s">
        <v>31</v>
      </c>
      <c r="C18" s="3" t="s">
        <v>17</v>
      </c>
      <c r="D18" s="3" t="s">
        <v>77</v>
      </c>
      <c r="F18" s="3" t="s">
        <v>78</v>
      </c>
      <c r="G18" s="3" t="s">
        <v>57</v>
      </c>
      <c r="H18" s="8">
        <v>37471.97</v>
      </c>
      <c r="I18" s="3" t="s">
        <v>79</v>
      </c>
      <c r="K18" s="3" t="s">
        <v>80</v>
      </c>
    </row>
    <row r="19" spans="1:13" s="3" customFormat="1" x14ac:dyDescent="0.25">
      <c r="A19" s="11"/>
      <c r="B19" s="11"/>
      <c r="C19" s="11"/>
      <c r="D19" s="11" t="s">
        <v>81</v>
      </c>
      <c r="E19" s="11"/>
      <c r="F19" s="11"/>
      <c r="G19" s="11"/>
      <c r="H19" s="12">
        <f>SUM(H4:H18)</f>
        <v>410971.13</v>
      </c>
      <c r="I19" s="11"/>
      <c r="J19" s="11"/>
      <c r="K19" s="11"/>
      <c r="L19" s="11"/>
      <c r="M19" s="11"/>
    </row>
  </sheetData>
  <mergeCells count="3">
    <mergeCell ref="A2:F2"/>
    <mergeCell ref="G2:M2"/>
    <mergeCell ref="K1:L1"/>
  </mergeCells>
  <pageMargins left="0.7" right="0" top="0.75" bottom="0.75" header="0.3" footer="0.3"/>
  <pageSetup paperSize="5" scale="7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AD11-B11A-4BB6-B290-860D643F6009}">
  <sheetPr>
    <pageSetUpPr fitToPage="1"/>
  </sheetPr>
  <dimension ref="A1:H30"/>
  <sheetViews>
    <sheetView topLeftCell="A21" workbookViewId="0">
      <selection activeCell="M8" sqref="M8"/>
    </sheetView>
  </sheetViews>
  <sheetFormatPr defaultRowHeight="15.75" x14ac:dyDescent="0.25"/>
  <cols>
    <col min="1" max="1" width="25.140625" style="3" customWidth="1"/>
    <col min="2" max="2" width="12.42578125" style="3" customWidth="1"/>
    <col min="3" max="3" width="14.28515625" style="3" customWidth="1"/>
    <col min="4" max="4" width="16.7109375" style="3" customWidth="1"/>
    <col min="5" max="5" width="13.28515625" style="3" customWidth="1"/>
    <col min="6" max="6" width="19" style="3" customWidth="1"/>
    <col min="7" max="7" width="13.28515625" style="3" customWidth="1"/>
    <col min="8" max="8" width="18.140625" style="3" customWidth="1"/>
    <col min="9" max="16384" width="9.140625" style="3"/>
  </cols>
  <sheetData>
    <row r="1" spans="1:8" x14ac:dyDescent="0.25">
      <c r="E1" s="4"/>
      <c r="H1" s="4">
        <v>45954.999988425923</v>
      </c>
    </row>
    <row r="2" spans="1:8" x14ac:dyDescent="0.25">
      <c r="A2" s="5" t="s">
        <v>0</v>
      </c>
      <c r="B2" s="5"/>
      <c r="C2" s="6"/>
      <c r="D2" s="6"/>
      <c r="E2" s="7" t="s">
        <v>92</v>
      </c>
      <c r="F2" s="6"/>
      <c r="G2" s="6"/>
      <c r="H2" s="6"/>
    </row>
    <row r="3" spans="1:8" x14ac:dyDescent="0.25">
      <c r="A3" s="3" t="s">
        <v>7</v>
      </c>
      <c r="B3" s="3" t="s">
        <v>97</v>
      </c>
      <c r="C3" s="3" t="s">
        <v>8</v>
      </c>
      <c r="D3" s="3" t="s">
        <v>93</v>
      </c>
      <c r="E3" s="3" t="s">
        <v>94</v>
      </c>
      <c r="F3" s="3" t="s">
        <v>95</v>
      </c>
      <c r="G3" s="3" t="s">
        <v>82</v>
      </c>
      <c r="H3" s="3" t="s">
        <v>96</v>
      </c>
    </row>
    <row r="4" spans="1:8" ht="27" customHeight="1" x14ac:dyDescent="0.25">
      <c r="A4" s="3" t="s">
        <v>19</v>
      </c>
      <c r="C4" s="3" t="s">
        <v>20</v>
      </c>
      <c r="D4" s="8">
        <v>500</v>
      </c>
      <c r="E4" s="8">
        <v>0</v>
      </c>
      <c r="F4" s="8">
        <v>18538.830000000002</v>
      </c>
      <c r="G4" s="8"/>
      <c r="H4" s="8">
        <v>18613.830000000002</v>
      </c>
    </row>
    <row r="5" spans="1:8" ht="27" customHeight="1" x14ac:dyDescent="0.25">
      <c r="A5" s="3" t="s">
        <v>19</v>
      </c>
      <c r="C5" s="3" t="s">
        <v>20</v>
      </c>
      <c r="D5" s="8">
        <v>650</v>
      </c>
      <c r="E5" s="8">
        <v>0</v>
      </c>
      <c r="F5" s="8">
        <v>24177.33</v>
      </c>
      <c r="G5" s="8"/>
      <c r="H5" s="8">
        <v>24252.33</v>
      </c>
    </row>
    <row r="6" spans="1:8" ht="27" customHeight="1" x14ac:dyDescent="0.25">
      <c r="A6" s="3" t="s">
        <v>19</v>
      </c>
      <c r="C6" s="3" t="s">
        <v>20</v>
      </c>
      <c r="D6" s="8">
        <v>650</v>
      </c>
      <c r="E6" s="8">
        <v>0</v>
      </c>
      <c r="F6" s="8">
        <v>21838.94</v>
      </c>
      <c r="G6" s="8"/>
      <c r="H6" s="8">
        <v>21913.94</v>
      </c>
    </row>
    <row r="7" spans="1:8" ht="27" customHeight="1" x14ac:dyDescent="0.25">
      <c r="A7" s="3" t="s">
        <v>19</v>
      </c>
      <c r="C7" s="3" t="s">
        <v>20</v>
      </c>
      <c r="D7" s="8">
        <v>500</v>
      </c>
      <c r="E7" s="8">
        <v>0</v>
      </c>
      <c r="F7" s="8">
        <v>19483.73</v>
      </c>
      <c r="G7" s="8"/>
      <c r="H7" s="8">
        <v>19558.73</v>
      </c>
    </row>
    <row r="8" spans="1:8" ht="27" customHeight="1" x14ac:dyDescent="0.25">
      <c r="A8" s="3" t="s">
        <v>19</v>
      </c>
      <c r="C8" s="3" t="s">
        <v>57</v>
      </c>
      <c r="D8" s="8">
        <v>650</v>
      </c>
      <c r="E8" s="8">
        <v>0</v>
      </c>
      <c r="F8" s="8">
        <v>21899.19</v>
      </c>
      <c r="G8" s="9">
        <f>SUM(F4:F8)</f>
        <v>105938.02</v>
      </c>
      <c r="H8" s="8">
        <v>21974.19</v>
      </c>
    </row>
    <row r="9" spans="1:8" ht="27" customHeight="1" x14ac:dyDescent="0.25">
      <c r="D9" s="8"/>
      <c r="E9" s="8"/>
      <c r="F9" s="8"/>
      <c r="G9" s="8"/>
      <c r="H9" s="8"/>
    </row>
    <row r="10" spans="1:8" ht="27" customHeight="1" x14ac:dyDescent="0.25">
      <c r="A10" s="3" t="s">
        <v>98</v>
      </c>
      <c r="C10" s="3" t="s">
        <v>20</v>
      </c>
      <c r="D10" s="8">
        <v>500</v>
      </c>
      <c r="E10" s="8">
        <v>0</v>
      </c>
      <c r="F10" s="9">
        <v>15769.13</v>
      </c>
      <c r="G10" s="8"/>
      <c r="H10" s="8">
        <v>15844.13</v>
      </c>
    </row>
    <row r="11" spans="1:8" ht="27" customHeight="1" x14ac:dyDescent="0.25">
      <c r="D11" s="8"/>
      <c r="E11" s="8"/>
      <c r="F11" s="9"/>
      <c r="G11" s="8"/>
      <c r="H11" s="8"/>
    </row>
    <row r="12" spans="1:8" ht="27" customHeight="1" x14ac:dyDescent="0.25">
      <c r="A12" s="3" t="s">
        <v>33</v>
      </c>
      <c r="C12" s="3" t="s">
        <v>20</v>
      </c>
      <c r="D12" s="8">
        <v>650</v>
      </c>
      <c r="E12" s="8">
        <v>0</v>
      </c>
      <c r="F12" s="9">
        <v>24619.56</v>
      </c>
      <c r="G12" s="8"/>
      <c r="H12" s="8">
        <v>24694.560000000001</v>
      </c>
    </row>
    <row r="13" spans="1:8" ht="27" customHeight="1" x14ac:dyDescent="0.25">
      <c r="D13" s="8"/>
      <c r="E13" s="8"/>
      <c r="F13" s="9"/>
      <c r="G13" s="8"/>
      <c r="H13" s="8"/>
    </row>
    <row r="14" spans="1:8" ht="27" customHeight="1" x14ac:dyDescent="0.25">
      <c r="A14" s="3" t="s">
        <v>61</v>
      </c>
      <c r="C14" s="3" t="s">
        <v>57</v>
      </c>
      <c r="D14" s="8">
        <v>850</v>
      </c>
      <c r="E14" s="8">
        <v>0</v>
      </c>
      <c r="F14" s="9">
        <v>31366.37</v>
      </c>
      <c r="G14" s="8"/>
      <c r="H14" s="8">
        <v>31441.37</v>
      </c>
    </row>
    <row r="15" spans="1:8" ht="27" customHeight="1" x14ac:dyDescent="0.25">
      <c r="D15" s="8"/>
      <c r="E15" s="8"/>
      <c r="F15" s="9"/>
      <c r="G15" s="8"/>
      <c r="H15" s="8"/>
    </row>
    <row r="16" spans="1:8" ht="27" customHeight="1" x14ac:dyDescent="0.25">
      <c r="A16" s="3" t="s">
        <v>65</v>
      </c>
      <c r="C16" s="3" t="s">
        <v>57</v>
      </c>
      <c r="D16" s="8">
        <v>500</v>
      </c>
      <c r="E16" s="8">
        <v>0</v>
      </c>
      <c r="F16" s="9">
        <v>18294.48</v>
      </c>
      <c r="G16" s="8"/>
      <c r="H16" s="8">
        <v>18369.48</v>
      </c>
    </row>
    <row r="17" spans="1:8" ht="27" customHeight="1" x14ac:dyDescent="0.25">
      <c r="D17" s="8"/>
      <c r="E17" s="8"/>
      <c r="F17" s="9"/>
      <c r="G17" s="8"/>
      <c r="H17" s="8"/>
    </row>
    <row r="18" spans="1:8" ht="27" customHeight="1" x14ac:dyDescent="0.25">
      <c r="A18" s="3" t="s">
        <v>78</v>
      </c>
      <c r="C18" s="3" t="s">
        <v>57</v>
      </c>
      <c r="D18" s="8">
        <v>950</v>
      </c>
      <c r="E18" s="8">
        <v>0</v>
      </c>
      <c r="F18" s="9">
        <v>37396.97</v>
      </c>
      <c r="G18" s="8"/>
      <c r="H18" s="8">
        <v>37471.97</v>
      </c>
    </row>
    <row r="19" spans="1:8" ht="27" customHeight="1" x14ac:dyDescent="0.25">
      <c r="D19" s="8"/>
      <c r="E19" s="8"/>
      <c r="F19" s="9"/>
      <c r="G19" s="8"/>
      <c r="H19" s="8"/>
    </row>
    <row r="20" spans="1:8" ht="27" customHeight="1" x14ac:dyDescent="0.25">
      <c r="A20" s="3" t="s">
        <v>69</v>
      </c>
      <c r="C20" s="3" t="s">
        <v>57</v>
      </c>
      <c r="D20" s="8">
        <v>950</v>
      </c>
      <c r="E20" s="8">
        <v>0</v>
      </c>
      <c r="F20" s="9">
        <v>36211.440000000002</v>
      </c>
      <c r="G20" s="8"/>
      <c r="H20" s="8">
        <v>36286.44</v>
      </c>
    </row>
    <row r="21" spans="1:8" ht="27" customHeight="1" x14ac:dyDescent="0.25">
      <c r="D21" s="8"/>
      <c r="E21" s="8"/>
      <c r="F21" s="9"/>
      <c r="G21" s="8"/>
      <c r="H21" s="8"/>
    </row>
    <row r="22" spans="1:8" ht="27" customHeight="1" x14ac:dyDescent="0.25">
      <c r="A22" s="3" t="s">
        <v>25</v>
      </c>
      <c r="C22" s="3" t="s">
        <v>20</v>
      </c>
      <c r="D22" s="8">
        <v>650</v>
      </c>
      <c r="E22" s="8">
        <v>0</v>
      </c>
      <c r="F22" s="9">
        <v>20296.240000000002</v>
      </c>
      <c r="G22" s="8"/>
      <c r="H22" s="8">
        <v>20371.240000000002</v>
      </c>
    </row>
    <row r="23" spans="1:8" ht="27" customHeight="1" x14ac:dyDescent="0.25">
      <c r="D23" s="8"/>
      <c r="E23" s="8"/>
      <c r="F23" s="9"/>
      <c r="G23" s="8"/>
      <c r="H23" s="8"/>
    </row>
    <row r="24" spans="1:8" ht="27" customHeight="1" x14ac:dyDescent="0.25">
      <c r="A24" s="3" t="s">
        <v>47</v>
      </c>
      <c r="C24" s="3" t="s">
        <v>20</v>
      </c>
      <c r="D24" s="8">
        <v>750</v>
      </c>
      <c r="E24" s="8">
        <v>0</v>
      </c>
      <c r="F24" s="9">
        <v>25639.78</v>
      </c>
      <c r="G24" s="8"/>
      <c r="H24" s="8">
        <v>25714.78</v>
      </c>
    </row>
    <row r="25" spans="1:8" ht="27" customHeight="1" x14ac:dyDescent="0.25">
      <c r="D25" s="8"/>
      <c r="E25" s="8"/>
      <c r="F25" s="9"/>
      <c r="G25" s="8"/>
      <c r="H25" s="8"/>
    </row>
    <row r="26" spans="1:8" ht="27" customHeight="1" x14ac:dyDescent="0.25">
      <c r="A26" s="3" t="s">
        <v>51</v>
      </c>
      <c r="B26" s="10" t="s">
        <v>99</v>
      </c>
      <c r="C26" s="3" t="s">
        <v>20</v>
      </c>
      <c r="D26" s="8">
        <v>1350</v>
      </c>
      <c r="E26" s="8">
        <v>0</v>
      </c>
      <c r="F26" s="9">
        <v>51474.45</v>
      </c>
      <c r="G26" s="8"/>
      <c r="H26" s="8">
        <v>51549.45</v>
      </c>
    </row>
    <row r="27" spans="1:8" ht="27" customHeight="1" x14ac:dyDescent="0.25">
      <c r="D27" s="8"/>
      <c r="E27" s="8"/>
      <c r="F27" s="9"/>
      <c r="G27" s="8"/>
      <c r="H27" s="8"/>
    </row>
    <row r="28" spans="1:8" ht="27" customHeight="1" x14ac:dyDescent="0.25">
      <c r="A28" s="3" t="s">
        <v>73</v>
      </c>
      <c r="C28" s="3" t="s">
        <v>57</v>
      </c>
      <c r="D28" s="8">
        <v>1050</v>
      </c>
      <c r="E28" s="8">
        <v>0</v>
      </c>
      <c r="F28" s="9">
        <v>42839.69</v>
      </c>
      <c r="G28" s="8"/>
      <c r="H28" s="8">
        <v>42914.69</v>
      </c>
    </row>
    <row r="29" spans="1:8" x14ac:dyDescent="0.25">
      <c r="D29" s="8"/>
      <c r="E29" s="8"/>
      <c r="F29" s="8"/>
      <c r="G29" s="8"/>
      <c r="H29" s="8"/>
    </row>
    <row r="30" spans="1:8" x14ac:dyDescent="0.25">
      <c r="A30" s="11"/>
      <c r="B30" s="11"/>
      <c r="C30" s="11"/>
      <c r="D30" s="12">
        <f>SUM(D4:D28)</f>
        <v>11150</v>
      </c>
      <c r="E30" s="12">
        <f>SUM(E4:E28)</f>
        <v>0</v>
      </c>
      <c r="F30" s="12">
        <f>SUM(F4:F28)</f>
        <v>409846.13</v>
      </c>
      <c r="G30" s="12"/>
      <c r="H30" s="12">
        <f>SUM(H4:H28)</f>
        <v>410971.13</v>
      </c>
    </row>
  </sheetData>
  <mergeCells count="2">
    <mergeCell ref="A2:D2"/>
    <mergeCell ref="E2:H2"/>
  </mergeCells>
  <pageMargins left="0.7" right="0.7" top="0.75" bottom="0.75" header="0.3" footer="0.3"/>
  <pageSetup scale="86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9C16-C365-46C4-9E47-4EF84DC0B549}">
  <sheetPr>
    <pageSetUpPr fitToPage="1"/>
  </sheetPr>
  <dimension ref="A1:F24"/>
  <sheetViews>
    <sheetView workbookViewId="0">
      <selection activeCell="L13" sqref="L13"/>
    </sheetView>
  </sheetViews>
  <sheetFormatPr defaultRowHeight="15" x14ac:dyDescent="0.25"/>
  <cols>
    <col min="1" max="1" width="12.42578125" customWidth="1"/>
    <col min="2" max="2" width="10.42578125" customWidth="1"/>
    <col min="3" max="3" width="17.140625" customWidth="1"/>
    <col min="4" max="4" width="22.5703125" customWidth="1"/>
    <col min="5" max="5" width="12.42578125" customWidth="1"/>
    <col min="6" max="6" width="23" customWidth="1"/>
  </cols>
  <sheetData>
    <row r="1" spans="1:6" ht="24.95" customHeight="1" x14ac:dyDescent="0.25">
      <c r="A1" t="s">
        <v>105</v>
      </c>
      <c r="D1" s="1"/>
      <c r="F1" s="1">
        <v>45954.999988425923</v>
      </c>
    </row>
    <row r="2" spans="1:6" ht="24.95" customHeight="1" x14ac:dyDescent="0.25">
      <c r="A2" s="15" t="s">
        <v>0</v>
      </c>
      <c r="B2" s="2"/>
      <c r="C2" s="2"/>
      <c r="D2" s="16" t="s">
        <v>100</v>
      </c>
      <c r="E2" s="2"/>
      <c r="F2" s="2"/>
    </row>
    <row r="3" spans="1:6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15</v>
      </c>
      <c r="B4" t="s">
        <v>17</v>
      </c>
      <c r="C4" t="s">
        <v>18</v>
      </c>
      <c r="E4" t="s">
        <v>19</v>
      </c>
    </row>
    <row r="5" spans="1:6" ht="24.95" customHeight="1" x14ac:dyDescent="0.25">
      <c r="A5" t="s">
        <v>36</v>
      </c>
      <c r="B5" t="s">
        <v>17</v>
      </c>
      <c r="C5" t="s">
        <v>37</v>
      </c>
      <c r="E5" t="s">
        <v>19</v>
      </c>
    </row>
    <row r="6" spans="1:6" ht="24.95" customHeight="1" x14ac:dyDescent="0.25">
      <c r="A6" t="s">
        <v>39</v>
      </c>
      <c r="B6" t="s">
        <v>17</v>
      </c>
      <c r="C6" t="s">
        <v>40</v>
      </c>
      <c r="E6" t="s">
        <v>19</v>
      </c>
    </row>
    <row r="7" spans="1:6" ht="24.95" customHeight="1" x14ac:dyDescent="0.25">
      <c r="A7" t="s">
        <v>42</v>
      </c>
      <c r="B7" t="s">
        <v>17</v>
      </c>
      <c r="C7" t="s">
        <v>43</v>
      </c>
      <c r="E7" t="s">
        <v>19</v>
      </c>
    </row>
    <row r="8" spans="1:6" ht="24.95" customHeight="1" x14ac:dyDescent="0.25">
      <c r="A8" t="s">
        <v>54</v>
      </c>
      <c r="B8" t="s">
        <v>17</v>
      </c>
      <c r="C8" t="s">
        <v>55</v>
      </c>
      <c r="D8" t="s">
        <v>56</v>
      </c>
      <c r="E8" t="s">
        <v>19</v>
      </c>
    </row>
    <row r="9" spans="1:6" ht="24.95" customHeight="1" x14ac:dyDescent="0.25">
      <c r="A9" t="s">
        <v>76</v>
      </c>
      <c r="B9" t="s">
        <v>17</v>
      </c>
      <c r="C9" t="s">
        <v>77</v>
      </c>
      <c r="E9" t="s">
        <v>78</v>
      </c>
    </row>
    <row r="10" spans="1:6" x14ac:dyDescent="0.25">
      <c r="A10" s="17"/>
      <c r="B10" s="17"/>
      <c r="C10" s="17" t="s">
        <v>101</v>
      </c>
      <c r="D10" s="17"/>
      <c r="E10" s="17"/>
      <c r="F10" s="17"/>
    </row>
    <row r="15" spans="1:6" x14ac:dyDescent="0.25">
      <c r="A15" t="s">
        <v>102</v>
      </c>
      <c r="B15" s="18"/>
      <c r="C15" s="18"/>
      <c r="D15" s="18"/>
    </row>
    <row r="20" spans="1:4" x14ac:dyDescent="0.25">
      <c r="A20" t="s">
        <v>103</v>
      </c>
      <c r="B20" s="18"/>
      <c r="C20" s="18"/>
      <c r="D20" s="18"/>
    </row>
    <row r="24" spans="1:4" x14ac:dyDescent="0.25">
      <c r="A24" t="s">
        <v>104</v>
      </c>
      <c r="B24" s="18"/>
      <c r="C24" s="18"/>
    </row>
  </sheetData>
  <mergeCells count="2">
    <mergeCell ref="A2:C2"/>
    <mergeCell ref="D2:F2"/>
  </mergeCells>
  <pageMargins left="0.7" right="0.7" top="0.75" bottom="0.75" header="0.3" footer="0.3"/>
  <pageSetup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2025-10-24T19:08:15Z</cp:lastPrinted>
  <dcterms:created xsi:type="dcterms:W3CDTF">2025-10-24T18:27:41Z</dcterms:created>
  <dcterms:modified xsi:type="dcterms:W3CDTF">2025-10-24T19:09:25Z</dcterms:modified>
</cp:coreProperties>
</file>