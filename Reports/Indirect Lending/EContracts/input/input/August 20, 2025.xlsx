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336AD03F-D3B1-448E-BF5E-B178EB4DD0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2" l="1"/>
  <c r="F12" i="1"/>
  <c r="F5" i="1"/>
  <c r="H27" i="1"/>
  <c r="E27" i="1"/>
  <c r="D27" i="1"/>
  <c r="C27" i="1"/>
</calcChain>
</file>

<file path=xl/sharedStrings.xml><?xml version="1.0" encoding="utf-8"?>
<sst xmlns="http://schemas.openxmlformats.org/spreadsheetml/2006/main" count="183" uniqueCount="106">
  <si>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</si>
  <si>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</si>
  <si>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</si>
  <si>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</si>
  <si>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</si>
  <si>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</si>
  <si>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</si>
  <si>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</si>
  <si>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</si>
  <si>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</si>
  <si>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</si>
  <si>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Marlene Braganca</t>
  </si>
  <si>
    <t>Rachel Gorham</t>
  </si>
  <si>
    <t>Atlantic Subaru</t>
  </si>
  <si>
    <t>Coastal Volkswagon</t>
  </si>
  <si>
    <t>Mastria Mazda</t>
  </si>
  <si>
    <t>Patriot Auto Group Inc d/b/a</t>
  </si>
  <si>
    <t>Neli Oliveira</t>
  </si>
  <si>
    <t>Paul Masse Buick GMC South, Inc</t>
  </si>
  <si>
    <t>Priority Automotive LLC</t>
  </si>
  <si>
    <t>Richard Lundgren, Inc. d/b/a</t>
  </si>
  <si>
    <t>Robertson's GMC Truck, Inc</t>
  </si>
  <si>
    <t>T F Murphy Enterprises Inc</t>
  </si>
  <si>
    <t>Viti Mercedes</t>
  </si>
  <si>
    <t>Column1</t>
  </si>
  <si>
    <t>Column2</t>
  </si>
  <si>
    <t>5900     6390</t>
  </si>
  <si>
    <t># 13</t>
  </si>
  <si>
    <t>VATALARO</t>
  </si>
  <si>
    <t>FINNEGANHE@GMAIL.COM</t>
  </si>
  <si>
    <t>FINNEGAN, HELEN</t>
  </si>
  <si>
    <t>E Contract</t>
  </si>
  <si>
    <t>DealerTrack</t>
  </si>
  <si>
    <t>151215607E</t>
  </si>
  <si>
    <t>GOMES</t>
  </si>
  <si>
    <t>THETYLERFERREIRA@GMAIL.COM</t>
  </si>
  <si>
    <t>FERREIRA, TYLER</t>
  </si>
  <si>
    <t>Paper</t>
  </si>
  <si>
    <t>151215590</t>
  </si>
  <si>
    <t>BOND</t>
  </si>
  <si>
    <t>JONESACTON@COMCAST.NET</t>
  </si>
  <si>
    <t>JONES, KEITH</t>
  </si>
  <si>
    <t>Route One</t>
  </si>
  <si>
    <t>151215532E</t>
  </si>
  <si>
    <t>JONES</t>
  </si>
  <si>
    <t>BROWNER, MICHAEL</t>
  </si>
  <si>
    <t>151215524E</t>
  </si>
  <si>
    <t>OLASSE</t>
  </si>
  <si>
    <t>DLOROURKE@COX.NET</t>
  </si>
  <si>
    <t>BIBEAULT, DONNA</t>
  </si>
  <si>
    <t>151215508E</t>
  </si>
  <si>
    <t>ALMEIDA</t>
  </si>
  <si>
    <t>ARILIMA1985@GMAIL.COM</t>
  </si>
  <si>
    <t>LIMA, ARICLENES</t>
  </si>
  <si>
    <t>151215491E</t>
  </si>
  <si>
    <t>MARTIN</t>
  </si>
  <si>
    <t>JBYRNES03@CHARTER.NET</t>
  </si>
  <si>
    <t>BYRNES, JOHN</t>
  </si>
  <si>
    <t>151215483E</t>
  </si>
  <si>
    <t>CARNEY</t>
  </si>
  <si>
    <t>O'NEIL</t>
  </si>
  <si>
    <t>KLYNCH321@GMAIL.COM</t>
  </si>
  <si>
    <t>tabithanoelleq@gmail.com</t>
  </si>
  <si>
    <t>LYNCH, KEVIN</t>
  </si>
  <si>
    <t>QUIGG, TABITHA</t>
  </si>
  <si>
    <t>151215467E</t>
  </si>
  <si>
    <t>HONKANEN</t>
  </si>
  <si>
    <t>COLLINS</t>
  </si>
  <si>
    <t>DNH@YAHOO.COM</t>
  </si>
  <si>
    <t>MUTZ82@GMAIL.COM</t>
  </si>
  <si>
    <t>HOLMES, ANDREW</t>
  </si>
  <si>
    <t>HOLMES, MURIEL</t>
  </si>
  <si>
    <t>151215441E</t>
  </si>
  <si>
    <t>Jackson</t>
  </si>
  <si>
    <t>mcgaff1045@yahoo.com</t>
  </si>
  <si>
    <t>MCGAFFIGAN, KEVIN</t>
  </si>
  <si>
    <t>151215425E</t>
  </si>
  <si>
    <t>Szala</t>
  </si>
  <si>
    <t>Tripp</t>
  </si>
  <si>
    <t>cieplik, stanley</t>
  </si>
  <si>
    <t>cieplik, cheryl</t>
  </si>
  <si>
    <t>151215417E</t>
  </si>
  <si>
    <t>Leotti</t>
  </si>
  <si>
    <t>emma.erocha@gmail.com</t>
  </si>
  <si>
    <t>ROCHA, EMMA</t>
  </si>
  <si>
    <t>151215392E</t>
  </si>
  <si>
    <t>Hoss</t>
  </si>
  <si>
    <t>MCCABE@GMAIL.COM</t>
  </si>
  <si>
    <t>MCCABE, CHRISTINA</t>
  </si>
  <si>
    <t>151215384E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</si>
  <si>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</si>
  <si>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</si>
  <si>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</si>
  <si>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</si>
  <si>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</si>
  <si>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</si>
  <si>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</si>
  <si>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</si>
  <si>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</si>
  <si>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</si>
  <si>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</si>
  <si>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Signed_______________________________________________________</t>
  </si>
  <si>
    <t>Received By_______________________________________________________________________</t>
  </si>
  <si>
    <t>Deliverd By________________________________________________________________________</t>
  </si>
  <si>
    <t># 1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</si>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</sst>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DFF0C3CA-9D00-4BE8-B336-BFE71419DDA7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7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B6ECE6B4-F5AE-430A-AF1B-97C780A159DC}" name="Column1" dataDxfId="23"/>
    <tableColumn id="8" xr3:uid="{B4C5FFBF-F13D-4849-BC5A-720F4FC2E95A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8A7C0E-E398-43B2-AEBE-4AEA2BC88275}" name="Table_13" displayName="Table_13" ref="A3:L17" headerRowDxfId="10" dataDxfId="8" totalsRowDxfId="9">
  <tableColumns count="12">
    <tableColumn id="1" xr3:uid="{00000000-0010-0000-0000-000001000000}" name="Account Number" dataDxfId="22"/>
    <tableColumn id="2" xr3:uid="{00000000-0010-0000-0000-000002000000}" name="Portal" dataDxfId="21"/>
    <tableColumn id="3" xr3:uid="{00000000-0010-0000-0000-000003000000}" name="Contract Type" dataDxfId="20"/>
    <tableColumn id="4" xr3:uid="{00000000-0010-0000-0000-000004000000}" name="Applicant Name" dataDxfId="19"/>
    <tableColumn id="5" xr3:uid="{00000000-0010-0000-0000-000005000000}" name="Co-Applicant Name" dataDxfId="18"/>
    <tableColumn id="6" xr3:uid="{00000000-0010-0000-0000-000006000000}" name="Dealer Name" dataDxfId="17"/>
    <tableColumn id="7" xr3:uid="{00000000-0010-0000-0000-000007000000}" name="Funded by" dataDxfId="16"/>
    <tableColumn id="8" xr3:uid="{00000000-0010-0000-0000-000008000000}" name="Amount Financed" dataDxfId="15"/>
    <tableColumn id="9" xr3:uid="{00000000-0010-0000-0000-000009000000}" name="Applicant Email" dataDxfId="14"/>
    <tableColumn id="10" xr3:uid="{00000000-0010-0000-0000-00000A000000}" name="Co-Applicant Email" dataDxfId="13"/>
    <tableColumn id="11" xr3:uid="{00000000-0010-0000-0000-00000B000000}" name="App MMN" dataDxfId="12"/>
    <tableColumn id="12" xr3:uid="{00000000-0010-0000-0000-00000C000000}" name="Co-App MMN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DF5B5A-9926-49F9-8DAA-9404DFEB971C}" name="Table_14" displayName="Table_14" ref="A3:E5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7"/>
  <sheetViews>
    <sheetView tabSelected="1" workbookViewId="0">
      <pane ySplit="3" topLeftCell="A4" activePane="bottomLeft" state="frozen"/>
      <selection pane="bottomLeft" activeCell="E26" sqref="E26"/>
    </sheetView>
  </sheetViews>
  <sheetFormatPr defaultRowHeight="15" x14ac:dyDescent="0.25"/>
  <cols>
    <col min="1" max="1" width="31.5703125" bestFit="1" customWidth="1"/>
    <col min="2" max="2" width="17.7109375" bestFit="1" customWidth="1"/>
    <col min="3" max="3" width="11.140625" bestFit="1" customWidth="1"/>
    <col min="4" max="4" width="16.140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45889</v>
      </c>
      <c r="E1" t="s">
        <v>2</v>
      </c>
      <c r="H1" s="4">
        <v>45889.999988425923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24</v>
      </c>
      <c r="G3" t="s">
        <v>25</v>
      </c>
      <c r="H3" t="s">
        <v>9</v>
      </c>
    </row>
    <row r="4" spans="1:8" x14ac:dyDescent="0.25">
      <c r="A4" t="s">
        <v>10</v>
      </c>
      <c r="B4" t="s">
        <v>11</v>
      </c>
      <c r="C4" s="2">
        <v>500</v>
      </c>
      <c r="D4" s="2">
        <v>0</v>
      </c>
      <c r="E4" s="2">
        <v>18182.009999999998</v>
      </c>
      <c r="F4" s="2"/>
      <c r="G4" s="2"/>
      <c r="H4" s="2">
        <v>18257.009999999998</v>
      </c>
    </row>
    <row r="5" spans="1:8" x14ac:dyDescent="0.25">
      <c r="A5" t="s">
        <v>10</v>
      </c>
      <c r="B5" t="s">
        <v>12</v>
      </c>
      <c r="C5" s="2">
        <v>1500</v>
      </c>
      <c r="D5" s="2">
        <v>0</v>
      </c>
      <c r="E5" s="2">
        <v>76387.38</v>
      </c>
      <c r="F5" s="2">
        <f>SUM(E4:E5)</f>
        <v>94569.39</v>
      </c>
      <c r="G5" s="2"/>
      <c r="H5" s="2">
        <v>76462.38</v>
      </c>
    </row>
    <row r="6" spans="1:8" x14ac:dyDescent="0.25">
      <c r="C6" s="2"/>
      <c r="D6" s="2"/>
      <c r="E6" s="2"/>
      <c r="F6" s="2"/>
      <c r="G6" s="2"/>
      <c r="H6" s="2"/>
    </row>
    <row r="7" spans="1:8" x14ac:dyDescent="0.25">
      <c r="A7" t="s">
        <v>13</v>
      </c>
      <c r="B7" t="s">
        <v>12</v>
      </c>
      <c r="C7" s="2">
        <v>650</v>
      </c>
      <c r="D7" s="2">
        <v>0</v>
      </c>
      <c r="E7" s="2">
        <v>20885.810000000001</v>
      </c>
      <c r="F7" s="2"/>
      <c r="G7" s="2"/>
      <c r="H7" s="2">
        <v>20960.810000000001</v>
      </c>
    </row>
    <row r="8" spans="1:8" x14ac:dyDescent="0.25">
      <c r="C8" s="2"/>
      <c r="D8" s="2"/>
      <c r="E8" s="2"/>
      <c r="F8" s="2"/>
      <c r="G8" s="2"/>
      <c r="H8" s="2"/>
    </row>
    <row r="9" spans="1:8" x14ac:dyDescent="0.25">
      <c r="A9" t="s">
        <v>14</v>
      </c>
      <c r="B9" t="s">
        <v>11</v>
      </c>
      <c r="C9" s="2">
        <v>1050</v>
      </c>
      <c r="D9" s="2">
        <v>0</v>
      </c>
      <c r="E9" s="2">
        <v>41740.82</v>
      </c>
      <c r="F9" s="2"/>
      <c r="G9" s="2"/>
      <c r="H9" s="2">
        <v>41815.82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15</v>
      </c>
      <c r="B11" t="s">
        <v>11</v>
      </c>
      <c r="C11" s="2">
        <v>300</v>
      </c>
      <c r="D11" s="2">
        <v>0</v>
      </c>
      <c r="E11" s="2">
        <v>14180.11</v>
      </c>
      <c r="F11" s="2"/>
      <c r="G11" s="2"/>
      <c r="H11" s="2">
        <v>14255.11</v>
      </c>
    </row>
    <row r="12" spans="1:8" x14ac:dyDescent="0.25">
      <c r="A12" t="s">
        <v>15</v>
      </c>
      <c r="B12" t="s">
        <v>11</v>
      </c>
      <c r="C12" s="2">
        <v>850</v>
      </c>
      <c r="D12" s="2">
        <v>0</v>
      </c>
      <c r="E12" s="2">
        <v>33729.86</v>
      </c>
      <c r="F12" s="2">
        <f>SUM(E11:E12)</f>
        <v>47909.97</v>
      </c>
      <c r="G12" s="2" t="s">
        <v>26</v>
      </c>
      <c r="H12" s="2">
        <v>33804.86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16</v>
      </c>
      <c r="B14" t="s">
        <v>17</v>
      </c>
      <c r="C14" s="2">
        <v>850</v>
      </c>
      <c r="D14" s="2">
        <v>0</v>
      </c>
      <c r="E14" s="2">
        <v>31589.19</v>
      </c>
      <c r="F14" s="2"/>
      <c r="G14" s="2"/>
      <c r="H14" s="2">
        <v>31664.19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18</v>
      </c>
      <c r="B16" t="s">
        <v>17</v>
      </c>
      <c r="C16" s="2">
        <v>950</v>
      </c>
      <c r="D16" s="2">
        <v>0</v>
      </c>
      <c r="E16" s="2">
        <v>35753.1</v>
      </c>
      <c r="F16" s="2"/>
      <c r="G16" s="2"/>
      <c r="H16" s="2">
        <v>35828.1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19</v>
      </c>
      <c r="B18" t="s">
        <v>17</v>
      </c>
      <c r="C18" s="2">
        <v>950</v>
      </c>
      <c r="D18" s="2">
        <v>0</v>
      </c>
      <c r="E18" s="2">
        <v>39005.279999999999</v>
      </c>
      <c r="F18" s="2"/>
      <c r="G18" s="2"/>
      <c r="H18" s="2">
        <v>39080.28</v>
      </c>
    </row>
    <row r="19" spans="1:8" x14ac:dyDescent="0.25">
      <c r="C19" s="2"/>
      <c r="D19" s="2"/>
      <c r="E19" s="2"/>
      <c r="F19" s="2"/>
      <c r="G19" s="2"/>
      <c r="H19" s="2"/>
    </row>
    <row r="20" spans="1:8" x14ac:dyDescent="0.25">
      <c r="A20" t="s">
        <v>20</v>
      </c>
      <c r="B20" t="s">
        <v>17</v>
      </c>
      <c r="C20" s="2">
        <v>300</v>
      </c>
      <c r="D20" s="2">
        <v>0</v>
      </c>
      <c r="E20" s="2">
        <v>14068.94</v>
      </c>
      <c r="F20" s="2"/>
      <c r="G20" s="2"/>
      <c r="H20" s="2">
        <v>14143.94</v>
      </c>
    </row>
    <row r="21" spans="1:8" x14ac:dyDescent="0.25">
      <c r="C21" s="2"/>
      <c r="D21" s="2"/>
      <c r="E21" s="2"/>
      <c r="F21" s="2"/>
      <c r="G21" s="2"/>
      <c r="H21" s="2"/>
    </row>
    <row r="22" spans="1:8" x14ac:dyDescent="0.25">
      <c r="A22" t="s">
        <v>21</v>
      </c>
      <c r="B22" t="s">
        <v>12</v>
      </c>
      <c r="C22" s="2">
        <v>300</v>
      </c>
      <c r="D22" s="2">
        <v>0</v>
      </c>
      <c r="E22" s="2">
        <v>11238.94</v>
      </c>
      <c r="F22" s="2"/>
      <c r="G22" s="2"/>
      <c r="H22" s="2">
        <v>11313.94</v>
      </c>
    </row>
    <row r="23" spans="1:8" x14ac:dyDescent="0.25">
      <c r="C23" s="2"/>
      <c r="D23" s="2"/>
      <c r="E23" s="2"/>
      <c r="F23" s="2"/>
      <c r="G23" s="2"/>
      <c r="H23" s="2"/>
    </row>
    <row r="24" spans="1:8" x14ac:dyDescent="0.25">
      <c r="A24" t="s">
        <v>22</v>
      </c>
      <c r="B24" t="s">
        <v>12</v>
      </c>
      <c r="C24" s="2">
        <v>300</v>
      </c>
      <c r="D24" s="2">
        <v>0</v>
      </c>
      <c r="E24" s="2">
        <v>14000</v>
      </c>
      <c r="F24" s="2"/>
      <c r="G24" s="2"/>
      <c r="H24" s="2">
        <v>14075</v>
      </c>
    </row>
    <row r="25" spans="1:8" x14ac:dyDescent="0.25">
      <c r="C25" s="2"/>
      <c r="D25" s="2"/>
      <c r="E25" s="2"/>
      <c r="F25" s="2"/>
      <c r="G25" s="2"/>
      <c r="H25" s="2"/>
    </row>
    <row r="26" spans="1:8" x14ac:dyDescent="0.25">
      <c r="A26" t="s">
        <v>23</v>
      </c>
      <c r="B26" t="s">
        <v>17</v>
      </c>
      <c r="C26" s="2">
        <v>1350</v>
      </c>
      <c r="D26" s="2">
        <v>0</v>
      </c>
      <c r="E26" s="2">
        <v>49960.4</v>
      </c>
      <c r="F26" s="2"/>
      <c r="G26" s="2"/>
      <c r="H26" s="2">
        <v>50035.4</v>
      </c>
    </row>
    <row r="27" spans="1:8" x14ac:dyDescent="0.25">
      <c r="A27" s="1"/>
      <c r="B27" s="1"/>
      <c r="C27" s="3">
        <f>SUM(C4:C26)</f>
        <v>9850</v>
      </c>
      <c r="D27" s="3">
        <f>SUM(D4:D26)</f>
        <v>0</v>
      </c>
      <c r="E27" s="3">
        <f>SUM(E4:E26)</f>
        <v>400721.83999999997</v>
      </c>
      <c r="F27" s="3"/>
      <c r="G27" s="3"/>
      <c r="H27" s="3">
        <f>SUM(H4:H26)</f>
        <v>401696.83999999997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8625-5795-4F62-800B-D507FF580F41}">
  <sheetPr>
    <pageSetUpPr fitToPage="1"/>
  </sheetPr>
  <dimension ref="A1:N20"/>
  <sheetViews>
    <sheetView workbookViewId="0">
      <pane ySplit="3" topLeftCell="A4" activePane="bottomLeft" state="frozen"/>
      <selection pane="bottomLeft" activeCell="A4" sqref="A4:A16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0" style="8" bestFit="1" customWidth="1"/>
    <col min="5" max="5" width="18.7109375" style="8" bestFit="1" customWidth="1"/>
    <col min="6" max="6" width="31.5703125" style="8" bestFit="1" customWidth="1"/>
    <col min="7" max="7" width="17.7109375" style="8" bestFit="1" customWidth="1"/>
    <col min="8" max="8" width="17.140625" style="8" bestFit="1" customWidth="1"/>
    <col min="9" max="9" width="31.85546875" style="8" bestFit="1" customWidth="1"/>
    <col min="10" max="10" width="24.42578125" style="8" bestFit="1" customWidth="1"/>
    <col min="11" max="11" width="16.140625" style="8" bestFit="1" customWidth="1"/>
    <col min="12" max="12" width="12.85546875" style="8" bestFit="1" customWidth="1"/>
    <col min="13" max="16384" width="9.140625" style="8"/>
  </cols>
  <sheetData>
    <row r="1" spans="1:14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45889</v>
      </c>
      <c r="L1" s="9" t="s">
        <v>2</v>
      </c>
      <c r="M1" s="9"/>
      <c r="N1" s="9"/>
    </row>
    <row r="2" spans="1:14" ht="35.1" customHeight="1" x14ac:dyDescent="0.25">
      <c r="A2" s="11" t="s">
        <v>0</v>
      </c>
      <c r="B2" s="12"/>
      <c r="C2" s="12"/>
      <c r="D2" s="12"/>
      <c r="E2" s="12"/>
      <c r="F2" s="12"/>
      <c r="G2" s="13" t="s">
        <v>100</v>
      </c>
      <c r="H2" s="12"/>
      <c r="I2" s="12"/>
      <c r="J2" s="12"/>
      <c r="K2" s="12"/>
      <c r="L2" s="12"/>
      <c r="M2" s="9"/>
      <c r="N2" s="9"/>
    </row>
    <row r="3" spans="1:14" ht="35.1" customHeight="1" x14ac:dyDescent="0.25">
      <c r="A3" s="9" t="s">
        <v>99</v>
      </c>
      <c r="B3" s="9" t="s">
        <v>98</v>
      </c>
      <c r="C3" s="9" t="s">
        <v>97</v>
      </c>
      <c r="D3" s="9" t="s">
        <v>96</v>
      </c>
      <c r="E3" s="9" t="s">
        <v>95</v>
      </c>
      <c r="F3" s="9" t="s">
        <v>4</v>
      </c>
      <c r="G3" s="9" t="s">
        <v>5</v>
      </c>
      <c r="H3" s="9" t="s">
        <v>94</v>
      </c>
      <c r="I3" s="9" t="s">
        <v>93</v>
      </c>
      <c r="J3" s="9" t="s">
        <v>92</v>
      </c>
      <c r="K3" s="9" t="s">
        <v>91</v>
      </c>
      <c r="L3" s="9" t="s">
        <v>90</v>
      </c>
      <c r="M3" s="9"/>
      <c r="N3" s="9"/>
    </row>
    <row r="4" spans="1:14" ht="35.1" customHeight="1" x14ac:dyDescent="0.25">
      <c r="A4" s="9" t="s">
        <v>89</v>
      </c>
      <c r="B4" s="9" t="s">
        <v>32</v>
      </c>
      <c r="C4" s="9" t="s">
        <v>31</v>
      </c>
      <c r="D4" s="9" t="s">
        <v>88</v>
      </c>
      <c r="E4" s="9"/>
      <c r="F4" s="9" t="s">
        <v>14</v>
      </c>
      <c r="G4" s="9" t="s">
        <v>11</v>
      </c>
      <c r="H4" s="14">
        <v>41815.82</v>
      </c>
      <c r="I4" s="9" t="s">
        <v>87</v>
      </c>
      <c r="J4" s="9"/>
      <c r="K4" s="9" t="s">
        <v>86</v>
      </c>
      <c r="L4" s="9"/>
      <c r="M4" s="9"/>
      <c r="N4" s="9"/>
    </row>
    <row r="5" spans="1:14" ht="35.1" customHeight="1" x14ac:dyDescent="0.25">
      <c r="A5" s="9" t="s">
        <v>85</v>
      </c>
      <c r="B5" s="9" t="s">
        <v>42</v>
      </c>
      <c r="C5" s="9" t="s">
        <v>31</v>
      </c>
      <c r="D5" s="9" t="s">
        <v>84</v>
      </c>
      <c r="E5" s="9"/>
      <c r="F5" s="9" t="s">
        <v>15</v>
      </c>
      <c r="G5" s="9" t="s">
        <v>11</v>
      </c>
      <c r="H5" s="14">
        <v>14255.11</v>
      </c>
      <c r="I5" s="9" t="s">
        <v>83</v>
      </c>
      <c r="J5" s="9"/>
      <c r="K5" s="9" t="s">
        <v>82</v>
      </c>
      <c r="L5" s="9"/>
      <c r="M5" s="9"/>
      <c r="N5" s="9"/>
    </row>
    <row r="6" spans="1:14" ht="35.1" customHeight="1" x14ac:dyDescent="0.25">
      <c r="A6" s="9" t="s">
        <v>81</v>
      </c>
      <c r="B6" s="9" t="s">
        <v>42</v>
      </c>
      <c r="C6" s="9" t="s">
        <v>31</v>
      </c>
      <c r="D6" s="9" t="s">
        <v>80</v>
      </c>
      <c r="E6" s="9" t="s">
        <v>79</v>
      </c>
      <c r="F6" s="9" t="s">
        <v>10</v>
      </c>
      <c r="G6" s="9" t="s">
        <v>11</v>
      </c>
      <c r="H6" s="14">
        <v>18257.009999999998</v>
      </c>
      <c r="I6" s="9"/>
      <c r="J6" s="9"/>
      <c r="K6" s="9" t="s">
        <v>78</v>
      </c>
      <c r="L6" s="9" t="s">
        <v>77</v>
      </c>
      <c r="M6" s="9"/>
      <c r="N6" s="9"/>
    </row>
    <row r="7" spans="1:14" ht="35.1" customHeight="1" x14ac:dyDescent="0.25">
      <c r="A7" s="9" t="s">
        <v>76</v>
      </c>
      <c r="B7" s="9" t="s">
        <v>42</v>
      </c>
      <c r="C7" s="9" t="s">
        <v>31</v>
      </c>
      <c r="D7" s="9" t="s">
        <v>75</v>
      </c>
      <c r="E7" s="9"/>
      <c r="F7" s="9" t="s">
        <v>15</v>
      </c>
      <c r="G7" s="9" t="s">
        <v>11</v>
      </c>
      <c r="H7" s="14">
        <v>33804.86</v>
      </c>
      <c r="I7" s="9" t="s">
        <v>74</v>
      </c>
      <c r="J7" s="9"/>
      <c r="K7" s="9" t="s">
        <v>73</v>
      </c>
      <c r="L7" s="9"/>
      <c r="M7" s="9"/>
      <c r="N7" s="9"/>
    </row>
    <row r="8" spans="1:14" ht="35.1" customHeight="1" x14ac:dyDescent="0.25">
      <c r="A8" s="9" t="s">
        <v>72</v>
      </c>
      <c r="B8" s="9" t="s">
        <v>32</v>
      </c>
      <c r="C8" s="9" t="s">
        <v>31</v>
      </c>
      <c r="D8" s="9" t="s">
        <v>71</v>
      </c>
      <c r="E8" s="9" t="s">
        <v>70</v>
      </c>
      <c r="F8" s="9" t="s">
        <v>23</v>
      </c>
      <c r="G8" s="9" t="s">
        <v>17</v>
      </c>
      <c r="H8" s="14">
        <v>50035.4</v>
      </c>
      <c r="I8" s="9" t="s">
        <v>69</v>
      </c>
      <c r="J8" s="9" t="s">
        <v>68</v>
      </c>
      <c r="K8" s="9" t="s">
        <v>67</v>
      </c>
      <c r="L8" s="9" t="s">
        <v>66</v>
      </c>
      <c r="M8" s="9"/>
      <c r="N8" s="9"/>
    </row>
    <row r="9" spans="1:14" ht="35.1" customHeight="1" x14ac:dyDescent="0.25">
      <c r="A9" s="9" t="s">
        <v>65</v>
      </c>
      <c r="B9" s="9" t="s">
        <v>42</v>
      </c>
      <c r="C9" s="9" t="s">
        <v>31</v>
      </c>
      <c r="D9" s="9" t="s">
        <v>64</v>
      </c>
      <c r="E9" s="9" t="s">
        <v>63</v>
      </c>
      <c r="F9" s="9" t="s">
        <v>16</v>
      </c>
      <c r="G9" s="9" t="s">
        <v>17</v>
      </c>
      <c r="H9" s="14">
        <v>31664.19</v>
      </c>
      <c r="I9" s="9" t="s">
        <v>62</v>
      </c>
      <c r="J9" s="9" t="s">
        <v>61</v>
      </c>
      <c r="K9" s="9" t="s">
        <v>60</v>
      </c>
      <c r="L9" s="9" t="s">
        <v>59</v>
      </c>
      <c r="M9" s="9"/>
      <c r="N9" s="9"/>
    </row>
    <row r="10" spans="1:14" ht="35.1" customHeight="1" x14ac:dyDescent="0.25">
      <c r="A10" s="9" t="s">
        <v>58</v>
      </c>
      <c r="B10" s="9" t="s">
        <v>32</v>
      </c>
      <c r="C10" s="9" t="s">
        <v>31</v>
      </c>
      <c r="D10" s="9" t="s">
        <v>57</v>
      </c>
      <c r="E10" s="9"/>
      <c r="F10" s="9" t="s">
        <v>20</v>
      </c>
      <c r="G10" s="9" t="s">
        <v>17</v>
      </c>
      <c r="H10" s="14">
        <v>14143.94</v>
      </c>
      <c r="I10" s="9" t="s">
        <v>56</v>
      </c>
      <c r="J10" s="9"/>
      <c r="K10" s="9" t="s">
        <v>55</v>
      </c>
      <c r="L10" s="9"/>
      <c r="M10" s="9"/>
      <c r="N10" s="9"/>
    </row>
    <row r="11" spans="1:14" ht="35.1" customHeight="1" x14ac:dyDescent="0.25">
      <c r="A11" s="9" t="s">
        <v>54</v>
      </c>
      <c r="B11" s="9" t="s">
        <v>42</v>
      </c>
      <c r="C11" s="9" t="s">
        <v>31</v>
      </c>
      <c r="D11" s="9" t="s">
        <v>53</v>
      </c>
      <c r="E11" s="9"/>
      <c r="F11" s="9" t="s">
        <v>10</v>
      </c>
      <c r="G11" s="9" t="s">
        <v>12</v>
      </c>
      <c r="H11" s="14">
        <v>76462.38</v>
      </c>
      <c r="I11" s="9" t="s">
        <v>52</v>
      </c>
      <c r="J11" s="9"/>
      <c r="K11" s="9" t="s">
        <v>51</v>
      </c>
      <c r="L11" s="9"/>
      <c r="M11" s="9"/>
      <c r="N11" s="9"/>
    </row>
    <row r="12" spans="1:14" ht="35.1" customHeight="1" x14ac:dyDescent="0.25">
      <c r="A12" s="9" t="s">
        <v>50</v>
      </c>
      <c r="B12" s="9" t="s">
        <v>42</v>
      </c>
      <c r="C12" s="9" t="s">
        <v>31</v>
      </c>
      <c r="D12" s="9" t="s">
        <v>49</v>
      </c>
      <c r="E12" s="9"/>
      <c r="F12" s="9" t="s">
        <v>18</v>
      </c>
      <c r="G12" s="9" t="s">
        <v>17</v>
      </c>
      <c r="H12" s="14">
        <v>35828.1</v>
      </c>
      <c r="I12" s="9" t="s">
        <v>48</v>
      </c>
      <c r="J12" s="9"/>
      <c r="K12" s="9" t="s">
        <v>47</v>
      </c>
      <c r="L12" s="9"/>
      <c r="M12" s="9"/>
      <c r="N12" s="9"/>
    </row>
    <row r="13" spans="1:14" ht="35.1" customHeight="1" x14ac:dyDescent="0.25">
      <c r="A13" s="9" t="s">
        <v>46</v>
      </c>
      <c r="B13" s="9" t="s">
        <v>32</v>
      </c>
      <c r="C13" s="9" t="s">
        <v>31</v>
      </c>
      <c r="D13" s="9" t="s">
        <v>45</v>
      </c>
      <c r="E13" s="9"/>
      <c r="F13" s="9" t="s">
        <v>19</v>
      </c>
      <c r="G13" s="9" t="s">
        <v>17</v>
      </c>
      <c r="H13" s="14">
        <v>39080.28</v>
      </c>
      <c r="I13" s="9"/>
      <c r="J13" s="9"/>
      <c r="K13" s="9" t="s">
        <v>44</v>
      </c>
      <c r="L13" s="9"/>
      <c r="M13" s="9"/>
      <c r="N13" s="9"/>
    </row>
    <row r="14" spans="1:14" ht="35.1" customHeight="1" x14ac:dyDescent="0.25">
      <c r="A14" s="9" t="s">
        <v>43</v>
      </c>
      <c r="B14" s="9" t="s">
        <v>42</v>
      </c>
      <c r="C14" s="9" t="s">
        <v>31</v>
      </c>
      <c r="D14" s="9" t="s">
        <v>41</v>
      </c>
      <c r="E14" s="9"/>
      <c r="F14" s="9" t="s">
        <v>22</v>
      </c>
      <c r="G14" s="9" t="s">
        <v>12</v>
      </c>
      <c r="H14" s="14">
        <v>14075</v>
      </c>
      <c r="I14" s="9" t="s">
        <v>40</v>
      </c>
      <c r="J14" s="9"/>
      <c r="K14" s="9" t="s">
        <v>39</v>
      </c>
      <c r="L14" s="9"/>
      <c r="M14" s="9"/>
      <c r="N14" s="9"/>
    </row>
    <row r="15" spans="1:14" ht="35.1" customHeight="1" x14ac:dyDescent="0.25">
      <c r="A15" s="9" t="s">
        <v>38</v>
      </c>
      <c r="B15" s="9" t="s">
        <v>32</v>
      </c>
      <c r="C15" s="9" t="s">
        <v>37</v>
      </c>
      <c r="D15" s="9" t="s">
        <v>36</v>
      </c>
      <c r="E15" s="9"/>
      <c r="F15" s="9" t="s">
        <v>21</v>
      </c>
      <c r="G15" s="9" t="s">
        <v>12</v>
      </c>
      <c r="H15" s="14">
        <v>11313.94</v>
      </c>
      <c r="I15" s="9" t="s">
        <v>35</v>
      </c>
      <c r="J15" s="9"/>
      <c r="K15" s="9" t="s">
        <v>34</v>
      </c>
      <c r="L15" s="9"/>
      <c r="M15" s="9"/>
      <c r="N15" s="9"/>
    </row>
    <row r="16" spans="1:14" ht="35.1" customHeight="1" x14ac:dyDescent="0.25">
      <c r="A16" s="9" t="s">
        <v>33</v>
      </c>
      <c r="B16" s="9" t="s">
        <v>32</v>
      </c>
      <c r="C16" s="9" t="s">
        <v>31</v>
      </c>
      <c r="D16" s="9" t="s">
        <v>30</v>
      </c>
      <c r="E16" s="9"/>
      <c r="F16" s="9" t="s">
        <v>13</v>
      </c>
      <c r="G16" s="9" t="s">
        <v>12</v>
      </c>
      <c r="H16" s="14">
        <v>20960.810000000001</v>
      </c>
      <c r="I16" s="9" t="s">
        <v>29</v>
      </c>
      <c r="J16" s="9"/>
      <c r="K16" s="9" t="s">
        <v>28</v>
      </c>
      <c r="L16" s="9"/>
      <c r="M16" s="9"/>
      <c r="N16" s="9"/>
    </row>
    <row r="17" spans="1:14" ht="35.1" customHeight="1" x14ac:dyDescent="0.25">
      <c r="A17" s="15"/>
      <c r="B17" s="15"/>
      <c r="C17" s="15"/>
      <c r="D17" s="15" t="s">
        <v>27</v>
      </c>
      <c r="E17" s="15"/>
      <c r="F17" s="15"/>
      <c r="G17" s="15"/>
      <c r="H17" s="16">
        <f>SUM(H4:H16)</f>
        <v>401696.83999999997</v>
      </c>
      <c r="I17" s="15"/>
      <c r="J17" s="15"/>
      <c r="K17" s="15"/>
      <c r="L17" s="15"/>
      <c r="M17" s="9"/>
      <c r="N17" s="9"/>
    </row>
    <row r="18" spans="1:14" ht="35.1" customHeight="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35.1" customHeight="1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ht="35.1" customHeight="1" x14ac:dyDescent="0.25"/>
  </sheetData>
  <mergeCells count="2">
    <mergeCell ref="A2:F2"/>
    <mergeCell ref="G2:L2"/>
  </mergeCells>
  <pageMargins left="0.7" right="0.7" top="0.75" bottom="0.75" header="0.3" footer="0.3"/>
  <pageSetup paperSize="5" scale="63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1F08-40EF-4205-B2AB-174F8964C99C}">
  <sheetPr>
    <pageSetUpPr fitToPage="1"/>
  </sheetPr>
  <dimension ref="A1:E26"/>
  <sheetViews>
    <sheetView workbookViewId="0">
      <pane ySplit="3" topLeftCell="A4" activePane="bottomLeft" state="frozen"/>
      <selection pane="bottomLeft" activeCell="J14" sqref="J14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0" style="8" bestFit="1" customWidth="1"/>
    <col min="4" max="4" width="18.7109375" style="8" bestFit="1" customWidth="1"/>
    <col min="5" max="5" width="31.570312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45889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105</v>
      </c>
      <c r="E2" s="12"/>
    </row>
    <row r="3" spans="1:5" x14ac:dyDescent="0.25">
      <c r="A3" s="9" t="s">
        <v>99</v>
      </c>
      <c r="B3" s="9" t="s">
        <v>97</v>
      </c>
      <c r="C3" s="9" t="s">
        <v>96</v>
      </c>
      <c r="D3" s="9" t="s">
        <v>95</v>
      </c>
      <c r="E3" s="9" t="s">
        <v>4</v>
      </c>
    </row>
    <row r="4" spans="1:5" x14ac:dyDescent="0.25">
      <c r="A4" s="9" t="s">
        <v>38</v>
      </c>
      <c r="B4" s="9" t="s">
        <v>37</v>
      </c>
      <c r="C4" s="9" t="s">
        <v>36</v>
      </c>
      <c r="D4" s="9"/>
      <c r="E4" s="9" t="s">
        <v>21</v>
      </c>
    </row>
    <row r="5" spans="1:5" x14ac:dyDescent="0.25">
      <c r="A5" s="15"/>
      <c r="B5" s="15"/>
      <c r="C5" s="15" t="s">
        <v>104</v>
      </c>
      <c r="D5" s="15"/>
      <c r="E5" s="15"/>
    </row>
    <row r="6" spans="1:5" x14ac:dyDescent="0.25">
      <c r="A6" s="9"/>
      <c r="B6" s="9"/>
      <c r="C6" s="9"/>
      <c r="D6" s="9"/>
      <c r="E6" s="9"/>
    </row>
    <row r="7" spans="1:5" x14ac:dyDescent="0.25">
      <c r="A7" s="9"/>
      <c r="B7" s="9"/>
      <c r="C7" s="9"/>
      <c r="D7" s="9"/>
      <c r="E7" s="9"/>
    </row>
    <row r="8" spans="1:5" x14ac:dyDescent="0.25">
      <c r="A8" s="9" t="s">
        <v>103</v>
      </c>
      <c r="B8" s="9"/>
      <c r="C8" s="9"/>
      <c r="D8" s="9"/>
      <c r="E8" s="9"/>
    </row>
    <row r="9" spans="1:5" x14ac:dyDescent="0.25">
      <c r="A9" s="9"/>
      <c r="B9" s="9"/>
      <c r="C9" s="9"/>
      <c r="D9" s="9"/>
      <c r="E9" s="9"/>
    </row>
    <row r="10" spans="1:5" x14ac:dyDescent="0.25">
      <c r="A10" s="9"/>
      <c r="B10" s="9"/>
      <c r="C10" s="9"/>
      <c r="D10" s="9"/>
      <c r="E10" s="9"/>
    </row>
    <row r="11" spans="1:5" x14ac:dyDescent="0.25">
      <c r="A11" s="9"/>
      <c r="B11" s="9"/>
      <c r="C11" s="9"/>
      <c r="D11" s="9"/>
      <c r="E11" s="9"/>
    </row>
    <row r="12" spans="1:5" x14ac:dyDescent="0.25">
      <c r="A12" s="9" t="s">
        <v>102</v>
      </c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/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 t="s">
        <v>101</v>
      </c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  <row r="26" spans="1:5" x14ac:dyDescent="0.25">
      <c r="A26" s="9"/>
      <c r="B26" s="9"/>
      <c r="C26" s="9"/>
      <c r="D26" s="9"/>
      <c r="E26" s="9"/>
    </row>
  </sheetData>
  <mergeCells count="2">
    <mergeCell ref="A2:C2"/>
    <mergeCell ref="D2:E2"/>
  </mergeCells>
  <pageMargins left="0.7" right="0.7" top="0.75" bottom="0.75" header="0.3" footer="0.3"/>
  <pageSetup scale="89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2025-08-20T18:32:53Z</cp:lastPrinted>
  <dcterms:created xsi:type="dcterms:W3CDTF">2025-08-20T18:26:22Z</dcterms:created>
  <dcterms:modified xsi:type="dcterms:W3CDTF">2025-08-20T18:45:49Z</dcterms:modified>
</cp:coreProperties>
</file>