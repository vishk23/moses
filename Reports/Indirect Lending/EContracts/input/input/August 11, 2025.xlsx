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9ED03DFB-DB54-405B-B94F-FB616B17B894}" xr6:coauthVersionLast="47" xr6:coauthVersionMax="47" xr10:uidLastSave="{00000000-0000-0000-0000-000000000000}"/>
  <bookViews>
    <workbookView xWindow="23880" yWindow="-165" windowWidth="24240" windowHeight="131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F18" i="1"/>
  <c r="H31" i="1"/>
  <c r="E31" i="1"/>
  <c r="D31" i="1"/>
  <c r="C31" i="1"/>
</calcChain>
</file>

<file path=xl/sharedStrings.xml><?xml version="1.0" encoding="utf-8"?>
<sst xmlns="http://schemas.openxmlformats.org/spreadsheetml/2006/main" count="202" uniqueCount="115">
  <si>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</si>
  <si>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</si>
  <si>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</si>
  <si>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</si>
  <si>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</si>
  <si>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</si>
  <si>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</si>
  <si>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</si>
  <si>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</si>
  <si>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</si>
  <si>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</si>
  <si>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</si>
  <si>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Alden Mazda</t>
  </si>
  <si>
    <t>Neli Oliveira</t>
  </si>
  <si>
    <t>Coastal Volkswagon</t>
  </si>
  <si>
    <t>Rachel Gorham</t>
  </si>
  <si>
    <t>First Hyundai</t>
  </si>
  <si>
    <t>Grieco Enterprises, LLC d/b/a</t>
  </si>
  <si>
    <t>NARSA AMC LLC d/b/a</t>
  </si>
  <si>
    <t>Patriot Auto Group Inc d/b/a</t>
  </si>
  <si>
    <t>RAH FALL RIVER VW, LLC</t>
  </si>
  <si>
    <t>Robertson's GMC Truck, Inc</t>
  </si>
  <si>
    <t>T F Murphy Enterprises Inc</t>
  </si>
  <si>
    <t>Tasca Automotive Group Rt 6 Two</t>
  </si>
  <si>
    <t>Viti Mercedes</t>
  </si>
  <si>
    <t>Wareham Ford</t>
  </si>
  <si>
    <t>Column1</t>
  </si>
  <si>
    <t>Column2</t>
  </si>
  <si>
    <t>2330    8209</t>
  </si>
  <si>
    <t># 15</t>
  </si>
  <si>
    <t>CHAMPAGNE</t>
  </si>
  <si>
    <t>HWRU4@NETSCAPE.COM</t>
  </si>
  <si>
    <t>MCKITCHEN, RAYMOND</t>
  </si>
  <si>
    <t>E Contract</t>
  </si>
  <si>
    <t>Route One</t>
  </si>
  <si>
    <t>151212166e</t>
  </si>
  <si>
    <t>PINDER</t>
  </si>
  <si>
    <t>cutz39@comcast.net</t>
  </si>
  <si>
    <t>PINDER, MONTGOMERY</t>
  </si>
  <si>
    <t>151212132e</t>
  </si>
  <si>
    <t>PIERCE</t>
  </si>
  <si>
    <t>FWG5260@YAHOO.COM</t>
  </si>
  <si>
    <t>GEORGE, FREDERICK</t>
  </si>
  <si>
    <t>DealerTrack</t>
  </si>
  <si>
    <t>151212116e</t>
  </si>
  <si>
    <t>LEMAIRE</t>
  </si>
  <si>
    <t>SARAH.CRAFFORDJ@GMAIL.COM</t>
  </si>
  <si>
    <t>CRAFFORD, SARAH</t>
  </si>
  <si>
    <t>151212083e</t>
  </si>
  <si>
    <t>Castro</t>
  </si>
  <si>
    <t>tadive@comcast.net</t>
  </si>
  <si>
    <t>ARAUJO, THOMAS</t>
  </si>
  <si>
    <t>151212075e</t>
  </si>
  <si>
    <t>Struminski</t>
  </si>
  <si>
    <t>STRUMMA@COMCAST.NET</t>
  </si>
  <si>
    <t>STRUMINSKI, ADAM</t>
  </si>
  <si>
    <t>151212041e</t>
  </si>
  <si>
    <t>CABRAL</t>
  </si>
  <si>
    <t>ANDRADE</t>
  </si>
  <si>
    <t>MARIE2BELLA@GMAIL.COM</t>
  </si>
  <si>
    <t>SILVIASJP@YAHOO.COM</t>
  </si>
  <si>
    <t>JEAN-PIERRE, CHLOE</t>
  </si>
  <si>
    <t>CABRAL, SILVIA</t>
  </si>
  <si>
    <t>151212025e</t>
  </si>
  <si>
    <t>MESSIER</t>
  </si>
  <si>
    <t>LKPARENT@COMCAST.NET</t>
  </si>
  <si>
    <t>PARENT, LISA</t>
  </si>
  <si>
    <t>151212017e</t>
  </si>
  <si>
    <t>ROCHE</t>
  </si>
  <si>
    <t>JJCROSS2@OUTLOOK.COM</t>
  </si>
  <si>
    <t>CROSS, JOSEPH</t>
  </si>
  <si>
    <t>Paper</t>
  </si>
  <si>
    <t>151212009</t>
  </si>
  <si>
    <t>CREAGH</t>
  </si>
  <si>
    <t>meganoleary1@gmail.com</t>
  </si>
  <si>
    <t>OLEARY, MEGAN</t>
  </si>
  <si>
    <t>151211978e</t>
  </si>
  <si>
    <t>Sweetland</t>
  </si>
  <si>
    <t>LINDESTEDT</t>
  </si>
  <si>
    <t>TIMETRAVELERG@ICLOUD.COM</t>
  </si>
  <si>
    <t>GRAY, WILLIAM</t>
  </si>
  <si>
    <t>O'SULLIVAN, GAIL</t>
  </si>
  <si>
    <t>151211960e</t>
  </si>
  <si>
    <t>COOLBRITH</t>
  </si>
  <si>
    <t>barbozakimberly4@gmail.com</t>
  </si>
  <si>
    <t>BARBOZA, KIMBERLY</t>
  </si>
  <si>
    <t>151211944e</t>
  </si>
  <si>
    <t>NAVA</t>
  </si>
  <si>
    <t>AQUINB8@GMAIL.COM</t>
  </si>
  <si>
    <t>QUINTERO, AUGUSTIN</t>
  </si>
  <si>
    <t>151211910e</t>
  </si>
  <si>
    <t>Harrison</t>
  </si>
  <si>
    <t>wha117@comcast.net</t>
  </si>
  <si>
    <t>WHALLEY, JOHN</t>
  </si>
  <si>
    <t>151211879e</t>
  </si>
  <si>
    <t>Morrelo</t>
  </si>
  <si>
    <t>nyy422@live.com</t>
  </si>
  <si>
    <t>SANTANGELO, JOSEPH</t>
  </si>
  <si>
    <t>151211853e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</si>
  <si>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</si>
  <si>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</si>
  <si>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</si>
  <si>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</si>
  <si>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</si>
  <si>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</si>
  <si>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</si>
  <si>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</si>
  <si>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</si>
  <si>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</si>
  <si>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</si>
  <si>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</t>
  </si>
  <si>
    <t>Received By___________________________________________________________________</t>
  </si>
  <si>
    <t>Delivered By__________________________________________________________________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</si>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</sst>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2B03D984-6260-4C40-BD86-0F1899E474B9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575B9969-F32C-4459-BB01-D0BD5C2EE66A}" name="Column1" dataDxfId="24"/>
    <tableColumn id="8" xr3:uid="{E5228C1A-7F40-4D05-8129-537FF7B1B5D3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BE581F-4D54-4E65-BA89-A727F6B27EF3}" name="Table_13" displayName="Table_13" ref="A3:L19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965FAB-1D1D-487F-A464-17C1DCAC748C}" name="Table_14" displayName="Table_14" ref="A3:E5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workbookViewId="0">
      <pane ySplit="3" topLeftCell="A4" activePane="bottomLeft" state="frozen"/>
      <selection pane="bottomLeft" activeCell="E30" sqref="E30"/>
    </sheetView>
  </sheetViews>
  <sheetFormatPr defaultRowHeight="15" x14ac:dyDescent="0.25"/>
  <cols>
    <col min="1" max="1" width="32.42578125" bestFit="1" customWidth="1"/>
    <col min="2" max="2" width="17.7109375" bestFit="1" customWidth="1"/>
    <col min="3" max="3" width="11.140625" bestFit="1" customWidth="1"/>
    <col min="4" max="4" width="16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45880</v>
      </c>
      <c r="E1" t="s">
        <v>2</v>
      </c>
      <c r="H1" s="4">
        <v>45880.999988425923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26</v>
      </c>
      <c r="G3" t="s">
        <v>27</v>
      </c>
      <c r="H3" t="s">
        <v>9</v>
      </c>
    </row>
    <row r="4" spans="1:8" x14ac:dyDescent="0.25">
      <c r="A4" t="s">
        <v>10</v>
      </c>
      <c r="B4" t="s">
        <v>11</v>
      </c>
      <c r="C4" s="2">
        <v>1150</v>
      </c>
      <c r="D4" s="2">
        <v>0</v>
      </c>
      <c r="E4" s="2">
        <v>47536.44</v>
      </c>
      <c r="F4" s="2"/>
      <c r="G4" s="2"/>
      <c r="H4" s="2">
        <v>47611.44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300</v>
      </c>
      <c r="D6" s="2">
        <v>0</v>
      </c>
      <c r="E6" s="2">
        <v>13069.44</v>
      </c>
      <c r="F6" s="2"/>
      <c r="G6" s="2"/>
      <c r="H6" s="2">
        <v>13144.44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1050</v>
      </c>
      <c r="D8" s="2">
        <v>0</v>
      </c>
      <c r="E8" s="2">
        <v>42898.44</v>
      </c>
      <c r="F8" s="2"/>
      <c r="G8" s="2"/>
      <c r="H8" s="2">
        <v>42973.440000000002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16</v>
      </c>
      <c r="B10" t="s">
        <v>11</v>
      </c>
      <c r="C10" s="2">
        <v>500</v>
      </c>
      <c r="D10" s="2">
        <v>0</v>
      </c>
      <c r="E10" s="2">
        <v>17439.759999999998</v>
      </c>
      <c r="F10" s="2"/>
      <c r="G10" s="2" t="s">
        <v>28</v>
      </c>
      <c r="H10" s="2">
        <v>17514.759999999998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11</v>
      </c>
      <c r="C12" s="2">
        <v>300</v>
      </c>
      <c r="D12" s="2">
        <v>0</v>
      </c>
      <c r="E12" s="2">
        <v>10792.69</v>
      </c>
      <c r="F12" s="2"/>
      <c r="G12" s="2"/>
      <c r="H12" s="2">
        <v>10867.69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13</v>
      </c>
      <c r="C14" s="2">
        <v>500</v>
      </c>
      <c r="D14" s="2">
        <v>0</v>
      </c>
      <c r="E14" s="2">
        <v>16303.44</v>
      </c>
      <c r="F14" s="2"/>
      <c r="G14" s="2"/>
      <c r="H14" s="2">
        <v>16378.44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15</v>
      </c>
      <c r="C16" s="2">
        <v>650</v>
      </c>
      <c r="D16" s="2">
        <v>0</v>
      </c>
      <c r="E16" s="2">
        <v>22173.88</v>
      </c>
      <c r="F16" s="2"/>
      <c r="G16" s="2"/>
      <c r="H16" s="2">
        <v>22248.880000000001</v>
      </c>
    </row>
    <row r="17" spans="1:8" x14ac:dyDescent="0.25">
      <c r="A17" t="s">
        <v>19</v>
      </c>
      <c r="B17" t="s">
        <v>13</v>
      </c>
      <c r="C17" s="2">
        <v>1150</v>
      </c>
      <c r="D17" s="2">
        <v>0</v>
      </c>
      <c r="E17" s="2">
        <v>46799.77</v>
      </c>
      <c r="F17" s="2"/>
      <c r="G17" s="2"/>
      <c r="H17" s="2">
        <v>46874.77</v>
      </c>
    </row>
    <row r="18" spans="1:8" x14ac:dyDescent="0.25">
      <c r="A18" t="s">
        <v>19</v>
      </c>
      <c r="B18" t="s">
        <v>13</v>
      </c>
      <c r="C18" s="2">
        <v>500</v>
      </c>
      <c r="D18" s="2">
        <v>0</v>
      </c>
      <c r="E18" s="2">
        <v>16925.189999999999</v>
      </c>
      <c r="F18" s="2">
        <f>SUM(E16:E18)</f>
        <v>85898.84</v>
      </c>
      <c r="G18" s="2"/>
      <c r="H18" s="2">
        <v>17000.189999999999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13</v>
      </c>
      <c r="C20" s="2">
        <v>1150</v>
      </c>
      <c r="D20" s="2">
        <v>0</v>
      </c>
      <c r="E20" s="2">
        <v>49658.22</v>
      </c>
      <c r="F20" s="2"/>
      <c r="G20" s="2"/>
      <c r="H20" s="2">
        <v>49733.22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11</v>
      </c>
      <c r="C22" s="2">
        <v>1350</v>
      </c>
      <c r="D22" s="2">
        <v>0</v>
      </c>
      <c r="E22" s="2">
        <v>62374.01</v>
      </c>
      <c r="F22" s="2"/>
      <c r="G22" s="2"/>
      <c r="H22" s="2">
        <v>62449.01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13</v>
      </c>
      <c r="C24" s="2">
        <v>850</v>
      </c>
      <c r="D24" s="2">
        <v>0</v>
      </c>
      <c r="E24" s="2">
        <v>30978.06</v>
      </c>
      <c r="F24" s="2"/>
      <c r="G24" s="2"/>
      <c r="H24" s="2">
        <v>31053.06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23</v>
      </c>
      <c r="B26" t="s">
        <v>15</v>
      </c>
      <c r="C26" s="2">
        <v>850</v>
      </c>
      <c r="D26" s="2">
        <v>0</v>
      </c>
      <c r="E26" s="2">
        <v>31533.33</v>
      </c>
      <c r="F26" s="2"/>
      <c r="G26" s="2"/>
      <c r="H26" s="2">
        <v>31608.33</v>
      </c>
    </row>
    <row r="27" spans="1:8" x14ac:dyDescent="0.25">
      <c r="C27" s="2"/>
      <c r="D27" s="2"/>
      <c r="E27" s="2"/>
      <c r="F27" s="2"/>
      <c r="G27" s="2"/>
      <c r="H27" s="2"/>
    </row>
    <row r="28" spans="1:8" ht="13.5" customHeight="1" x14ac:dyDescent="0.25">
      <c r="A28" t="s">
        <v>24</v>
      </c>
      <c r="B28" t="s">
        <v>15</v>
      </c>
      <c r="C28" s="2">
        <v>500</v>
      </c>
      <c r="D28" s="2">
        <v>0</v>
      </c>
      <c r="E28" s="2">
        <v>15300.8</v>
      </c>
      <c r="F28" s="2"/>
      <c r="G28" s="2"/>
      <c r="H28" s="2">
        <v>15375.8</v>
      </c>
    </row>
    <row r="29" spans="1:8" ht="13.5" customHeight="1" x14ac:dyDescent="0.25">
      <c r="C29" s="2"/>
      <c r="D29" s="2"/>
      <c r="E29" s="2"/>
      <c r="F29" s="2"/>
      <c r="G29" s="2"/>
      <c r="H29" s="2"/>
    </row>
    <row r="30" spans="1:8" x14ac:dyDescent="0.25">
      <c r="A30" t="s">
        <v>25</v>
      </c>
      <c r="B30" t="s">
        <v>11</v>
      </c>
      <c r="C30" s="2">
        <v>850</v>
      </c>
      <c r="D30" s="2">
        <v>0</v>
      </c>
      <c r="E30" s="2">
        <v>34315.5</v>
      </c>
      <c r="F30" s="2"/>
      <c r="G30" s="2"/>
      <c r="H30" s="2">
        <v>34390.5</v>
      </c>
    </row>
    <row r="31" spans="1:8" x14ac:dyDescent="0.25">
      <c r="A31" s="1"/>
      <c r="B31" s="1"/>
      <c r="C31" s="3">
        <f>SUM(C4:C30)</f>
        <v>11650</v>
      </c>
      <c r="D31" s="3">
        <f>SUM(D4:D30)</f>
        <v>0</v>
      </c>
      <c r="E31" s="3">
        <f>SUM(E4:E30)</f>
        <v>458098.97000000003</v>
      </c>
      <c r="F31" s="3"/>
      <c r="G31" s="3"/>
      <c r="H31" s="3">
        <f>SUM(H4:H30)</f>
        <v>459223.97000000003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9B04-AE3E-45AF-B10F-18DEA5D7D7C7}">
  <sheetPr>
    <pageSetUpPr fitToPage="1"/>
  </sheetPr>
  <dimension ref="A1:M22"/>
  <sheetViews>
    <sheetView tabSelected="1" workbookViewId="0">
      <pane ySplit="3" topLeftCell="A4" activePane="bottomLeft" state="frozen"/>
      <selection pane="bottomLeft" activeCell="A18" sqref="A4:A18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2.5703125" style="5" bestFit="1" customWidth="1"/>
    <col min="5" max="5" width="20" style="5" bestFit="1" customWidth="1"/>
    <col min="6" max="6" width="32.42578125" style="5" bestFit="1" customWidth="1"/>
    <col min="7" max="7" width="17.7109375" style="5" bestFit="1" customWidth="1"/>
    <col min="8" max="8" width="17.140625" style="5" bestFit="1" customWidth="1"/>
    <col min="9" max="9" width="31.140625" style="5" bestFit="1" customWidth="1"/>
    <col min="10" max="10" width="26.28515625" style="5" bestFit="1" customWidth="1"/>
    <col min="11" max="11" width="16.140625" style="5" bestFit="1" customWidth="1"/>
    <col min="12" max="12" width="12.85546875" style="5" bestFit="1" customWidth="1"/>
    <col min="13" max="16384" width="9.140625" style="5"/>
  </cols>
  <sheetData>
    <row r="1" spans="1:13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45880</v>
      </c>
      <c r="L1" s="6" t="s">
        <v>2</v>
      </c>
      <c r="M1" s="6"/>
    </row>
    <row r="2" spans="1:13" ht="35.1" customHeight="1" x14ac:dyDescent="0.25">
      <c r="A2" s="14" t="s">
        <v>0</v>
      </c>
      <c r="B2" s="15"/>
      <c r="C2" s="15"/>
      <c r="D2" s="15"/>
      <c r="E2" s="15"/>
      <c r="F2" s="15"/>
      <c r="G2" s="16" t="s">
        <v>109</v>
      </c>
      <c r="H2" s="15"/>
      <c r="I2" s="15"/>
      <c r="J2" s="15"/>
      <c r="K2" s="15"/>
      <c r="L2" s="15"/>
      <c r="M2" s="6"/>
    </row>
    <row r="3" spans="1:13" ht="35.1" customHeight="1" x14ac:dyDescent="0.25">
      <c r="A3" s="6" t="s">
        <v>108</v>
      </c>
      <c r="B3" s="6" t="s">
        <v>107</v>
      </c>
      <c r="C3" s="6" t="s">
        <v>106</v>
      </c>
      <c r="D3" s="6" t="s">
        <v>105</v>
      </c>
      <c r="E3" s="6" t="s">
        <v>104</v>
      </c>
      <c r="F3" s="6" t="s">
        <v>4</v>
      </c>
      <c r="G3" s="6" t="s">
        <v>5</v>
      </c>
      <c r="H3" s="6" t="s">
        <v>103</v>
      </c>
      <c r="I3" s="6" t="s">
        <v>102</v>
      </c>
      <c r="J3" s="6" t="s">
        <v>101</v>
      </c>
      <c r="K3" s="6" t="s">
        <v>100</v>
      </c>
      <c r="L3" s="6" t="s">
        <v>99</v>
      </c>
      <c r="M3" s="6"/>
    </row>
    <row r="4" spans="1:13" ht="35.1" customHeight="1" x14ac:dyDescent="0.25">
      <c r="A4" s="6" t="s">
        <v>98</v>
      </c>
      <c r="B4" s="6" t="s">
        <v>43</v>
      </c>
      <c r="C4" s="6" t="s">
        <v>33</v>
      </c>
      <c r="D4" s="6" t="s">
        <v>97</v>
      </c>
      <c r="E4" s="6"/>
      <c r="F4" s="6" t="s">
        <v>16</v>
      </c>
      <c r="G4" s="6" t="s">
        <v>11</v>
      </c>
      <c r="H4" s="8">
        <v>17514.759999999998</v>
      </c>
      <c r="I4" s="6" t="s">
        <v>96</v>
      </c>
      <c r="J4" s="6"/>
      <c r="K4" s="6" t="s">
        <v>95</v>
      </c>
      <c r="L4" s="6"/>
      <c r="M4" s="6"/>
    </row>
    <row r="5" spans="1:13" ht="35.1" customHeight="1" x14ac:dyDescent="0.25">
      <c r="A5" s="6" t="s">
        <v>94</v>
      </c>
      <c r="B5" s="6" t="s">
        <v>34</v>
      </c>
      <c r="C5" s="6" t="s">
        <v>33</v>
      </c>
      <c r="D5" s="6" t="s">
        <v>93</v>
      </c>
      <c r="E5" s="6"/>
      <c r="F5" s="6" t="s">
        <v>25</v>
      </c>
      <c r="G5" s="6" t="s">
        <v>11</v>
      </c>
      <c r="H5" s="8">
        <v>34390.5</v>
      </c>
      <c r="I5" s="6" t="s">
        <v>92</v>
      </c>
      <c r="J5" s="6"/>
      <c r="K5" s="6" t="s">
        <v>91</v>
      </c>
      <c r="L5" s="6"/>
      <c r="M5" s="6"/>
    </row>
    <row r="6" spans="1:13" ht="35.1" customHeight="1" x14ac:dyDescent="0.25">
      <c r="A6" s="6" t="s">
        <v>90</v>
      </c>
      <c r="B6" s="6" t="s">
        <v>43</v>
      </c>
      <c r="C6" s="6" t="s">
        <v>33</v>
      </c>
      <c r="D6" s="6" t="s">
        <v>89</v>
      </c>
      <c r="E6" s="6"/>
      <c r="F6" s="6" t="s">
        <v>14</v>
      </c>
      <c r="G6" s="6" t="s">
        <v>15</v>
      </c>
      <c r="H6" s="8">
        <v>42973.440000000002</v>
      </c>
      <c r="I6" s="6" t="s">
        <v>88</v>
      </c>
      <c r="J6" s="6"/>
      <c r="K6" s="6" t="s">
        <v>87</v>
      </c>
      <c r="L6" s="6"/>
      <c r="M6" s="6"/>
    </row>
    <row r="7" spans="1:13" ht="35.1" customHeight="1" x14ac:dyDescent="0.25">
      <c r="A7" s="6" t="s">
        <v>86</v>
      </c>
      <c r="B7" s="6" t="s">
        <v>34</v>
      </c>
      <c r="C7" s="6" t="s">
        <v>33</v>
      </c>
      <c r="D7" s="6" t="s">
        <v>85</v>
      </c>
      <c r="E7" s="6"/>
      <c r="F7" s="6" t="s">
        <v>19</v>
      </c>
      <c r="G7" s="6" t="s">
        <v>15</v>
      </c>
      <c r="H7" s="8">
        <v>22248.880000000001</v>
      </c>
      <c r="I7" s="6" t="s">
        <v>84</v>
      </c>
      <c r="J7" s="6"/>
      <c r="K7" s="6" t="s">
        <v>83</v>
      </c>
      <c r="L7" s="6"/>
      <c r="M7" s="6"/>
    </row>
    <row r="8" spans="1:13" ht="35.1" customHeight="1" x14ac:dyDescent="0.25">
      <c r="A8" s="6" t="s">
        <v>82</v>
      </c>
      <c r="B8" s="6" t="s">
        <v>34</v>
      </c>
      <c r="C8" s="6" t="s">
        <v>33</v>
      </c>
      <c r="D8" s="6" t="s">
        <v>81</v>
      </c>
      <c r="E8" s="6" t="s">
        <v>80</v>
      </c>
      <c r="F8" s="6" t="s">
        <v>10</v>
      </c>
      <c r="G8" s="6" t="s">
        <v>11</v>
      </c>
      <c r="H8" s="8">
        <v>47611.44</v>
      </c>
      <c r="I8" s="6" t="s">
        <v>79</v>
      </c>
      <c r="J8" s="6"/>
      <c r="K8" s="6" t="s">
        <v>78</v>
      </c>
      <c r="L8" s="6" t="s">
        <v>77</v>
      </c>
      <c r="M8" s="6"/>
    </row>
    <row r="9" spans="1:13" ht="35.1" customHeight="1" x14ac:dyDescent="0.25">
      <c r="A9" s="6" t="s">
        <v>76</v>
      </c>
      <c r="B9" s="6" t="s">
        <v>34</v>
      </c>
      <c r="C9" s="6" t="s">
        <v>33</v>
      </c>
      <c r="D9" s="6" t="s">
        <v>75</v>
      </c>
      <c r="E9" s="6"/>
      <c r="F9" s="6" t="s">
        <v>22</v>
      </c>
      <c r="G9" s="6" t="s">
        <v>13</v>
      </c>
      <c r="H9" s="8">
        <v>31053.06</v>
      </c>
      <c r="I9" s="6" t="s">
        <v>74</v>
      </c>
      <c r="J9" s="6"/>
      <c r="K9" s="6" t="s">
        <v>73</v>
      </c>
      <c r="L9" s="6"/>
      <c r="M9" s="6"/>
    </row>
    <row r="10" spans="1:13" ht="35.1" customHeight="1" x14ac:dyDescent="0.25">
      <c r="A10" s="6" t="s">
        <v>72</v>
      </c>
      <c r="B10" s="6" t="s">
        <v>43</v>
      </c>
      <c r="C10" s="6" t="s">
        <v>71</v>
      </c>
      <c r="D10" s="6" t="s">
        <v>70</v>
      </c>
      <c r="E10" s="6"/>
      <c r="F10" s="6" t="s">
        <v>18</v>
      </c>
      <c r="G10" s="6" t="s">
        <v>13</v>
      </c>
      <c r="H10" s="8">
        <v>16378.44</v>
      </c>
      <c r="I10" s="6" t="s">
        <v>69</v>
      </c>
      <c r="J10" s="6"/>
      <c r="K10" s="6" t="s">
        <v>68</v>
      </c>
      <c r="L10" s="6"/>
      <c r="M10" s="6"/>
    </row>
    <row r="11" spans="1:13" ht="35.1" customHeight="1" x14ac:dyDescent="0.25">
      <c r="A11" s="6" t="s">
        <v>67</v>
      </c>
      <c r="B11" s="6" t="s">
        <v>43</v>
      </c>
      <c r="C11" s="6" t="s">
        <v>33</v>
      </c>
      <c r="D11" s="6" t="s">
        <v>66</v>
      </c>
      <c r="E11" s="6"/>
      <c r="F11" s="6" t="s">
        <v>20</v>
      </c>
      <c r="G11" s="6" t="s">
        <v>13</v>
      </c>
      <c r="H11" s="8">
        <v>49733.22</v>
      </c>
      <c r="I11" s="6" t="s">
        <v>65</v>
      </c>
      <c r="J11" s="6"/>
      <c r="K11" s="6" t="s">
        <v>64</v>
      </c>
      <c r="L11" s="6"/>
      <c r="M11" s="6"/>
    </row>
    <row r="12" spans="1:13" ht="35.1" customHeight="1" x14ac:dyDescent="0.25">
      <c r="A12" s="6" t="s">
        <v>63</v>
      </c>
      <c r="B12" s="6" t="s">
        <v>34</v>
      </c>
      <c r="C12" s="6" t="s">
        <v>33</v>
      </c>
      <c r="D12" s="6" t="s">
        <v>62</v>
      </c>
      <c r="E12" s="6" t="s">
        <v>61</v>
      </c>
      <c r="F12" s="6" t="s">
        <v>12</v>
      </c>
      <c r="G12" s="6" t="s">
        <v>13</v>
      </c>
      <c r="H12" s="8">
        <v>13144.44</v>
      </c>
      <c r="I12" s="6" t="s">
        <v>60</v>
      </c>
      <c r="J12" s="6" t="s">
        <v>59</v>
      </c>
      <c r="K12" s="6" t="s">
        <v>58</v>
      </c>
      <c r="L12" s="6" t="s">
        <v>57</v>
      </c>
      <c r="M12" s="6"/>
    </row>
    <row r="13" spans="1:13" ht="35.1" customHeight="1" x14ac:dyDescent="0.25">
      <c r="A13" s="6" t="s">
        <v>56</v>
      </c>
      <c r="B13" s="6" t="s">
        <v>43</v>
      </c>
      <c r="C13" s="6" t="s">
        <v>33</v>
      </c>
      <c r="D13" s="6" t="s">
        <v>55</v>
      </c>
      <c r="E13" s="6"/>
      <c r="F13" s="6" t="s">
        <v>17</v>
      </c>
      <c r="G13" s="6" t="s">
        <v>11</v>
      </c>
      <c r="H13" s="8">
        <v>10867.69</v>
      </c>
      <c r="I13" s="6" t="s">
        <v>54</v>
      </c>
      <c r="J13" s="6"/>
      <c r="K13" s="6" t="s">
        <v>53</v>
      </c>
      <c r="L13" s="6"/>
      <c r="M13" s="6"/>
    </row>
    <row r="14" spans="1:13" ht="35.1" customHeight="1" x14ac:dyDescent="0.25">
      <c r="A14" s="6" t="s">
        <v>52</v>
      </c>
      <c r="B14" s="6" t="s">
        <v>43</v>
      </c>
      <c r="C14" s="6" t="s">
        <v>33</v>
      </c>
      <c r="D14" s="6" t="s">
        <v>51</v>
      </c>
      <c r="E14" s="6"/>
      <c r="F14" s="6" t="s">
        <v>21</v>
      </c>
      <c r="G14" s="6" t="s">
        <v>11</v>
      </c>
      <c r="H14" s="8">
        <v>62449.01</v>
      </c>
      <c r="I14" s="6" t="s">
        <v>50</v>
      </c>
      <c r="J14" s="6"/>
      <c r="K14" s="6" t="s">
        <v>49</v>
      </c>
      <c r="L14" s="6"/>
      <c r="M14" s="6"/>
    </row>
    <row r="15" spans="1:13" ht="35.1" customHeight="1" x14ac:dyDescent="0.25">
      <c r="A15" s="6" t="s">
        <v>48</v>
      </c>
      <c r="B15" s="6" t="s">
        <v>34</v>
      </c>
      <c r="C15" s="6" t="s">
        <v>33</v>
      </c>
      <c r="D15" s="6" t="s">
        <v>47</v>
      </c>
      <c r="E15" s="6"/>
      <c r="F15" s="6" t="s">
        <v>19</v>
      </c>
      <c r="G15" s="6" t="s">
        <v>13</v>
      </c>
      <c r="H15" s="8">
        <v>17000.189999999999</v>
      </c>
      <c r="I15" s="6" t="s">
        <v>46</v>
      </c>
      <c r="J15" s="6"/>
      <c r="K15" s="6" t="s">
        <v>45</v>
      </c>
      <c r="L15" s="6"/>
      <c r="M15" s="6"/>
    </row>
    <row r="16" spans="1:13" ht="35.1" customHeight="1" x14ac:dyDescent="0.25">
      <c r="A16" s="6" t="s">
        <v>44</v>
      </c>
      <c r="B16" s="6" t="s">
        <v>43</v>
      </c>
      <c r="C16" s="6" t="s">
        <v>33</v>
      </c>
      <c r="D16" s="6" t="s">
        <v>42</v>
      </c>
      <c r="E16" s="6"/>
      <c r="F16" s="6" t="s">
        <v>24</v>
      </c>
      <c r="G16" s="6" t="s">
        <v>15</v>
      </c>
      <c r="H16" s="8">
        <v>15375.8</v>
      </c>
      <c r="I16" s="6" t="s">
        <v>41</v>
      </c>
      <c r="J16" s="6"/>
      <c r="K16" s="6" t="s">
        <v>40</v>
      </c>
      <c r="L16" s="6"/>
      <c r="M16" s="6"/>
    </row>
    <row r="17" spans="1:13" ht="35.1" customHeight="1" x14ac:dyDescent="0.25">
      <c r="A17" s="6" t="s">
        <v>39</v>
      </c>
      <c r="B17" s="6" t="s">
        <v>34</v>
      </c>
      <c r="C17" s="6" t="s">
        <v>33</v>
      </c>
      <c r="D17" s="6" t="s">
        <v>38</v>
      </c>
      <c r="E17" s="6"/>
      <c r="F17" s="6" t="s">
        <v>19</v>
      </c>
      <c r="G17" s="6" t="s">
        <v>13</v>
      </c>
      <c r="H17" s="8">
        <v>46874.77</v>
      </c>
      <c r="I17" s="6" t="s">
        <v>37</v>
      </c>
      <c r="J17" s="6"/>
      <c r="K17" s="6" t="s">
        <v>36</v>
      </c>
      <c r="L17" s="6"/>
      <c r="M17" s="6"/>
    </row>
    <row r="18" spans="1:13" ht="35.1" customHeight="1" x14ac:dyDescent="0.25">
      <c r="A18" s="6" t="s">
        <v>35</v>
      </c>
      <c r="B18" s="6" t="s">
        <v>34</v>
      </c>
      <c r="C18" s="6" t="s">
        <v>33</v>
      </c>
      <c r="D18" s="6" t="s">
        <v>32</v>
      </c>
      <c r="E18" s="6"/>
      <c r="F18" s="6" t="s">
        <v>23</v>
      </c>
      <c r="G18" s="6" t="s">
        <v>15</v>
      </c>
      <c r="H18" s="8">
        <v>31608.33</v>
      </c>
      <c r="I18" s="6" t="s">
        <v>31</v>
      </c>
      <c r="J18" s="6"/>
      <c r="K18" s="6" t="s">
        <v>30</v>
      </c>
      <c r="L18" s="6"/>
      <c r="M18" s="6"/>
    </row>
    <row r="19" spans="1:13" ht="35.1" customHeight="1" x14ac:dyDescent="0.25">
      <c r="A19" s="9"/>
      <c r="B19" s="9"/>
      <c r="C19" s="9"/>
      <c r="D19" s="9" t="s">
        <v>29</v>
      </c>
      <c r="E19" s="9"/>
      <c r="F19" s="9"/>
      <c r="G19" s="9"/>
      <c r="H19" s="10">
        <f>SUM(H4:H18)</f>
        <v>459223.97000000003</v>
      </c>
      <c r="I19" s="9"/>
      <c r="J19" s="9"/>
      <c r="K19" s="9"/>
      <c r="L19" s="9"/>
      <c r="M19" s="6"/>
    </row>
    <row r="20" spans="1:13" ht="35.1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35.1" customHeight="1" x14ac:dyDescent="0.25"/>
    <row r="22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C904-7775-4ED4-B5F2-484C928483AD}">
  <sheetPr>
    <pageSetUpPr fitToPage="1"/>
  </sheetPr>
  <dimension ref="A1:E29"/>
  <sheetViews>
    <sheetView workbookViewId="0">
      <pane ySplit="3" topLeftCell="A4" activePane="bottomLeft" state="frozen"/>
      <selection pane="bottomLeft" activeCell="E28" sqref="E28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2.5703125" style="5" bestFit="1" customWidth="1"/>
    <col min="4" max="4" width="20" style="5" bestFit="1" customWidth="1"/>
    <col min="5" max="5" width="32.42578125" style="5" bestFit="1" customWidth="1"/>
    <col min="6" max="16384" width="9.140625" style="5"/>
  </cols>
  <sheetData>
    <row r="1" spans="1:5" x14ac:dyDescent="0.25">
      <c r="A1" s="6"/>
      <c r="B1" s="6"/>
      <c r="C1" s="6" t="s">
        <v>3</v>
      </c>
      <c r="D1" s="7">
        <v>45880</v>
      </c>
      <c r="E1" s="6" t="s">
        <v>2</v>
      </c>
    </row>
    <row r="2" spans="1:5" x14ac:dyDescent="0.25">
      <c r="A2" s="14" t="s">
        <v>0</v>
      </c>
      <c r="B2" s="15"/>
      <c r="C2" s="15"/>
      <c r="D2" s="16" t="s">
        <v>114</v>
      </c>
      <c r="E2" s="15"/>
    </row>
    <row r="3" spans="1:5" x14ac:dyDescent="0.25">
      <c r="A3" s="6" t="s">
        <v>108</v>
      </c>
      <c r="B3" s="6" t="s">
        <v>106</v>
      </c>
      <c r="C3" s="6" t="s">
        <v>105</v>
      </c>
      <c r="D3" s="6" t="s">
        <v>104</v>
      </c>
      <c r="E3" s="6" t="s">
        <v>4</v>
      </c>
    </row>
    <row r="4" spans="1:5" x14ac:dyDescent="0.25">
      <c r="A4" s="6" t="s">
        <v>72</v>
      </c>
      <c r="B4" s="6" t="s">
        <v>71</v>
      </c>
      <c r="C4" s="6" t="s">
        <v>70</v>
      </c>
      <c r="D4" s="6"/>
      <c r="E4" s="6" t="s">
        <v>18</v>
      </c>
    </row>
    <row r="5" spans="1:5" x14ac:dyDescent="0.25">
      <c r="A5" s="9"/>
      <c r="B5" s="9"/>
      <c r="C5" s="9" t="s">
        <v>113</v>
      </c>
      <c r="D5" s="9"/>
      <c r="E5" s="9"/>
    </row>
    <row r="6" spans="1:5" x14ac:dyDescent="0.25">
      <c r="A6" s="6"/>
      <c r="B6" s="6"/>
      <c r="C6" s="6"/>
      <c r="D6" s="6"/>
      <c r="E6" s="6"/>
    </row>
    <row r="7" spans="1:5" x14ac:dyDescent="0.25">
      <c r="A7" s="6"/>
      <c r="B7" s="6"/>
      <c r="C7" s="6"/>
      <c r="D7" s="6"/>
      <c r="E7" s="6"/>
    </row>
    <row r="8" spans="1:5" x14ac:dyDescent="0.25">
      <c r="A8" s="6" t="s">
        <v>112</v>
      </c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 t="s">
        <v>111</v>
      </c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 t="s">
        <v>110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</sheetData>
  <mergeCells count="2">
    <mergeCell ref="A2:C2"/>
    <mergeCell ref="D2:E2"/>
  </mergeCells>
  <pageMargins left="0.7" right="0.7" top="0.75" bottom="0.75" header="0.3" footer="0.3"/>
  <pageSetup scale="8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2025-08-11T18:53:15Z</cp:lastPrinted>
  <dcterms:created xsi:type="dcterms:W3CDTF">2025-08-11T18:43:53Z</dcterms:created>
  <dcterms:modified xsi:type="dcterms:W3CDTF">2025-08-11T19:14:52Z</dcterms:modified>
</cp:coreProperties>
</file>