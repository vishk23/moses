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322916\Downloads\"/>
    </mc:Choice>
  </mc:AlternateContent>
  <xr:revisionPtr revIDLastSave="0" documentId="8_{DF8653AB-A33B-4514-B7B0-7E4A6A27A493}" xr6:coauthVersionLast="47" xr6:coauthVersionMax="47" xr10:uidLastSave="{00000000-0000-0000-0000-000000000000}"/>
  <bookViews>
    <workbookView xWindow="30360" yWindow="1560" windowWidth="17385" windowHeight="130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E16" i="2"/>
  <c r="F16" i="2"/>
  <c r="H16" i="2"/>
  <c r="H10" i="1" l="1"/>
</calcChain>
</file>

<file path=xl/sharedStrings.xml><?xml version="1.0" encoding="utf-8"?>
<sst xmlns="http://schemas.openxmlformats.org/spreadsheetml/2006/main" count="107" uniqueCount="67">
  <si>
    <t>Bristol County Savings Bank</t>
  </si>
  <si>
    <t>Funding Worksheet - Folder Version</t>
  </si>
  <si>
    <t>To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</si>
  <si>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</si>
  <si>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</si>
  <si>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</si>
  <si>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</si>
  <si>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</si>
  <si>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</si>
  <si>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</si>
  <si>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</si>
  <si>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</si>
  <si>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</si>
  <si>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</si>
  <si>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</si>
  <si>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</si>
  <si>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151140705</t>
  </si>
  <si>
    <t>DealerTrack</t>
  </si>
  <si>
    <t>Paper</t>
  </si>
  <si>
    <t>CONNOLLY, TYLER</t>
  </si>
  <si>
    <t>Planet Automotive Sales LLC</t>
  </si>
  <si>
    <t>Marlene Braganca</t>
  </si>
  <si>
    <t>CONNOLLYTYLER@YMAIL.COM</t>
  </si>
  <si>
    <t>HINES</t>
  </si>
  <si>
    <t>Route One</t>
  </si>
  <si>
    <t>E Contract</t>
  </si>
  <si>
    <t>SCHROEDER, HEIDI</t>
  </si>
  <si>
    <t>Salvadore Chrysler</t>
  </si>
  <si>
    <t>Neli Oliveira</t>
  </si>
  <si>
    <t>HEIDI@SCHROEDERCREW.COM</t>
  </si>
  <si>
    <t>O'BRIEN</t>
  </si>
  <si>
    <t>151140739</t>
  </si>
  <si>
    <t>KORAVOS, JILLIAN</t>
  </si>
  <si>
    <t>Volvo of Tiverton</t>
  </si>
  <si>
    <t>JILLIAN.KORAVOS@GMAIL.COM</t>
  </si>
  <si>
    <t>GEOFFROY</t>
  </si>
  <si>
    <t>FRANKLIN, JULIE</t>
  </si>
  <si>
    <t>Robertson's GMC Truck, Inc</t>
  </si>
  <si>
    <t>Rachel Gorham</t>
  </si>
  <si>
    <t>FUELED58@VERIZON.NET</t>
  </si>
  <si>
    <t>TASSINARI</t>
  </si>
  <si>
    <t>GARCIA MARTIN, ANGEL</t>
  </si>
  <si>
    <t>Herb Chambers Lincoln</t>
  </si>
  <si>
    <t>kelfox@me.com</t>
  </si>
  <si>
    <t>PLASENCIA</t>
  </si>
  <si>
    <t>KNOWLES, DANIEL</t>
  </si>
  <si>
    <t>Battles Nissan, LLC</t>
  </si>
  <si>
    <t>DAN@MEREDITHKNOWLES.COM</t>
  </si>
  <si>
    <t>SULLIVAN</t>
  </si>
  <si>
    <t># 6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</si>
  <si>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</si>
  <si>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</si>
  <si>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</si>
  <si>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</si>
  <si>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</si>
  <si>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</si>
  <si>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 2</t>
  </si>
  <si>
    <t>Original Notes Delivered</t>
  </si>
  <si>
    <t>Delivered by:</t>
  </si>
  <si>
    <t>Received by:</t>
  </si>
  <si>
    <t xml:space="preserve">Date signed: </t>
  </si>
  <si>
    <t>Column1</t>
  </si>
  <si>
    <t>Column2</t>
  </si>
  <si>
    <t>151140721 E</t>
  </si>
  <si>
    <t>151140755 E</t>
  </si>
  <si>
    <t>151140763 E</t>
  </si>
  <si>
    <t>151140771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</si>
</sst>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0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EB0D60-BA21-4CCF-8619-AC85242F80D4}" name="Table_14" displayName="Table_14" ref="A3:H16" headerRowDxfId="18" dataDxfId="16" totalsRowDxfId="17">
  <tableColumns count="8">
    <tableColumn id="1" xr3:uid="{9313A9B8-38EB-422F-9C03-0D60E48C90E4}" name="Dealer Name" dataDxfId="26"/>
    <tableColumn id="7" xr3:uid="{53F867C9-E339-4A28-8E3F-9449C1F54124}" name="Column1" dataDxfId="25"/>
    <tableColumn id="2" xr3:uid="{B6870160-50BD-4174-800C-0948AE60346B}" name="Funded by" dataDxfId="24"/>
    <tableColumn id="3" xr3:uid="{A4AFA942-32D5-4687-BA0E-AB5FBA4FA325}" name="Dealer Flat" dataDxfId="23"/>
    <tableColumn id="4" xr3:uid="{8F3AD09E-1DF4-4761-8DAC-36DAC6925731}" name="Dealer Split" dataDxfId="22"/>
    <tableColumn id="5" xr3:uid="{3AED6B24-D17F-4F7B-B1A8-4228F153EBB9}" name="Net to Dealer" dataDxfId="21"/>
    <tableColumn id="8" xr3:uid="{5A2D95F0-9159-41A4-BE65-4713AAA14DE1}" name="Column2" dataDxfId="20"/>
    <tableColumn id="6" xr3:uid="{CB1C212E-7AB9-4D09-A796-5C74DC55EAD3}" name="Contracted Amount Financed" dataDxfId="1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362D35-0E54-4CD1-A2AA-72F188E6F703}" name="Table_15" displayName="Table_15" ref="A3:E6">
  <tableColumns count="5">
    <tableColumn id="1" xr3:uid="{E2427A6E-3EF5-483A-918C-7FBA4F8446AD}" name="Account Number"/>
    <tableColumn id="2" xr3:uid="{AF051D95-B29D-491E-BB81-DD6CE6120041}" name="Contract Type"/>
    <tableColumn id="3" xr3:uid="{358779BA-678F-40BC-A6AD-E25906A593AB}" name="Applicant Name"/>
    <tableColumn id="4" xr3:uid="{F7F0BA36-2CD8-46F0-9EE9-4E9FA77E79B7}" name="Co-Applicant Name"/>
    <tableColumn id="5" xr3:uid="{02996922-1571-4F74-8E52-FFA1B525D022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"/>
  <sheetViews>
    <sheetView tabSelected="1" workbookViewId="0">
      <pane ySplit="3" topLeftCell="A4" activePane="bottomLeft" state="frozen"/>
      <selection pane="bottomLeft" activeCell="G16" sqref="G16"/>
    </sheetView>
  </sheetViews>
  <sheetFormatPr defaultRowHeight="15.75" x14ac:dyDescent="0.25"/>
  <cols>
    <col min="1" max="1" width="14.7109375" style="8" customWidth="1"/>
    <col min="2" max="2" width="12.140625" style="8" bestFit="1" customWidth="1"/>
    <col min="3" max="3" width="11.140625" style="8" customWidth="1"/>
    <col min="4" max="4" width="23.140625" style="8" bestFit="1" customWidth="1"/>
    <col min="5" max="5" width="5.140625" style="8" customWidth="1"/>
    <col min="6" max="6" width="25.42578125" style="8" customWidth="1"/>
    <col min="7" max="7" width="17.7109375" style="8" bestFit="1" customWidth="1"/>
    <col min="8" max="8" width="17.140625" style="8" bestFit="1" customWidth="1"/>
    <col min="9" max="9" width="30.5703125" style="8" bestFit="1" customWidth="1"/>
    <col min="10" max="10" width="5.5703125" style="8" customWidth="1"/>
    <col min="11" max="11" width="16.7109375" style="8" bestFit="1" customWidth="1"/>
    <col min="12" max="12" width="12.85546875" style="8" hidden="1" customWidth="1"/>
    <col min="13" max="13" width="16.7109375" style="8" hidden="1" customWidth="1"/>
    <col min="14" max="16384" width="9.140625" style="8"/>
  </cols>
  <sheetData>
    <row r="1" spans="1:13" x14ac:dyDescent="0.25">
      <c r="K1" s="9">
        <v>45678</v>
      </c>
      <c r="L1" s="8" t="s">
        <v>2</v>
      </c>
      <c r="M1" s="9">
        <v>45678.999988425923</v>
      </c>
    </row>
    <row r="2" spans="1:13" x14ac:dyDescent="0.25">
      <c r="A2" s="10" t="s">
        <v>0</v>
      </c>
      <c r="B2" s="11"/>
      <c r="C2" s="11"/>
      <c r="D2" s="11"/>
      <c r="E2" s="11"/>
      <c r="F2" s="11"/>
      <c r="G2" s="12" t="s">
        <v>1</v>
      </c>
      <c r="H2" s="11"/>
      <c r="I2" s="11"/>
      <c r="J2" s="11"/>
      <c r="K2" s="11"/>
      <c r="L2" s="11"/>
      <c r="M2" s="11"/>
    </row>
    <row r="3" spans="1:13" x14ac:dyDescent="0.25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</row>
    <row r="4" spans="1:13" ht="30" customHeight="1" x14ac:dyDescent="0.25">
      <c r="A4" s="8" t="s">
        <v>16</v>
      </c>
      <c r="B4" s="8" t="s">
        <v>17</v>
      </c>
      <c r="C4" s="8" t="s">
        <v>18</v>
      </c>
      <c r="D4" s="8" t="s">
        <v>19</v>
      </c>
      <c r="F4" s="8" t="s">
        <v>20</v>
      </c>
      <c r="G4" s="8" t="s">
        <v>21</v>
      </c>
      <c r="H4" s="13">
        <v>21369.58</v>
      </c>
      <c r="I4" s="8" t="s">
        <v>22</v>
      </c>
      <c r="K4" s="8" t="s">
        <v>23</v>
      </c>
    </row>
    <row r="5" spans="1:13" ht="30" customHeight="1" x14ac:dyDescent="0.25">
      <c r="A5" s="8" t="s">
        <v>63</v>
      </c>
      <c r="B5" s="8" t="s">
        <v>24</v>
      </c>
      <c r="C5" s="8" t="s">
        <v>25</v>
      </c>
      <c r="D5" s="8" t="s">
        <v>26</v>
      </c>
      <c r="F5" s="8" t="s">
        <v>27</v>
      </c>
      <c r="G5" s="8" t="s">
        <v>28</v>
      </c>
      <c r="H5" s="13">
        <v>26314</v>
      </c>
      <c r="I5" s="8" t="s">
        <v>29</v>
      </c>
      <c r="K5" s="8" t="s">
        <v>30</v>
      </c>
    </row>
    <row r="6" spans="1:13" ht="30" customHeight="1" x14ac:dyDescent="0.25">
      <c r="A6" s="8" t="s">
        <v>31</v>
      </c>
      <c r="B6" s="8" t="s">
        <v>17</v>
      </c>
      <c r="C6" s="8" t="s">
        <v>18</v>
      </c>
      <c r="D6" s="8" t="s">
        <v>32</v>
      </c>
      <c r="F6" s="8" t="s">
        <v>33</v>
      </c>
      <c r="G6" s="8" t="s">
        <v>28</v>
      </c>
      <c r="H6" s="13">
        <v>25341.26</v>
      </c>
      <c r="I6" s="8" t="s">
        <v>34</v>
      </c>
      <c r="K6" s="8" t="s">
        <v>35</v>
      </c>
    </row>
    <row r="7" spans="1:13" ht="30" customHeight="1" x14ac:dyDescent="0.25">
      <c r="A7" s="8" t="s">
        <v>64</v>
      </c>
      <c r="B7" s="8" t="s">
        <v>17</v>
      </c>
      <c r="C7" s="8" t="s">
        <v>25</v>
      </c>
      <c r="D7" s="8" t="s">
        <v>36</v>
      </c>
      <c r="F7" s="8" t="s">
        <v>37</v>
      </c>
      <c r="G7" s="8" t="s">
        <v>38</v>
      </c>
      <c r="H7" s="13">
        <v>50041.69</v>
      </c>
      <c r="I7" s="8" t="s">
        <v>39</v>
      </c>
      <c r="K7" s="8" t="s">
        <v>40</v>
      </c>
    </row>
    <row r="8" spans="1:13" ht="30" customHeight="1" x14ac:dyDescent="0.25">
      <c r="A8" s="8" t="s">
        <v>65</v>
      </c>
      <c r="B8" s="8" t="s">
        <v>24</v>
      </c>
      <c r="C8" s="8" t="s">
        <v>25</v>
      </c>
      <c r="D8" s="8" t="s">
        <v>41</v>
      </c>
      <c r="F8" s="8" t="s">
        <v>42</v>
      </c>
      <c r="G8" s="8" t="s">
        <v>38</v>
      </c>
      <c r="H8" s="13">
        <v>30100.880000000001</v>
      </c>
      <c r="I8" s="8" t="s">
        <v>43</v>
      </c>
      <c r="K8" s="8" t="s">
        <v>44</v>
      </c>
    </row>
    <row r="9" spans="1:13" ht="30" customHeight="1" x14ac:dyDescent="0.25">
      <c r="A9" s="8" t="s">
        <v>66</v>
      </c>
      <c r="B9" s="8" t="s">
        <v>17</v>
      </c>
      <c r="C9" s="8" t="s">
        <v>25</v>
      </c>
      <c r="D9" s="8" t="s">
        <v>45</v>
      </c>
      <c r="F9" s="8" t="s">
        <v>46</v>
      </c>
      <c r="G9" s="8" t="s">
        <v>38</v>
      </c>
      <c r="H9" s="13">
        <v>19893.38</v>
      </c>
      <c r="I9" s="8" t="s">
        <v>47</v>
      </c>
      <c r="K9" s="8" t="s">
        <v>48</v>
      </c>
    </row>
    <row r="10" spans="1:13" x14ac:dyDescent="0.25">
      <c r="A10" s="15"/>
      <c r="B10" s="15"/>
      <c r="C10" s="15"/>
      <c r="D10" s="15" t="s">
        <v>49</v>
      </c>
      <c r="E10" s="15"/>
      <c r="F10" s="15"/>
      <c r="G10" s="15"/>
      <c r="H10" s="16">
        <f>SUM(H4:H9)</f>
        <v>173060.79</v>
      </c>
      <c r="I10" s="15"/>
      <c r="J10" s="15"/>
      <c r="K10" s="15"/>
      <c r="L10" s="15"/>
      <c r="M10" s="15"/>
    </row>
  </sheetData>
  <mergeCells count="2">
    <mergeCell ref="A2:F2"/>
    <mergeCell ref="G2:M2"/>
  </mergeCells>
  <pageMargins left="0.7" right="0.7" top="0.75" bottom="0.75" header="0.3" footer="0.3"/>
  <pageSetup paperSize="5" scale="8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EA21-3168-450B-B497-C8C57B07A91B}">
  <sheetPr>
    <pageSetUpPr fitToPage="1"/>
  </sheetPr>
  <dimension ref="A1:H16"/>
  <sheetViews>
    <sheetView workbookViewId="0">
      <selection activeCell="I8" sqref="I8"/>
    </sheetView>
  </sheetViews>
  <sheetFormatPr defaultRowHeight="15.75" x14ac:dyDescent="0.25"/>
  <cols>
    <col min="1" max="1" width="25.5703125" style="8" customWidth="1"/>
    <col min="2" max="2" width="11.28515625" style="8" customWidth="1"/>
    <col min="3" max="3" width="15.7109375" style="8" customWidth="1"/>
    <col min="4" max="4" width="13.7109375" style="8" customWidth="1"/>
    <col min="5" max="5" width="13.85546875" style="8" customWidth="1"/>
    <col min="6" max="6" width="17.42578125" style="8" customWidth="1"/>
    <col min="7" max="7" width="12.5703125" style="8" customWidth="1"/>
    <col min="8" max="8" width="16.85546875" style="8" customWidth="1"/>
    <col min="9" max="16384" width="9.140625" style="8"/>
  </cols>
  <sheetData>
    <row r="1" spans="1:8" x14ac:dyDescent="0.25">
      <c r="E1" s="9"/>
      <c r="H1" s="9">
        <v>45678.999988425923</v>
      </c>
    </row>
    <row r="2" spans="1:8" x14ac:dyDescent="0.25">
      <c r="A2" s="10" t="s">
        <v>0</v>
      </c>
      <c r="B2" s="10"/>
      <c r="C2" s="11"/>
      <c r="D2" s="11"/>
      <c r="E2" s="12" t="s">
        <v>50</v>
      </c>
      <c r="F2" s="11"/>
      <c r="G2" s="11"/>
      <c r="H2" s="11"/>
    </row>
    <row r="3" spans="1:8" x14ac:dyDescent="0.25">
      <c r="A3" s="8" t="s">
        <v>8</v>
      </c>
      <c r="B3" s="8" t="s">
        <v>61</v>
      </c>
      <c r="C3" s="8" t="s">
        <v>9</v>
      </c>
      <c r="D3" s="8" t="s">
        <v>51</v>
      </c>
      <c r="E3" s="8" t="s">
        <v>52</v>
      </c>
      <c r="F3" s="8" t="s">
        <v>53</v>
      </c>
      <c r="G3" s="8" t="s">
        <v>62</v>
      </c>
      <c r="H3" s="8" t="s">
        <v>54</v>
      </c>
    </row>
    <row r="4" spans="1:8" ht="27" customHeight="1" x14ac:dyDescent="0.25">
      <c r="A4" s="8" t="s">
        <v>46</v>
      </c>
      <c r="C4" s="8" t="s">
        <v>38</v>
      </c>
      <c r="D4" s="13">
        <v>350</v>
      </c>
      <c r="E4" s="13">
        <v>0</v>
      </c>
      <c r="F4" s="14">
        <v>19818.38</v>
      </c>
      <c r="G4" s="13"/>
      <c r="H4" s="13">
        <v>19893.38</v>
      </c>
    </row>
    <row r="5" spans="1:8" ht="27" customHeight="1" x14ac:dyDescent="0.25">
      <c r="D5" s="13"/>
      <c r="E5" s="13"/>
      <c r="F5" s="14"/>
      <c r="G5" s="13"/>
      <c r="H5" s="13"/>
    </row>
    <row r="6" spans="1:8" ht="27" customHeight="1" x14ac:dyDescent="0.25">
      <c r="A6" s="8" t="s">
        <v>42</v>
      </c>
      <c r="C6" s="8" t="s">
        <v>38</v>
      </c>
      <c r="D6" s="13">
        <v>600</v>
      </c>
      <c r="E6" s="13">
        <v>0</v>
      </c>
      <c r="F6" s="14">
        <v>30025.88</v>
      </c>
      <c r="G6" s="13"/>
      <c r="H6" s="13">
        <v>30100.880000000001</v>
      </c>
    </row>
    <row r="7" spans="1:8" ht="27" customHeight="1" x14ac:dyDescent="0.25">
      <c r="D7" s="13"/>
      <c r="E7" s="13"/>
      <c r="F7" s="14"/>
      <c r="G7" s="13"/>
      <c r="H7" s="13"/>
    </row>
    <row r="8" spans="1:8" ht="27" customHeight="1" x14ac:dyDescent="0.25">
      <c r="A8" s="8" t="s">
        <v>20</v>
      </c>
      <c r="C8" s="8" t="s">
        <v>21</v>
      </c>
      <c r="D8" s="13">
        <v>450</v>
      </c>
      <c r="E8" s="13">
        <v>0</v>
      </c>
      <c r="F8" s="14">
        <v>21294.58</v>
      </c>
      <c r="G8" s="13"/>
      <c r="H8" s="13">
        <v>21369.58</v>
      </c>
    </row>
    <row r="9" spans="1:8" ht="27" customHeight="1" x14ac:dyDescent="0.25">
      <c r="D9" s="13"/>
      <c r="E9" s="13"/>
      <c r="F9" s="14"/>
      <c r="G9" s="13"/>
      <c r="H9" s="13"/>
    </row>
    <row r="10" spans="1:8" ht="27" customHeight="1" x14ac:dyDescent="0.25">
      <c r="A10" s="8" t="s">
        <v>37</v>
      </c>
      <c r="C10" s="8" t="s">
        <v>38</v>
      </c>
      <c r="D10" s="13">
        <v>1000</v>
      </c>
      <c r="E10" s="13">
        <v>0</v>
      </c>
      <c r="F10" s="14">
        <v>49966.69</v>
      </c>
      <c r="G10" s="13"/>
      <c r="H10" s="13">
        <v>50041.69</v>
      </c>
    </row>
    <row r="11" spans="1:8" ht="27" customHeight="1" x14ac:dyDescent="0.25">
      <c r="D11" s="13"/>
      <c r="E11" s="13"/>
      <c r="F11" s="14"/>
      <c r="G11" s="13"/>
      <c r="H11" s="13"/>
    </row>
    <row r="12" spans="1:8" ht="27" customHeight="1" x14ac:dyDescent="0.25">
      <c r="A12" s="8" t="s">
        <v>27</v>
      </c>
      <c r="C12" s="8" t="s">
        <v>28</v>
      </c>
      <c r="D12" s="13">
        <v>500</v>
      </c>
      <c r="E12" s="13">
        <v>0</v>
      </c>
      <c r="F12" s="14">
        <v>26239</v>
      </c>
      <c r="G12" s="13"/>
      <c r="H12" s="13">
        <v>26314</v>
      </c>
    </row>
    <row r="13" spans="1:8" ht="27" customHeight="1" x14ac:dyDescent="0.25">
      <c r="D13" s="13"/>
      <c r="E13" s="13"/>
      <c r="F13" s="14"/>
      <c r="G13" s="13"/>
      <c r="H13" s="13"/>
    </row>
    <row r="14" spans="1:8" ht="27" customHeight="1" x14ac:dyDescent="0.25">
      <c r="A14" s="8" t="s">
        <v>33</v>
      </c>
      <c r="C14" s="8" t="s">
        <v>28</v>
      </c>
      <c r="D14" s="13">
        <v>500</v>
      </c>
      <c r="E14" s="13">
        <v>0</v>
      </c>
      <c r="F14" s="14">
        <v>25266.26</v>
      </c>
      <c r="G14" s="13"/>
      <c r="H14" s="13">
        <v>25341.26</v>
      </c>
    </row>
    <row r="15" spans="1:8" ht="15.75" customHeight="1" x14ac:dyDescent="0.25">
      <c r="D15" s="13"/>
      <c r="E15" s="13"/>
      <c r="F15" s="13"/>
      <c r="G15" s="13"/>
      <c r="H15" s="13"/>
    </row>
    <row r="16" spans="1:8" x14ac:dyDescent="0.25">
      <c r="A16" s="15"/>
      <c r="B16" s="15"/>
      <c r="C16" s="15"/>
      <c r="D16" s="16">
        <f>SUM(D4:D14)</f>
        <v>3400</v>
      </c>
      <c r="E16" s="16">
        <f>SUM(E4:E14)</f>
        <v>0</v>
      </c>
      <c r="F16" s="16">
        <f>SUM(F4:F14)</f>
        <v>172610.79</v>
      </c>
      <c r="G16" s="16"/>
      <c r="H16" s="16">
        <f>SUM(H4:H14)</f>
        <v>173060.79</v>
      </c>
    </row>
  </sheetData>
  <mergeCells count="2">
    <mergeCell ref="A2:D2"/>
    <mergeCell ref="E2:H2"/>
  </mergeCells>
  <pageMargins left="0.7" right="0.7" top="0.75" bottom="0.75" header="0.3" footer="0.3"/>
  <pageSetup scale="8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15BA-3AC0-4221-9718-4875B5043446}">
  <sheetPr>
    <pageSetUpPr fitToPage="1"/>
  </sheetPr>
  <dimension ref="A1:E22"/>
  <sheetViews>
    <sheetView workbookViewId="0">
      <selection activeCell="E15" sqref="E15"/>
    </sheetView>
  </sheetViews>
  <sheetFormatPr defaultRowHeight="15" x14ac:dyDescent="0.25"/>
  <cols>
    <col min="1" max="1" width="12.140625" customWidth="1"/>
    <col min="2" max="2" width="13.85546875" customWidth="1"/>
    <col min="3" max="3" width="18.28515625" customWidth="1"/>
    <col min="4" max="4" width="11" customWidth="1"/>
    <col min="5" max="5" width="25.42578125" customWidth="1"/>
  </cols>
  <sheetData>
    <row r="1" spans="1:5" ht="24.95" customHeight="1" x14ac:dyDescent="0.25">
      <c r="A1" t="s">
        <v>57</v>
      </c>
      <c r="D1" s="2"/>
      <c r="E1" s="6">
        <v>45678</v>
      </c>
    </row>
    <row r="2" spans="1:5" ht="24.95" customHeight="1" x14ac:dyDescent="0.25">
      <c r="A2" s="3" t="s">
        <v>0</v>
      </c>
      <c r="B2" s="4"/>
      <c r="C2" s="4"/>
      <c r="D2" s="5" t="s">
        <v>55</v>
      </c>
      <c r="E2" s="4"/>
    </row>
    <row r="3" spans="1:5" ht="24.95" customHeight="1" x14ac:dyDescent="0.25">
      <c r="A3" t="s">
        <v>3</v>
      </c>
      <c r="B3" t="s">
        <v>5</v>
      </c>
      <c r="C3" t="s">
        <v>6</v>
      </c>
      <c r="D3" t="s">
        <v>7</v>
      </c>
      <c r="E3" t="s">
        <v>8</v>
      </c>
    </row>
    <row r="4" spans="1:5" ht="24.95" customHeight="1" x14ac:dyDescent="0.25">
      <c r="A4" t="s">
        <v>16</v>
      </c>
      <c r="B4" t="s">
        <v>18</v>
      </c>
      <c r="C4" t="s">
        <v>19</v>
      </c>
      <c r="E4" t="s">
        <v>20</v>
      </c>
    </row>
    <row r="5" spans="1:5" ht="24.95" customHeight="1" x14ac:dyDescent="0.25">
      <c r="A5" t="s">
        <v>31</v>
      </c>
      <c r="B5" t="s">
        <v>18</v>
      </c>
      <c r="C5" t="s">
        <v>32</v>
      </c>
      <c r="E5" t="s">
        <v>33</v>
      </c>
    </row>
    <row r="6" spans="1:5" ht="24.95" customHeight="1" x14ac:dyDescent="0.25">
      <c r="A6" s="1"/>
      <c r="B6" s="1"/>
      <c r="C6" s="1" t="s">
        <v>56</v>
      </c>
      <c r="D6" s="1"/>
      <c r="E6" s="1"/>
    </row>
    <row r="12" spans="1:5" x14ac:dyDescent="0.25">
      <c r="A12" t="s">
        <v>58</v>
      </c>
      <c r="B12" s="7"/>
      <c r="C12" s="7"/>
      <c r="D12" s="7"/>
    </row>
    <row r="17" spans="1:4" x14ac:dyDescent="0.25">
      <c r="A17" t="s">
        <v>59</v>
      </c>
      <c r="B17" s="7"/>
      <c r="C17" s="7"/>
      <c r="D17" s="7"/>
    </row>
    <row r="22" spans="1:4" x14ac:dyDescent="0.25">
      <c r="A22" t="s">
        <v>60</v>
      </c>
      <c r="B22" s="7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2025-01-21T18:53:04Z</cp:lastPrinted>
  <dcterms:created xsi:type="dcterms:W3CDTF">2025-01-21T18:35:55Z</dcterms:created>
  <dcterms:modified xsi:type="dcterms:W3CDTF">2025-01-21T19:52:23Z</dcterms:modified>
</cp:coreProperties>
</file>