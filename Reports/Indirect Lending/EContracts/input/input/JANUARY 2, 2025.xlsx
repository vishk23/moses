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03960F1C-9C5D-4D09-8B62-1AE923D0BDA0}" xr6:coauthVersionLast="47" xr6:coauthVersionMax="47" xr10:uidLastSave="{00000000-0000-0000-0000-000000000000}"/>
  <bookViews>
    <workbookView xWindow="31440" yWindow="690" windowWidth="22545" windowHeight="1483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definedNames>
    <definedName name="_xlnm.Print_Area" localSheetId="2">'Original Note Log'!$A$1:$G$22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H21" i="2"/>
  <c r="F21" i="2"/>
  <c r="E21" i="2"/>
  <c r="D21" i="2"/>
  <c r="H13" i="1"/>
</calcChain>
</file>

<file path=xl/sharedStrings.xml><?xml version="1.0" encoding="utf-8"?>
<sst xmlns="http://schemas.openxmlformats.org/spreadsheetml/2006/main" count="137" uniqueCount="81">
  <si>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</si>
  <si>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</si>
  <si>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</si>
  <si>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</si>
  <si>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</si>
  <si>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</si>
  <si>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</si>
  <si>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</si>
  <si>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</si>
  <si>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</si>
  <si>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</si>
  <si>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</si>
  <si>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</si>
  <si>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</si>
  <si>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</si>
  <si>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</si>
  <si>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</si>
  <si>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MARANDOLA, KENNETH</t>
  </si>
  <si>
    <t>Viti Mercedes</t>
  </si>
  <si>
    <t>Marlene Braganca</t>
  </si>
  <si>
    <t>KENM122@VERIZON.NET</t>
  </si>
  <si>
    <t>Mallozzi</t>
  </si>
  <si>
    <t>WOLCOTT, WAYNE</t>
  </si>
  <si>
    <t>Robertson's GMC Truck, Inc</t>
  </si>
  <si>
    <t>Neli Oliveira</t>
  </si>
  <si>
    <t>WONDERWAYNE75@AOL.COM</t>
  </si>
  <si>
    <t>ATWOOD</t>
  </si>
  <si>
    <t>RITCHEY, MADISON</t>
  </si>
  <si>
    <t>Rachel Gorham</t>
  </si>
  <si>
    <t>MADISON.DEY.RITCHEY@GMAIL.COM</t>
  </si>
  <si>
    <t>DEY</t>
  </si>
  <si>
    <t>BEALS, ALLISON</t>
  </si>
  <si>
    <t>MAHONY, GREGORY</t>
  </si>
  <si>
    <t>Planet Subaru</t>
  </si>
  <si>
    <t>GM146@AOL.COM</t>
  </si>
  <si>
    <t>RUCKDESCHEL</t>
  </si>
  <si>
    <t>CANTON</t>
  </si>
  <si>
    <t>151132976</t>
  </si>
  <si>
    <t>Route One</t>
  </si>
  <si>
    <t>Paper</t>
  </si>
  <si>
    <t>Arienti, Gabriele</t>
  </si>
  <si>
    <t>T F Murphy Enterprises Inc</t>
  </si>
  <si>
    <t>garienti74@gmail.com</t>
  </si>
  <si>
    <t>RISPOLI</t>
  </si>
  <si>
    <t>BONANNI, PAIGE</t>
  </si>
  <si>
    <t>Coastal Volkswagon</t>
  </si>
  <si>
    <t>BONANNIPAIGE@YAHOO.COM</t>
  </si>
  <si>
    <t>BONANNI</t>
  </si>
  <si>
    <t>TINO, EDUARDO</t>
  </si>
  <si>
    <t>Grieco Toyota</t>
  </si>
  <si>
    <t>eduardotinomiel@gmail.com</t>
  </si>
  <si>
    <t>Carrillo</t>
  </si>
  <si>
    <t>MOSCOSO SOTO, EDIN</t>
  </si>
  <si>
    <t>Metro Honda</t>
  </si>
  <si>
    <t>GINO</t>
  </si>
  <si>
    <t>151133081</t>
  </si>
  <si>
    <t>LUNDRIGAN, CLARENA</t>
  </si>
  <si>
    <t>Lucchettis Service Center Inc</t>
  </si>
  <si>
    <t>aiello.clare@yahoo.com</t>
  </si>
  <si>
    <t>RINKER</t>
  </si>
  <si>
    <t># 9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</si>
  <si>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</si>
  <si>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</si>
  <si>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</si>
  <si>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</si>
  <si>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</si>
  <si>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</si>
  <si>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</si>
  <si>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151132877 E</t>
  </si>
  <si>
    <t>151132934 E</t>
  </si>
  <si>
    <t>151132950 E</t>
  </si>
  <si>
    <t>151132968 E</t>
  </si>
  <si>
    <t>151133007 E</t>
  </si>
  <si>
    <t>151133057 E</t>
  </si>
  <si>
    <t>151133073 E</t>
  </si>
  <si>
    <t>Funding Worksheet - Signoff Version</t>
  </si>
  <si>
    <t># 2</t>
  </si>
  <si>
    <t>Original Notes Delivered</t>
  </si>
  <si>
    <t>Delivered by:</t>
  </si>
  <si>
    <t>Received by:</t>
  </si>
  <si>
    <t xml:space="preserve">Date Signed: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</si>
</sst>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7" fontId="2" fillId="0" borderId="0" xfId="0" applyNumberFormat="1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right"/>
    </xf>
    <xf numFmtId="7" fontId="3" fillId="0" borderId="0" xfId="0" applyNumberFormat="1" applyFont="1"/>
    <xf numFmtId="0" fontId="5" fillId="0" borderId="0" xfId="0" applyFont="1"/>
    <xf numFmtId="7" fontId="5" fillId="0" borderId="0" xfId="0" applyNumberFormat="1" applyFont="1"/>
    <xf numFmtId="0" fontId="0" fillId="0" borderId="1" xfId="0" applyBorder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3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8FF307-70AA-473C-9371-FBDE1517174E}" name="Table_14" displayName="Table_14" ref="A3:H21">
  <tableColumns count="8">
    <tableColumn id="1" xr3:uid="{28D7457C-6821-4028-82A5-060C15A68817}" name="Dealer Name"/>
    <tableColumn id="8" xr3:uid="{30A8FD5A-BBEC-468F-A116-970513A02719}" name="Column2"/>
    <tableColumn id="2" xr3:uid="{244483E1-7AF9-4B64-9956-D3922F7C858B}" name="Funded by"/>
    <tableColumn id="3" xr3:uid="{678E1578-9D9F-4B31-BB23-F7FB189539BA}" name="Dealer Flat"/>
    <tableColumn id="4" xr3:uid="{EE6847CD-1527-4578-92BD-749AAA67E72B}" name="Dealer Split"/>
    <tableColumn id="5" xr3:uid="{9E60768B-2952-430E-855C-93BF342E90EB}" name="Net to Dealer"/>
    <tableColumn id="7" xr3:uid="{EAC5916A-A504-447E-BF91-8E955AC796EA}" name="Column1" dataDxfId="15"/>
    <tableColumn id="6" xr3:uid="{7707663D-0FCD-465B-95F5-6D42F765810E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B47FAE-9658-4F47-8381-3129CD341ADB}" name="Table_16" displayName="Table_16" ref="A3:F7">
  <tableColumns count="6">
    <tableColumn id="1" xr3:uid="{D9D7A01C-BC28-4B67-B647-57459EE5AE58}" name="Account Number"/>
    <tableColumn id="2" xr3:uid="{42A03C64-E189-469F-9517-57EA5AA79478}" name="Contract Type"/>
    <tableColumn id="3" xr3:uid="{462F3A79-960A-4AFD-883D-B1124F899635}" name="Applicant Name"/>
    <tableColumn id="4" xr3:uid="{02686D08-A75F-4421-9710-479AAA2BA1E8}" name="Co-Applicant Name"/>
    <tableColumn id="5" xr3:uid="{77FC6BB8-511A-45F9-9DF2-7081AA3C8DB0}" name="Dealer Name"/>
    <tableColumn id="6" xr3:uid="{B793C7B4-840C-4502-956B-A8052B098E0F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"/>
  <sheetViews>
    <sheetView tabSelected="1" workbookViewId="0">
      <pane ySplit="3" topLeftCell="A4" activePane="bottomLeft" state="frozen"/>
      <selection pane="bottomLeft" activeCell="C12" sqref="C12"/>
    </sheetView>
  </sheetViews>
  <sheetFormatPr defaultRowHeight="15.75" x14ac:dyDescent="0.25"/>
  <cols>
    <col min="1" max="1" width="12.42578125" style="10" customWidth="1"/>
    <col min="2" max="2" width="12.140625" style="10" bestFit="1" customWidth="1"/>
    <col min="3" max="3" width="11.7109375" style="10" customWidth="1"/>
    <col min="4" max="4" width="22.85546875" style="10" bestFit="1" customWidth="1"/>
    <col min="5" max="5" width="18.28515625" style="10" customWidth="1"/>
    <col min="6" max="6" width="23.28515625" style="10" customWidth="1"/>
    <col min="7" max="7" width="17.7109375" style="10" bestFit="1" customWidth="1"/>
    <col min="8" max="8" width="17.140625" style="10" bestFit="1" customWidth="1"/>
    <col min="9" max="9" width="33" style="10" customWidth="1"/>
    <col min="10" max="10" width="3.7109375" style="10" customWidth="1"/>
    <col min="11" max="11" width="15.5703125" style="10" bestFit="1" customWidth="1"/>
    <col min="12" max="12" width="12.85546875" style="10" bestFit="1" customWidth="1"/>
    <col min="13" max="16384" width="9.140625" style="10"/>
  </cols>
  <sheetData>
    <row r="1" spans="1:12" x14ac:dyDescent="0.25">
      <c r="K1" s="11">
        <v>45659</v>
      </c>
      <c r="L1" s="12"/>
    </row>
    <row r="2" spans="1:12" x14ac:dyDescent="0.25">
      <c r="A2" s="13" t="s">
        <v>0</v>
      </c>
      <c r="B2" s="14"/>
      <c r="C2" s="14"/>
      <c r="D2" s="14"/>
      <c r="E2" s="14"/>
      <c r="F2" s="14"/>
      <c r="G2" s="15" t="s">
        <v>1</v>
      </c>
      <c r="H2" s="14"/>
      <c r="I2" s="14"/>
      <c r="J2" s="14"/>
      <c r="K2" s="14"/>
      <c r="L2" s="14"/>
    </row>
    <row r="3" spans="1:12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</row>
    <row r="4" spans="1:12" ht="30" customHeight="1" x14ac:dyDescent="0.25">
      <c r="A4" s="10" t="s">
        <v>68</v>
      </c>
      <c r="B4" s="10" t="s">
        <v>15</v>
      </c>
      <c r="C4" s="10" t="s">
        <v>16</v>
      </c>
      <c r="D4" s="10" t="s">
        <v>17</v>
      </c>
      <c r="F4" s="10" t="s">
        <v>18</v>
      </c>
      <c r="G4" s="10" t="s">
        <v>19</v>
      </c>
      <c r="H4" s="16">
        <v>76009.399999999994</v>
      </c>
      <c r="I4" s="10" t="s">
        <v>20</v>
      </c>
      <c r="K4" s="10" t="s">
        <v>21</v>
      </c>
    </row>
    <row r="5" spans="1:12" ht="30" customHeight="1" x14ac:dyDescent="0.25">
      <c r="A5" s="10" t="s">
        <v>69</v>
      </c>
      <c r="B5" s="10" t="s">
        <v>15</v>
      </c>
      <c r="C5" s="10" t="s">
        <v>16</v>
      </c>
      <c r="D5" s="10" t="s">
        <v>22</v>
      </c>
      <c r="F5" s="10" t="s">
        <v>23</v>
      </c>
      <c r="G5" s="10" t="s">
        <v>24</v>
      </c>
      <c r="H5" s="16">
        <v>29815.19</v>
      </c>
      <c r="I5" s="10" t="s">
        <v>25</v>
      </c>
      <c r="K5" s="10" t="s">
        <v>26</v>
      </c>
    </row>
    <row r="6" spans="1:12" ht="30" customHeight="1" x14ac:dyDescent="0.25">
      <c r="A6" s="10" t="s">
        <v>70</v>
      </c>
      <c r="B6" s="10" t="s">
        <v>15</v>
      </c>
      <c r="C6" s="10" t="s">
        <v>16</v>
      </c>
      <c r="D6" s="10" t="s">
        <v>27</v>
      </c>
      <c r="F6" s="10" t="s">
        <v>18</v>
      </c>
      <c r="G6" s="10" t="s">
        <v>28</v>
      </c>
      <c r="H6" s="16">
        <v>15633.9</v>
      </c>
      <c r="I6" s="10" t="s">
        <v>29</v>
      </c>
      <c r="K6" s="10" t="s">
        <v>30</v>
      </c>
    </row>
    <row r="7" spans="1:12" ht="30" customHeight="1" x14ac:dyDescent="0.25">
      <c r="A7" s="10" t="s">
        <v>71</v>
      </c>
      <c r="B7" s="10" t="s">
        <v>15</v>
      </c>
      <c r="C7" s="10" t="s">
        <v>16</v>
      </c>
      <c r="D7" s="10" t="s">
        <v>31</v>
      </c>
      <c r="E7" s="10" t="s">
        <v>32</v>
      </c>
      <c r="F7" s="10" t="s">
        <v>33</v>
      </c>
      <c r="G7" s="10" t="s">
        <v>28</v>
      </c>
      <c r="H7" s="16">
        <v>34769.129999999997</v>
      </c>
      <c r="I7" s="10" t="s">
        <v>34</v>
      </c>
      <c r="K7" s="10" t="s">
        <v>35</v>
      </c>
      <c r="L7" s="10" t="s">
        <v>36</v>
      </c>
    </row>
    <row r="8" spans="1:12" ht="30" customHeight="1" x14ac:dyDescent="0.25">
      <c r="A8" s="10" t="s">
        <v>37</v>
      </c>
      <c r="B8" s="10" t="s">
        <v>38</v>
      </c>
      <c r="C8" s="10" t="s">
        <v>39</v>
      </c>
      <c r="D8" s="10" t="s">
        <v>40</v>
      </c>
      <c r="F8" s="10" t="s">
        <v>41</v>
      </c>
      <c r="G8" s="10" t="s">
        <v>24</v>
      </c>
      <c r="H8" s="16">
        <v>44267.19</v>
      </c>
      <c r="I8" s="10" t="s">
        <v>42</v>
      </c>
      <c r="K8" s="10" t="s">
        <v>43</v>
      </c>
    </row>
    <row r="9" spans="1:12" ht="30" customHeight="1" x14ac:dyDescent="0.25">
      <c r="A9" s="10" t="s">
        <v>72</v>
      </c>
      <c r="B9" s="10" t="s">
        <v>15</v>
      </c>
      <c r="C9" s="10" t="s">
        <v>16</v>
      </c>
      <c r="D9" s="10" t="s">
        <v>44</v>
      </c>
      <c r="F9" s="10" t="s">
        <v>45</v>
      </c>
      <c r="G9" s="10" t="s">
        <v>28</v>
      </c>
      <c r="H9" s="16">
        <v>29518.880000000001</v>
      </c>
      <c r="I9" s="10" t="s">
        <v>46</v>
      </c>
      <c r="K9" s="10" t="s">
        <v>47</v>
      </c>
    </row>
    <row r="10" spans="1:12" ht="30" customHeight="1" x14ac:dyDescent="0.25">
      <c r="A10" s="10" t="s">
        <v>73</v>
      </c>
      <c r="B10" s="10" t="s">
        <v>38</v>
      </c>
      <c r="C10" s="10" t="s">
        <v>16</v>
      </c>
      <c r="D10" s="10" t="s">
        <v>48</v>
      </c>
      <c r="F10" s="10" t="s">
        <v>49</v>
      </c>
      <c r="G10" s="10" t="s">
        <v>19</v>
      </c>
      <c r="H10" s="16">
        <v>33538</v>
      </c>
      <c r="I10" s="10" t="s">
        <v>50</v>
      </c>
      <c r="K10" s="10" t="s">
        <v>51</v>
      </c>
    </row>
    <row r="11" spans="1:12" ht="30" customHeight="1" x14ac:dyDescent="0.25">
      <c r="A11" s="10" t="s">
        <v>74</v>
      </c>
      <c r="B11" s="10" t="s">
        <v>15</v>
      </c>
      <c r="C11" s="10" t="s">
        <v>16</v>
      </c>
      <c r="D11" s="10" t="s">
        <v>52</v>
      </c>
      <c r="F11" s="10" t="s">
        <v>53</v>
      </c>
      <c r="G11" s="10" t="s">
        <v>28</v>
      </c>
      <c r="H11" s="16">
        <v>26224.97</v>
      </c>
      <c r="K11" s="10" t="s">
        <v>54</v>
      </c>
    </row>
    <row r="12" spans="1:12" ht="30" customHeight="1" x14ac:dyDescent="0.25">
      <c r="A12" s="10" t="s">
        <v>55</v>
      </c>
      <c r="B12" s="10" t="s">
        <v>38</v>
      </c>
      <c r="C12" s="10" t="s">
        <v>39</v>
      </c>
      <c r="D12" s="10" t="s">
        <v>56</v>
      </c>
      <c r="F12" s="10" t="s">
        <v>57</v>
      </c>
      <c r="G12" s="10" t="s">
        <v>28</v>
      </c>
      <c r="H12" s="16">
        <v>43451.94</v>
      </c>
      <c r="I12" s="10" t="s">
        <v>58</v>
      </c>
      <c r="K12" s="10" t="s">
        <v>59</v>
      </c>
    </row>
    <row r="13" spans="1:12" x14ac:dyDescent="0.25">
      <c r="A13" s="17"/>
      <c r="B13" s="17"/>
      <c r="C13" s="17"/>
      <c r="D13" s="17" t="s">
        <v>60</v>
      </c>
      <c r="E13" s="17"/>
      <c r="F13" s="17"/>
      <c r="G13" s="17"/>
      <c r="H13" s="18">
        <f>SUM(H4:H12)</f>
        <v>333228.60000000003</v>
      </c>
      <c r="I13" s="17"/>
      <c r="J13" s="17"/>
      <c r="K13" s="17"/>
      <c r="L13" s="17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8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038B-1066-4F2C-8AE7-7AC77924C642}">
  <dimension ref="A1:H21"/>
  <sheetViews>
    <sheetView workbookViewId="0">
      <selection activeCell="B20" sqref="B20"/>
    </sheetView>
  </sheetViews>
  <sheetFormatPr defaultRowHeight="15" x14ac:dyDescent="0.25"/>
  <cols>
    <col min="1" max="1" width="15.42578125" customWidth="1"/>
    <col min="2" max="2" width="12.140625" customWidth="1"/>
    <col min="3" max="3" width="18" customWidth="1"/>
    <col min="4" max="4" width="12.7109375" customWidth="1"/>
    <col min="5" max="5" width="14" customWidth="1"/>
    <col min="6" max="7" width="14.7109375" customWidth="1"/>
    <col min="8" max="8" width="15" customWidth="1"/>
  </cols>
  <sheetData>
    <row r="1" spans="1:8" x14ac:dyDescent="0.25">
      <c r="E1" s="4"/>
      <c r="H1" s="4">
        <v>45659.999988425923</v>
      </c>
    </row>
    <row r="2" spans="1:8" x14ac:dyDescent="0.25">
      <c r="A2" s="5" t="s">
        <v>0</v>
      </c>
      <c r="B2" s="5"/>
      <c r="C2" s="6"/>
      <c r="D2" s="6"/>
      <c r="E2" s="7" t="s">
        <v>61</v>
      </c>
      <c r="F2" s="6"/>
      <c r="G2" s="6"/>
      <c r="H2" s="6"/>
    </row>
    <row r="3" spans="1:8" ht="27" customHeight="1" x14ac:dyDescent="0.25">
      <c r="A3" t="s">
        <v>7</v>
      </c>
      <c r="B3" t="s">
        <v>67</v>
      </c>
      <c r="C3" t="s">
        <v>8</v>
      </c>
      <c r="D3" t="s">
        <v>62</v>
      </c>
      <c r="E3" t="s">
        <v>63</v>
      </c>
      <c r="F3" s="9" t="s">
        <v>64</v>
      </c>
      <c r="G3" t="s">
        <v>66</v>
      </c>
      <c r="H3" t="s">
        <v>65</v>
      </c>
    </row>
    <row r="4" spans="1:8" ht="27" customHeight="1" x14ac:dyDescent="0.25">
      <c r="A4" t="s">
        <v>45</v>
      </c>
      <c r="C4" t="s">
        <v>28</v>
      </c>
      <c r="D4" s="2">
        <v>500</v>
      </c>
      <c r="E4" s="2">
        <v>0</v>
      </c>
      <c r="F4" s="8">
        <v>29443.88</v>
      </c>
      <c r="G4" s="2"/>
      <c r="H4" s="2">
        <v>29518.880000000001</v>
      </c>
    </row>
    <row r="5" spans="1:8" ht="27" customHeight="1" x14ac:dyDescent="0.25">
      <c r="D5" s="2"/>
      <c r="E5" s="2"/>
      <c r="F5" s="8"/>
      <c r="G5" s="2"/>
      <c r="H5" s="2"/>
    </row>
    <row r="6" spans="1:8" ht="27" customHeight="1" x14ac:dyDescent="0.25">
      <c r="A6" t="s">
        <v>49</v>
      </c>
      <c r="C6" t="s">
        <v>19</v>
      </c>
      <c r="D6" s="2">
        <v>600</v>
      </c>
      <c r="E6" s="2">
        <v>0</v>
      </c>
      <c r="F6" s="8">
        <v>33463</v>
      </c>
      <c r="G6" s="2"/>
      <c r="H6" s="2">
        <v>33538</v>
      </c>
    </row>
    <row r="7" spans="1:8" ht="27" customHeight="1" x14ac:dyDescent="0.25">
      <c r="D7" s="2"/>
      <c r="E7" s="2"/>
      <c r="F7" s="8"/>
      <c r="G7" s="2"/>
      <c r="H7" s="2"/>
    </row>
    <row r="8" spans="1:8" ht="27" customHeight="1" x14ac:dyDescent="0.25">
      <c r="A8" t="s">
        <v>57</v>
      </c>
      <c r="C8" t="s">
        <v>28</v>
      </c>
      <c r="D8" s="2">
        <v>700</v>
      </c>
      <c r="E8" s="2">
        <v>0</v>
      </c>
      <c r="F8" s="8">
        <v>43376.94</v>
      </c>
      <c r="G8" s="2"/>
      <c r="H8" s="2">
        <v>43451.94</v>
      </c>
    </row>
    <row r="9" spans="1:8" ht="27" customHeight="1" x14ac:dyDescent="0.25">
      <c r="D9" s="2"/>
      <c r="E9" s="2"/>
      <c r="F9" s="8"/>
      <c r="G9" s="2"/>
      <c r="H9" s="2"/>
    </row>
    <row r="10" spans="1:8" ht="27" customHeight="1" x14ac:dyDescent="0.25">
      <c r="A10" t="s">
        <v>53</v>
      </c>
      <c r="C10" t="s">
        <v>28</v>
      </c>
      <c r="D10" s="2">
        <v>500</v>
      </c>
      <c r="E10" s="2">
        <v>0</v>
      </c>
      <c r="F10" s="8">
        <v>26149.97</v>
      </c>
      <c r="G10" s="2"/>
      <c r="H10" s="2">
        <v>26224.97</v>
      </c>
    </row>
    <row r="11" spans="1:8" ht="27" customHeight="1" x14ac:dyDescent="0.25">
      <c r="D11" s="2"/>
      <c r="E11" s="2"/>
      <c r="F11" s="8"/>
      <c r="G11" s="2"/>
      <c r="H11" s="2"/>
    </row>
    <row r="12" spans="1:8" ht="27" customHeight="1" x14ac:dyDescent="0.25">
      <c r="A12" t="s">
        <v>33</v>
      </c>
      <c r="C12" t="s">
        <v>28</v>
      </c>
      <c r="D12" s="2">
        <v>600</v>
      </c>
      <c r="E12" s="2">
        <v>0</v>
      </c>
      <c r="F12" s="8">
        <v>34694.129999999997</v>
      </c>
      <c r="G12" s="2"/>
      <c r="H12" s="2">
        <v>34769.129999999997</v>
      </c>
    </row>
    <row r="13" spans="1:8" ht="27" customHeight="1" x14ac:dyDescent="0.25">
      <c r="D13" s="2"/>
      <c r="E13" s="2"/>
      <c r="F13" s="8"/>
      <c r="G13" s="2"/>
      <c r="H13" s="2"/>
    </row>
    <row r="14" spans="1:8" ht="27" customHeight="1" x14ac:dyDescent="0.25">
      <c r="A14" t="s">
        <v>23</v>
      </c>
      <c r="C14" t="s">
        <v>24</v>
      </c>
      <c r="D14" s="2">
        <v>500</v>
      </c>
      <c r="E14" s="2">
        <v>0</v>
      </c>
      <c r="F14" s="8">
        <v>29740.19</v>
      </c>
      <c r="G14" s="2"/>
      <c r="H14" s="2">
        <v>29815.19</v>
      </c>
    </row>
    <row r="15" spans="1:8" ht="27" customHeight="1" x14ac:dyDescent="0.25">
      <c r="D15" s="2"/>
      <c r="E15" s="2"/>
      <c r="F15" s="8"/>
      <c r="G15" s="2"/>
      <c r="H15" s="2"/>
    </row>
    <row r="16" spans="1:8" ht="27" customHeight="1" x14ac:dyDescent="0.25">
      <c r="A16" t="s">
        <v>41</v>
      </c>
      <c r="C16" t="s">
        <v>24</v>
      </c>
      <c r="D16" s="2">
        <v>700</v>
      </c>
      <c r="E16" s="2">
        <v>0</v>
      </c>
      <c r="F16" s="8">
        <v>44192.19</v>
      </c>
      <c r="G16" s="2"/>
      <c r="H16" s="2">
        <v>44267.19</v>
      </c>
    </row>
    <row r="17" spans="1:8" ht="27" customHeight="1" x14ac:dyDescent="0.25">
      <c r="D17" s="2"/>
      <c r="E17" s="2"/>
      <c r="F17" s="2"/>
      <c r="G17" s="2"/>
      <c r="H17" s="2"/>
    </row>
    <row r="18" spans="1:8" ht="27" customHeight="1" x14ac:dyDescent="0.25">
      <c r="A18" t="s">
        <v>18</v>
      </c>
      <c r="C18" t="s">
        <v>19</v>
      </c>
      <c r="D18" s="2">
        <v>1200</v>
      </c>
      <c r="E18" s="2">
        <v>0</v>
      </c>
      <c r="F18" s="2">
        <v>75934.399999999994</v>
      </c>
      <c r="G18" s="2"/>
      <c r="H18" s="2">
        <v>76009.399999999994</v>
      </c>
    </row>
    <row r="19" spans="1:8" ht="27" customHeight="1" x14ac:dyDescent="0.25">
      <c r="A19" t="s">
        <v>18</v>
      </c>
      <c r="C19" t="s">
        <v>28</v>
      </c>
      <c r="D19" s="2">
        <v>350</v>
      </c>
      <c r="E19" s="2">
        <v>0</v>
      </c>
      <c r="F19" s="2">
        <v>15558.9</v>
      </c>
      <c r="G19" s="8">
        <f>SUM(F18:F19)</f>
        <v>91493.299999999988</v>
      </c>
      <c r="H19" s="2">
        <v>15633.9</v>
      </c>
    </row>
    <row r="20" spans="1:8" ht="17.25" customHeight="1" x14ac:dyDescent="0.25">
      <c r="D20" s="2"/>
      <c r="E20" s="2"/>
      <c r="F20" s="2"/>
      <c r="G20" s="2"/>
      <c r="H20" s="2"/>
    </row>
    <row r="21" spans="1:8" ht="27" customHeight="1" x14ac:dyDescent="0.25">
      <c r="A21" s="1"/>
      <c r="B21" s="1"/>
      <c r="C21" s="1"/>
      <c r="D21" s="3">
        <f>SUM(D4:D19)</f>
        <v>5650</v>
      </c>
      <c r="E21" s="3">
        <f>SUM(E4:E19)</f>
        <v>0</v>
      </c>
      <c r="F21" s="3">
        <f>SUM(F4:F19)</f>
        <v>332553.60000000003</v>
      </c>
      <c r="G21" s="3"/>
      <c r="H21" s="3">
        <f>SUM(H4:H19)</f>
        <v>333228.60000000003</v>
      </c>
    </row>
  </sheetData>
  <mergeCells count="2">
    <mergeCell ref="A2:D2"/>
    <mergeCell ref="E2:H2"/>
  </mergeCells>
  <pageMargins left="0.7" right="0.45" top="0.25" bottom="0.2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12F0-C666-491E-B2C9-EAA78771EF0A}">
  <dimension ref="A1:F22"/>
  <sheetViews>
    <sheetView topLeftCell="A13" zoomScaleNormal="100" workbookViewId="0">
      <selection activeCell="H44" sqref="H44:H45"/>
    </sheetView>
  </sheetViews>
  <sheetFormatPr defaultRowHeight="15" x14ac:dyDescent="0.25"/>
  <cols>
    <col min="1" max="1" width="15.5703125" customWidth="1"/>
    <col min="2" max="2" width="7.85546875" customWidth="1"/>
    <col min="3" max="3" width="16.7109375" customWidth="1"/>
    <col min="4" max="4" width="9.28515625" customWidth="1"/>
    <col min="5" max="5" width="19.42578125" customWidth="1"/>
    <col min="6" max="6" width="14.28515625" customWidth="1"/>
  </cols>
  <sheetData>
    <row r="1" spans="1:6" ht="24.95" customHeight="1" x14ac:dyDescent="0.25">
      <c r="A1" t="s">
        <v>77</v>
      </c>
      <c r="D1" s="4"/>
      <c r="F1" s="4">
        <v>45659.999988425923</v>
      </c>
    </row>
    <row r="2" spans="1:6" ht="24.95" customHeight="1" x14ac:dyDescent="0.25">
      <c r="A2" s="5" t="s">
        <v>0</v>
      </c>
      <c r="B2" s="6"/>
      <c r="C2" s="6"/>
      <c r="D2" s="7" t="s">
        <v>75</v>
      </c>
      <c r="E2" s="6"/>
      <c r="F2" s="6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37</v>
      </c>
      <c r="B4" t="s">
        <v>39</v>
      </c>
      <c r="C4" t="s">
        <v>40</v>
      </c>
      <c r="E4" t="s">
        <v>41</v>
      </c>
    </row>
    <row r="5" spans="1:6" ht="24.95" customHeight="1" x14ac:dyDescent="0.25">
      <c r="A5" t="s">
        <v>55</v>
      </c>
      <c r="B5" t="s">
        <v>39</v>
      </c>
      <c r="C5" t="s">
        <v>56</v>
      </c>
      <c r="E5" t="s">
        <v>57</v>
      </c>
    </row>
    <row r="6" spans="1:6" ht="24.95" customHeight="1" x14ac:dyDescent="0.25"/>
    <row r="7" spans="1:6" ht="15" customHeight="1" x14ac:dyDescent="0.25">
      <c r="A7" s="1"/>
      <c r="B7" s="1"/>
      <c r="C7" s="1" t="s">
        <v>76</v>
      </c>
      <c r="D7" s="1"/>
      <c r="E7" s="1"/>
      <c r="F7" s="1"/>
    </row>
    <row r="13" spans="1:6" x14ac:dyDescent="0.25">
      <c r="A13" t="s">
        <v>78</v>
      </c>
      <c r="B13" s="19"/>
      <c r="C13" s="19"/>
      <c r="D13" s="19"/>
      <c r="E13" s="19"/>
    </row>
    <row r="18" spans="1:5" x14ac:dyDescent="0.25">
      <c r="A18" t="s">
        <v>79</v>
      </c>
      <c r="B18" s="19"/>
      <c r="C18" s="19"/>
      <c r="D18" s="19"/>
      <c r="E18" s="19"/>
    </row>
    <row r="22" spans="1:5" x14ac:dyDescent="0.25">
      <c r="A22" t="s">
        <v>80</v>
      </c>
      <c r="B22" s="19"/>
      <c r="C22" s="19"/>
    </row>
  </sheetData>
  <mergeCells count="2">
    <mergeCell ref="A2:C2"/>
    <mergeCell ref="D2:F2"/>
  </mergeCells>
  <pageMargins left="0.7" right="0.7" top="0.75" bottom="0.75" header="0.3" footer="0.3"/>
  <pageSetup scale="9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Funding Worksheet - Folder Vers</vt:lpstr>
      <vt:lpstr>Funding Worksheet - ACH</vt:lpstr>
      <vt:lpstr>Original Note Log</vt:lpstr>
      <vt:lpstr>'Original Note 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2025-01-02T19:01:20Z</cp:lastPrinted>
  <dcterms:created xsi:type="dcterms:W3CDTF">2025-01-02T18:47:28Z</dcterms:created>
  <dcterms:modified xsi:type="dcterms:W3CDTF">2025-01-02T19:27:42Z</dcterms:modified>
</cp:coreProperties>
</file>