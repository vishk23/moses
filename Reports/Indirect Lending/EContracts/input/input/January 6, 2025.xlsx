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917675C3-6053-4EAE-8F72-469C5A00F3F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unding Worksheet - ACH Version" sheetId="1" r:id="rId1"/>
    <sheet name="Funding Worksheet - Folder  (2)" sheetId="4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4" l="1"/>
  <c r="F9" i="1"/>
  <c r="F12" i="1"/>
  <c r="F17" i="1"/>
  <c r="F26" i="1"/>
  <c r="H27" i="1"/>
  <c r="E27" i="1"/>
  <c r="D27" i="1"/>
  <c r="C27" i="1"/>
</calcChain>
</file>

<file path=xl/sharedStrings.xml><?xml version="1.0" encoding="utf-8"?>
<sst xmlns="http://schemas.openxmlformats.org/spreadsheetml/2006/main" count="208" uniqueCount="108">
  <si>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</si>
  <si>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</si>
  <si>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</si>
  <si>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</si>
  <si>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</si>
  <si>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</si>
  <si>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</si>
  <si>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</si>
  <si>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</si>
  <si>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</si>
  <si>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Mazda</t>
  </si>
  <si>
    <t>Rachel Gorham</t>
  </si>
  <si>
    <t>AutoMax Preowned(Framingham)</t>
  </si>
  <si>
    <t>Battles Nissan, LLC</t>
  </si>
  <si>
    <t>Marlene Braganca</t>
  </si>
  <si>
    <t>Neli Oliveira</t>
  </si>
  <si>
    <t>Lucchettis Service Center Inc</t>
  </si>
  <si>
    <t>Mathieu Ford Sales, Inc</t>
  </si>
  <si>
    <t>Patriot Auto Group Inc d/b/a</t>
  </si>
  <si>
    <t>Planet Automotive Sales LLC</t>
  </si>
  <si>
    <t>Salvadore Chevrolet</t>
  </si>
  <si>
    <t>Wareham Ford</t>
  </si>
  <si>
    <t>Column1</t>
  </si>
  <si>
    <t>Column2</t>
  </si>
  <si>
    <t>ROWAND</t>
  </si>
  <si>
    <t>maxingraham@gmail.com</t>
  </si>
  <si>
    <t>Ingraham, Maxwell</t>
  </si>
  <si>
    <t>Paper</t>
  </si>
  <si>
    <t>Route One</t>
  </si>
  <si>
    <t>151134120</t>
  </si>
  <si>
    <t>LAROCQUE</t>
  </si>
  <si>
    <t>MEEHAN</t>
  </si>
  <si>
    <t>aperose44@gmail.com</t>
  </si>
  <si>
    <t>BAILEY, BRENDAN</t>
  </si>
  <si>
    <t>BAILEY, DAVID</t>
  </si>
  <si>
    <t>DealerTrack</t>
  </si>
  <si>
    <t>151134112</t>
  </si>
  <si>
    <t>KRAVITT</t>
  </si>
  <si>
    <t>M.MINIER@GMAIL.COM</t>
  </si>
  <si>
    <t>MINIER, MATTHEW</t>
  </si>
  <si>
    <t>E Contract</t>
  </si>
  <si>
    <t>HUTCHINSON</t>
  </si>
  <si>
    <t>keirspellman@gmail.com</t>
  </si>
  <si>
    <t>Spellman, Keir</t>
  </si>
  <si>
    <t>151134063</t>
  </si>
  <si>
    <t>SMITH</t>
  </si>
  <si>
    <t>DEBRA.POND@COMCAST.NET</t>
  </si>
  <si>
    <t>POND, DEBRA</t>
  </si>
  <si>
    <t>ARES</t>
  </si>
  <si>
    <t>lucilledreams@comcast.net</t>
  </si>
  <si>
    <t>Harris, Lucille</t>
  </si>
  <si>
    <t>JOYNT</t>
  </si>
  <si>
    <t>ROBIDOUX</t>
  </si>
  <si>
    <t>MMCHAMBERLAIN@HOTMAIL.COM</t>
  </si>
  <si>
    <t>CHAMBERLAIN, MICHAEL</t>
  </si>
  <si>
    <t>CHAMBERLAIN, MARIA</t>
  </si>
  <si>
    <t>MCANDREWS</t>
  </si>
  <si>
    <t>SEANBSKEHILL@GMAIL.COM</t>
  </si>
  <si>
    <t>SKEHILL, SEAN</t>
  </si>
  <si>
    <t>LEBLANC</t>
  </si>
  <si>
    <t>FAUCHER, ANDRE</t>
  </si>
  <si>
    <t>MARTINS</t>
  </si>
  <si>
    <t>JKOBELECKI@GMAIL.COM</t>
  </si>
  <si>
    <t>KOBELECKI, JASON</t>
  </si>
  <si>
    <t>GROHOLY</t>
  </si>
  <si>
    <t>scott.morra@gmail.com</t>
  </si>
  <si>
    <t>Morra, Scott</t>
  </si>
  <si>
    <t>AVCI</t>
  </si>
  <si>
    <t>TOPCUOGLU, HILAL</t>
  </si>
  <si>
    <t>Rothman</t>
  </si>
  <si>
    <t>mikeseidman@me.com</t>
  </si>
  <si>
    <t>SEIDMAN, MICHAEL</t>
  </si>
  <si>
    <t>Gill</t>
  </si>
  <si>
    <t>PAINMA57@YAHOO.COM</t>
  </si>
  <si>
    <t>ANDREWS, PAUL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</si>
  <si>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</si>
  <si>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</si>
  <si>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</si>
  <si>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</si>
  <si>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</si>
  <si>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</si>
  <si>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</si>
  <si>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</si>
  <si>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</si>
  <si>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</si>
  <si>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</si>
  <si>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</si>
  <si>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151133502e</t>
  </si>
  <si>
    <t>151133560e</t>
  </si>
  <si>
    <t>151133916e</t>
  </si>
  <si>
    <t>151133958e</t>
  </si>
  <si>
    <t>151133966e</t>
  </si>
  <si>
    <t>151133974e</t>
  </si>
  <si>
    <t>151133982e</t>
  </si>
  <si>
    <t>151133990e</t>
  </si>
  <si>
    <t>151134021e</t>
  </si>
  <si>
    <t>151134039e</t>
  </si>
  <si>
    <t>151134104e</t>
  </si>
  <si>
    <t>Date Signed_____________________________________________</t>
  </si>
  <si>
    <t>Received By_________________________________________________________________________</t>
  </si>
  <si>
    <t>Delivered By_________________________________________________________________________</t>
  </si>
  <si>
    <t># 3</t>
  </si>
  <si>
    <t>Funding Worksheet - Signoff Version</t>
  </si>
  <si>
    <t># 15</t>
  </si>
  <si>
    <t>HACKETT</t>
  </si>
  <si>
    <t>rocketracer750@yahoo.com</t>
  </si>
  <si>
    <t>HACKETT, CHAD</t>
  </si>
  <si>
    <t>151134170e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</si>
</sst>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5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0" fontId="2" fillId="2" borderId="0" xfId="2"/>
    <xf numFmtId="0" fontId="2" fillId="0" borderId="0" xfId="2" applyFill="1"/>
    <xf numFmtId="164" fontId="2" fillId="0" borderId="0" xfId="2" applyNumberFormat="1" applyFill="1" applyAlignment="1">
      <alignment horizontal="right"/>
    </xf>
    <xf numFmtId="0" fontId="1" fillId="0" borderId="0" xfId="2" applyFont="1" applyFill="1" applyAlignment="1">
      <alignment horizontal="left"/>
    </xf>
    <xf numFmtId="0" fontId="2" fillId="0" borderId="0" xfId="2" applyFill="1"/>
    <xf numFmtId="0" fontId="1" fillId="0" borderId="0" xfId="2" applyFont="1" applyFill="1" applyAlignment="1">
      <alignment horizontal="right"/>
    </xf>
    <xf numFmtId="7" fontId="2" fillId="0" borderId="0" xfId="2" applyNumberFormat="1" applyFill="1"/>
    <xf numFmtId="0" fontId="1" fillId="0" borderId="0" xfId="2" applyFont="1" applyFill="1"/>
    <xf numFmtId="7" fontId="1" fillId="0" borderId="0" xfId="2" applyNumberFormat="1" applyFont="1" applyFill="1"/>
    <xf numFmtId="0" fontId="2" fillId="0" borderId="0" xfId="2" applyFill="1" applyAlignment="1">
      <alignment horizontal="left"/>
    </xf>
  </cellXfs>
  <cellStyles count="3">
    <cellStyle name="Normal" xfId="0" builtinId="0"/>
    <cellStyle name="Normal 2" xfId="1" xr:uid="{2114B654-23D2-47F4-974C-929B5E7BF46A}"/>
    <cellStyle name="Normal 3" xfId="2" xr:uid="{66F003D8-3E51-4F03-8C61-0D6F2FA42874}"/>
  </cellStyles>
  <dxfs count="2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7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010DEE94-9A34-4963-AA5E-A1B80028F020}" name="Column1" dataDxfId="25"/>
    <tableColumn id="8" xr3:uid="{363E4A64-BCBA-45F2-AB7B-913B2ADF7D3A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7C7A43-7E38-4466-836A-2F16FC86D5CD}" name="Table_15" displayName="Table_15" ref="A3:M19" headerRowDxfId="2" dataDxfId="0" totalsRowDxfId="1">
  <tableColumns count="13">
    <tableColumn id="1" xr3:uid="{00000000-0010-0000-0000-000001000000}" name="Account Number" dataDxfId="15"/>
    <tableColumn id="2" xr3:uid="{00000000-0010-0000-0000-000002000000}" name="Portal" dataDxfId="14"/>
    <tableColumn id="3" xr3:uid="{00000000-0010-0000-0000-000003000000}" name="Contract Type" dataDxfId="13"/>
    <tableColumn id="4" xr3:uid="{00000000-0010-0000-0000-000004000000}" name="Applicant Name" dataDxfId="12"/>
    <tableColumn id="5" xr3:uid="{00000000-0010-0000-0000-000005000000}" name="Co-Applicant Name" dataDxfId="11"/>
    <tableColumn id="6" xr3:uid="{00000000-0010-0000-0000-000006000000}" name="Dealer Name" dataDxfId="10"/>
    <tableColumn id="7" xr3:uid="{00000000-0010-0000-0000-000007000000}" name="Funded by" dataDxfId="9"/>
    <tableColumn id="8" xr3:uid="{00000000-0010-0000-0000-000008000000}" name="Amount Financed" dataDxfId="8"/>
    <tableColumn id="9" xr3:uid="{00000000-0010-0000-0000-000009000000}" name="Applicant Email" dataDxfId="7"/>
    <tableColumn id="10" xr3:uid="{00000000-0010-0000-0000-00000A000000}" name="Co-Applicant Email" dataDxfId="6"/>
    <tableColumn id="11" xr3:uid="{00000000-0010-0000-0000-00000B000000}" name="App MMN" dataDxfId="5"/>
    <tableColumn id="12" xr3:uid="{00000000-0010-0000-0000-00000C000000}" name="Co-App MMN" dataDxfId="4"/>
    <tableColumn id="13" xr3:uid="{00000000-0010-0000-0000-00000D000000}" name="Business Name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7E8F03-0F2F-4648-977F-27DF0871E851}" name="Table_14" displayName="Table_14" ref="A3:E7" headerRowDxfId="23" dataDxfId="22" totalsRowDxfId="21">
  <tableColumns count="5">
    <tableColumn id="1" xr3:uid="{00000000-0010-0000-0000-000001000000}" name="Account Number" dataDxfId="20"/>
    <tableColumn id="2" xr3:uid="{00000000-0010-0000-0000-000002000000}" name="Contract Type" dataDxfId="19"/>
    <tableColumn id="3" xr3:uid="{00000000-0010-0000-0000-000003000000}" name="Applicant Name" dataDxfId="18"/>
    <tableColumn id="4" xr3:uid="{00000000-0010-0000-0000-000004000000}" name="Co-Applicant Name" dataDxfId="17"/>
    <tableColumn id="5" xr3:uid="{00000000-0010-0000-0000-000005000000}" name="Dealer Name" dataDxfId="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7"/>
  <sheetViews>
    <sheetView workbookViewId="0">
      <pane ySplit="3" topLeftCell="A4" activePane="bottomLeft" state="frozen"/>
      <selection pane="bottomLeft" activeCell="F26" sqref="F26"/>
    </sheetView>
  </sheetViews>
  <sheetFormatPr defaultRowHeight="15" x14ac:dyDescent="0.25"/>
  <cols>
    <col min="1" max="1" width="31.85546875" bestFit="1" customWidth="1"/>
    <col min="2" max="2" width="17.7109375" bestFit="1" customWidth="1"/>
    <col min="3" max="3" width="11.140625" bestFit="1" customWidth="1"/>
    <col min="4" max="4" width="15.57031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45663</v>
      </c>
      <c r="E1" t="s">
        <v>2</v>
      </c>
      <c r="H1" s="4">
        <v>45663.999988425923</v>
      </c>
    </row>
    <row r="2" spans="1:8" x14ac:dyDescent="0.25">
      <c r="A2" s="9" t="s">
        <v>0</v>
      </c>
      <c r="B2" s="10"/>
      <c r="C2" s="10"/>
      <c r="D2" s="11" t="s">
        <v>1</v>
      </c>
      <c r="E2" s="10"/>
      <c r="F2" s="10"/>
      <c r="G2" s="10"/>
      <c r="H2" s="10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22</v>
      </c>
      <c r="G3" t="s">
        <v>23</v>
      </c>
      <c r="H3" t="s">
        <v>9</v>
      </c>
    </row>
    <row r="4" spans="1:8" x14ac:dyDescent="0.25">
      <c r="A4" t="s">
        <v>10</v>
      </c>
      <c r="B4" t="s">
        <v>11</v>
      </c>
      <c r="C4" s="2">
        <v>200</v>
      </c>
      <c r="D4" s="2">
        <v>0</v>
      </c>
      <c r="E4" s="2">
        <v>10012.06</v>
      </c>
      <c r="F4" s="2"/>
      <c r="G4" s="2"/>
      <c r="H4" s="2">
        <v>10087.06</v>
      </c>
    </row>
    <row r="5" spans="1:8" x14ac:dyDescent="0.25">
      <c r="C5" s="2"/>
      <c r="D5" s="2"/>
      <c r="E5" s="2"/>
      <c r="F5" s="2"/>
      <c r="G5" s="2"/>
      <c r="H5" s="2"/>
    </row>
    <row r="6" spans="1:8" ht="12" customHeight="1" x14ac:dyDescent="0.25">
      <c r="A6" t="s">
        <v>12</v>
      </c>
      <c r="B6" t="s">
        <v>11</v>
      </c>
      <c r="C6" s="2">
        <v>500</v>
      </c>
      <c r="D6" s="2">
        <v>0</v>
      </c>
      <c r="E6" s="2">
        <v>27077.69</v>
      </c>
      <c r="F6" s="2"/>
      <c r="G6" s="2"/>
      <c r="H6" s="2">
        <v>27152.69</v>
      </c>
    </row>
    <row r="7" spans="1:8" ht="12" customHeight="1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14</v>
      </c>
      <c r="C8" s="2">
        <v>350</v>
      </c>
      <c r="D8" s="2">
        <v>0</v>
      </c>
      <c r="E8" s="2">
        <v>19727.13</v>
      </c>
      <c r="F8" s="2"/>
      <c r="G8" s="2"/>
      <c r="H8" s="2">
        <v>19802.13</v>
      </c>
    </row>
    <row r="9" spans="1:8" x14ac:dyDescent="0.25">
      <c r="A9" t="s">
        <v>13</v>
      </c>
      <c r="B9" t="s">
        <v>15</v>
      </c>
      <c r="C9" s="2">
        <v>600</v>
      </c>
      <c r="D9" s="2">
        <v>0</v>
      </c>
      <c r="E9" s="2">
        <v>33300</v>
      </c>
      <c r="F9" s="2">
        <f>SUM(E8:E9)</f>
        <v>53027.130000000005</v>
      </c>
      <c r="G9" s="2"/>
      <c r="H9" s="2">
        <v>33375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16</v>
      </c>
      <c r="B11" t="s">
        <v>15</v>
      </c>
      <c r="C11" s="2">
        <v>650</v>
      </c>
      <c r="D11" s="2">
        <v>0</v>
      </c>
      <c r="E11" s="2">
        <v>36228.25</v>
      </c>
      <c r="F11" s="2"/>
      <c r="G11" s="2"/>
      <c r="H11" s="2">
        <v>36303.25</v>
      </c>
    </row>
    <row r="12" spans="1:8" x14ac:dyDescent="0.25">
      <c r="A12" t="s">
        <v>16</v>
      </c>
      <c r="B12" t="s">
        <v>15</v>
      </c>
      <c r="C12" s="2">
        <v>600</v>
      </c>
      <c r="D12" s="2">
        <v>0</v>
      </c>
      <c r="E12" s="2">
        <v>31243.69</v>
      </c>
      <c r="F12" s="2">
        <f>SUM(E11:E12)</f>
        <v>67471.94</v>
      </c>
      <c r="G12" s="2"/>
      <c r="H12" s="2">
        <v>31318.69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11</v>
      </c>
      <c r="C14" s="2">
        <v>700</v>
      </c>
      <c r="D14" s="2">
        <v>0</v>
      </c>
      <c r="E14" s="2">
        <v>42597</v>
      </c>
      <c r="F14" s="2"/>
      <c r="G14" s="2"/>
      <c r="H14" s="2">
        <v>42672</v>
      </c>
    </row>
    <row r="15" spans="1:8" x14ac:dyDescent="0.25">
      <c r="A15" t="s">
        <v>17</v>
      </c>
      <c r="B15" t="s">
        <v>15</v>
      </c>
      <c r="C15" s="2">
        <v>200</v>
      </c>
      <c r="D15" s="2">
        <v>0</v>
      </c>
      <c r="E15" s="2">
        <v>10459.94</v>
      </c>
      <c r="F15" s="2"/>
      <c r="G15" s="2"/>
      <c r="H15" s="2">
        <v>10534.94</v>
      </c>
    </row>
    <row r="16" spans="1:8" x14ac:dyDescent="0.25">
      <c r="A16" t="s">
        <v>17</v>
      </c>
      <c r="B16" t="s">
        <v>15</v>
      </c>
      <c r="C16" s="2">
        <v>650</v>
      </c>
      <c r="D16" s="2">
        <v>0</v>
      </c>
      <c r="E16" s="2">
        <v>38885</v>
      </c>
      <c r="F16" s="2"/>
      <c r="G16" s="2"/>
      <c r="H16" s="2">
        <v>38960</v>
      </c>
    </row>
    <row r="17" spans="1:8" x14ac:dyDescent="0.25">
      <c r="A17" t="s">
        <v>17</v>
      </c>
      <c r="B17" t="s">
        <v>15</v>
      </c>
      <c r="C17" s="2">
        <v>600</v>
      </c>
      <c r="D17" s="2">
        <v>0</v>
      </c>
      <c r="E17" s="2">
        <v>34717.879999999997</v>
      </c>
      <c r="F17" s="2">
        <f>SUM(E14:E17)</f>
        <v>126659.82</v>
      </c>
      <c r="G17" s="2"/>
      <c r="H17" s="2">
        <v>34792.879999999997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18</v>
      </c>
      <c r="B19" t="s">
        <v>11</v>
      </c>
      <c r="C19" s="2">
        <v>350</v>
      </c>
      <c r="D19" s="2">
        <v>0</v>
      </c>
      <c r="E19" s="2">
        <v>17998.689999999999</v>
      </c>
      <c r="F19" s="2"/>
      <c r="G19" s="2"/>
      <c r="H19" s="2">
        <v>18073.689999999999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19</v>
      </c>
      <c r="B21" t="s">
        <v>15</v>
      </c>
      <c r="C21" s="2">
        <v>600</v>
      </c>
      <c r="D21" s="2">
        <v>0</v>
      </c>
      <c r="E21" s="2">
        <v>31860.94</v>
      </c>
      <c r="F21" s="2"/>
      <c r="G21" s="2"/>
      <c r="H21" s="2">
        <v>31935.94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20</v>
      </c>
      <c r="B23" t="s">
        <v>15</v>
      </c>
      <c r="C23" s="2">
        <v>350</v>
      </c>
      <c r="D23" s="2">
        <v>0</v>
      </c>
      <c r="E23" s="2">
        <v>15985.75</v>
      </c>
      <c r="F23" s="2"/>
      <c r="G23" s="2"/>
      <c r="H23" s="2">
        <v>16060.75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21</v>
      </c>
      <c r="B25" t="s">
        <v>14</v>
      </c>
      <c r="C25" s="2">
        <v>1000</v>
      </c>
      <c r="D25" s="2">
        <v>0</v>
      </c>
      <c r="E25" s="2">
        <v>66830.7</v>
      </c>
      <c r="F25" s="2"/>
      <c r="G25" s="2"/>
      <c r="H25" s="2">
        <v>66905.7</v>
      </c>
    </row>
    <row r="26" spans="1:8" x14ac:dyDescent="0.25">
      <c r="A26" t="s">
        <v>21</v>
      </c>
      <c r="B26" t="s">
        <v>11</v>
      </c>
      <c r="C26" s="2">
        <v>600</v>
      </c>
      <c r="D26" s="2">
        <v>0</v>
      </c>
      <c r="E26" s="2">
        <v>32076.03</v>
      </c>
      <c r="F26" s="2">
        <f>SUM(E25:E26)</f>
        <v>98906.73</v>
      </c>
      <c r="G26" s="2"/>
      <c r="H26" s="2">
        <v>32151.03</v>
      </c>
    </row>
    <row r="27" spans="1:8" x14ac:dyDescent="0.25">
      <c r="A27" s="1"/>
      <c r="B27" s="1"/>
      <c r="C27" s="3">
        <f>SUM(C4:C26)</f>
        <v>7950</v>
      </c>
      <c r="D27" s="3">
        <f>SUM(D4:D26)</f>
        <v>0</v>
      </c>
      <c r="E27" s="3">
        <f>SUM(E4:E26)</f>
        <v>449000.75</v>
      </c>
      <c r="F27" s="3"/>
      <c r="G27" s="3"/>
      <c r="H27" s="3">
        <f>SUM(H4:H26)</f>
        <v>450125.75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E4A-7C40-4295-A0D4-DD47203BA8B8}">
  <sheetPr>
    <pageSetUpPr fitToPage="1"/>
  </sheetPr>
  <dimension ref="A1:M21"/>
  <sheetViews>
    <sheetView tabSelected="1" workbookViewId="0">
      <pane ySplit="3" topLeftCell="A4" activePane="bottomLeft" state="frozen"/>
      <selection pane="bottomLeft" activeCell="G13" sqref="G13"/>
    </sheetView>
  </sheetViews>
  <sheetFormatPr defaultRowHeight="15" x14ac:dyDescent="0.25"/>
  <cols>
    <col min="1" max="1" width="16.42578125" style="15" bestFit="1" customWidth="1"/>
    <col min="2" max="2" width="12.140625" style="15" bestFit="1" customWidth="1"/>
    <col min="3" max="3" width="14" style="15" bestFit="1" customWidth="1"/>
    <col min="4" max="4" width="21.42578125" style="15" bestFit="1" customWidth="1"/>
    <col min="5" max="5" width="23.85546875" style="15" bestFit="1" customWidth="1"/>
    <col min="6" max="6" width="31.85546875" style="15" bestFit="1" customWidth="1"/>
    <col min="7" max="7" width="17.7109375" style="15" bestFit="1" customWidth="1"/>
    <col min="8" max="8" width="17.140625" style="15" bestFit="1" customWidth="1"/>
    <col min="9" max="9" width="32.5703125" style="15" bestFit="1" customWidth="1"/>
    <col min="10" max="10" width="18.42578125" style="15" bestFit="1" customWidth="1"/>
    <col min="11" max="11" width="15.5703125" style="15" bestFit="1" customWidth="1"/>
    <col min="12" max="12" width="12.85546875" style="15" bestFit="1" customWidth="1"/>
    <col min="13" max="13" width="15.5703125" style="15" bestFit="1" customWidth="1"/>
    <col min="14" max="16384" width="9.140625" style="15"/>
  </cols>
  <sheetData>
    <row r="1" spans="1:13" ht="39.950000000000003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 t="s">
        <v>3</v>
      </c>
      <c r="K1" s="17">
        <v>45663</v>
      </c>
      <c r="L1" s="16" t="s">
        <v>2</v>
      </c>
      <c r="M1" s="17">
        <v>45663.999988425923</v>
      </c>
    </row>
    <row r="2" spans="1:13" ht="39.950000000000003" customHeight="1" x14ac:dyDescent="0.25">
      <c r="A2" s="18" t="s">
        <v>0</v>
      </c>
      <c r="B2" s="19"/>
      <c r="C2" s="19"/>
      <c r="D2" s="19"/>
      <c r="E2" s="19"/>
      <c r="F2" s="19"/>
      <c r="G2" s="20" t="s">
        <v>86</v>
      </c>
      <c r="H2" s="19"/>
      <c r="I2" s="19"/>
      <c r="J2" s="19"/>
      <c r="K2" s="19"/>
      <c r="L2" s="19"/>
      <c r="M2" s="19"/>
    </row>
    <row r="3" spans="1:13" ht="39.950000000000003" customHeight="1" x14ac:dyDescent="0.25">
      <c r="A3" s="16" t="s">
        <v>85</v>
      </c>
      <c r="B3" s="16" t="s">
        <v>84</v>
      </c>
      <c r="C3" s="16" t="s">
        <v>83</v>
      </c>
      <c r="D3" s="16" t="s">
        <v>82</v>
      </c>
      <c r="E3" s="16" t="s">
        <v>81</v>
      </c>
      <c r="F3" s="16" t="s">
        <v>4</v>
      </c>
      <c r="G3" s="16" t="s">
        <v>5</v>
      </c>
      <c r="H3" s="16" t="s">
        <v>80</v>
      </c>
      <c r="I3" s="16" t="s">
        <v>79</v>
      </c>
      <c r="J3" s="16" t="s">
        <v>78</v>
      </c>
      <c r="K3" s="16" t="s">
        <v>77</v>
      </c>
      <c r="L3" s="16" t="s">
        <v>76</v>
      </c>
      <c r="M3" s="16" t="s">
        <v>75</v>
      </c>
    </row>
    <row r="4" spans="1:13" ht="39.950000000000003" customHeight="1" x14ac:dyDescent="0.25">
      <c r="A4" s="16" t="s">
        <v>87</v>
      </c>
      <c r="B4" s="16" t="s">
        <v>35</v>
      </c>
      <c r="C4" s="16" t="s">
        <v>40</v>
      </c>
      <c r="D4" s="16" t="s">
        <v>74</v>
      </c>
      <c r="E4" s="16"/>
      <c r="F4" s="16" t="s">
        <v>13</v>
      </c>
      <c r="G4" s="16" t="s">
        <v>14</v>
      </c>
      <c r="H4" s="21">
        <v>19802.13</v>
      </c>
      <c r="I4" s="16" t="s">
        <v>73</v>
      </c>
      <c r="J4" s="16"/>
      <c r="K4" s="16" t="s">
        <v>72</v>
      </c>
      <c r="L4" s="16"/>
      <c r="M4" s="16"/>
    </row>
    <row r="5" spans="1:13" ht="39.950000000000003" customHeight="1" x14ac:dyDescent="0.25">
      <c r="A5" s="24" t="s">
        <v>88</v>
      </c>
      <c r="B5" s="16" t="s">
        <v>28</v>
      </c>
      <c r="C5" s="16" t="s">
        <v>40</v>
      </c>
      <c r="D5" s="16" t="s">
        <v>71</v>
      </c>
      <c r="E5" s="16"/>
      <c r="F5" s="16" t="s">
        <v>21</v>
      </c>
      <c r="G5" s="16" t="s">
        <v>14</v>
      </c>
      <c r="H5" s="21">
        <v>66905.7</v>
      </c>
      <c r="I5" s="16" t="s">
        <v>70</v>
      </c>
      <c r="J5" s="16"/>
      <c r="K5" s="16" t="s">
        <v>69</v>
      </c>
      <c r="L5" s="16"/>
      <c r="M5" s="16"/>
    </row>
    <row r="6" spans="1:13" ht="39.950000000000003" customHeight="1" x14ac:dyDescent="0.25">
      <c r="A6" s="16" t="s">
        <v>89</v>
      </c>
      <c r="B6" s="16" t="s">
        <v>35</v>
      </c>
      <c r="C6" s="16" t="s">
        <v>40</v>
      </c>
      <c r="D6" s="16" t="s">
        <v>68</v>
      </c>
      <c r="E6" s="16"/>
      <c r="F6" s="16" t="s">
        <v>12</v>
      </c>
      <c r="G6" s="16" t="s">
        <v>11</v>
      </c>
      <c r="H6" s="21">
        <v>27152.69</v>
      </c>
      <c r="I6" s="16"/>
      <c r="J6" s="16"/>
      <c r="K6" s="16" t="s">
        <v>67</v>
      </c>
      <c r="L6" s="16"/>
      <c r="M6" s="16"/>
    </row>
    <row r="7" spans="1:13" ht="39.950000000000003" customHeight="1" x14ac:dyDescent="0.25">
      <c r="A7" s="16" t="s">
        <v>90</v>
      </c>
      <c r="B7" s="16" t="s">
        <v>28</v>
      </c>
      <c r="C7" s="16" t="s">
        <v>40</v>
      </c>
      <c r="D7" s="16" t="s">
        <v>66</v>
      </c>
      <c r="E7" s="16"/>
      <c r="F7" s="16" t="s">
        <v>17</v>
      </c>
      <c r="G7" s="16" t="s">
        <v>15</v>
      </c>
      <c r="H7" s="21">
        <v>34792.879999999997</v>
      </c>
      <c r="I7" s="16" t="s">
        <v>65</v>
      </c>
      <c r="J7" s="16"/>
      <c r="K7" s="16" t="s">
        <v>64</v>
      </c>
      <c r="L7" s="16"/>
      <c r="M7" s="16"/>
    </row>
    <row r="8" spans="1:13" ht="39.950000000000003" customHeight="1" x14ac:dyDescent="0.25">
      <c r="A8" s="16" t="s">
        <v>91</v>
      </c>
      <c r="B8" s="16" t="s">
        <v>28</v>
      </c>
      <c r="C8" s="16" t="s">
        <v>40</v>
      </c>
      <c r="D8" s="16" t="s">
        <v>63</v>
      </c>
      <c r="E8" s="16"/>
      <c r="F8" s="16" t="s">
        <v>21</v>
      </c>
      <c r="G8" s="16" t="s">
        <v>11</v>
      </c>
      <c r="H8" s="21">
        <v>32151.03</v>
      </c>
      <c r="I8" s="16" t="s">
        <v>62</v>
      </c>
      <c r="J8" s="16"/>
      <c r="K8" s="16" t="s">
        <v>61</v>
      </c>
      <c r="L8" s="16"/>
      <c r="M8" s="16"/>
    </row>
    <row r="9" spans="1:13" ht="39.950000000000003" customHeight="1" x14ac:dyDescent="0.25">
      <c r="A9" s="16" t="s">
        <v>92</v>
      </c>
      <c r="B9" s="16" t="s">
        <v>28</v>
      </c>
      <c r="C9" s="16" t="s">
        <v>40</v>
      </c>
      <c r="D9" s="16" t="s">
        <v>60</v>
      </c>
      <c r="E9" s="16"/>
      <c r="F9" s="16" t="s">
        <v>10</v>
      </c>
      <c r="G9" s="16" t="s">
        <v>11</v>
      </c>
      <c r="H9" s="21">
        <v>10087.06</v>
      </c>
      <c r="I9" s="16"/>
      <c r="J9" s="16"/>
      <c r="K9" s="16" t="s">
        <v>59</v>
      </c>
      <c r="L9" s="16"/>
      <c r="M9" s="16"/>
    </row>
    <row r="10" spans="1:13" ht="39.950000000000003" customHeight="1" x14ac:dyDescent="0.25">
      <c r="A10" s="16" t="s">
        <v>93</v>
      </c>
      <c r="B10" s="16" t="s">
        <v>35</v>
      </c>
      <c r="C10" s="16" t="s">
        <v>40</v>
      </c>
      <c r="D10" s="16" t="s">
        <v>58</v>
      </c>
      <c r="E10" s="16"/>
      <c r="F10" s="16" t="s">
        <v>13</v>
      </c>
      <c r="G10" s="16" t="s">
        <v>15</v>
      </c>
      <c r="H10" s="21">
        <v>33375</v>
      </c>
      <c r="I10" s="16" t="s">
        <v>57</v>
      </c>
      <c r="J10" s="16"/>
      <c r="K10" s="16" t="s">
        <v>56</v>
      </c>
      <c r="L10" s="16"/>
      <c r="M10" s="16"/>
    </row>
    <row r="11" spans="1:13" ht="39.950000000000003" customHeight="1" x14ac:dyDescent="0.25">
      <c r="A11" s="16" t="s">
        <v>94</v>
      </c>
      <c r="B11" s="16" t="s">
        <v>28</v>
      </c>
      <c r="C11" s="16" t="s">
        <v>40</v>
      </c>
      <c r="D11" s="16" t="s">
        <v>55</v>
      </c>
      <c r="E11" s="16" t="s">
        <v>54</v>
      </c>
      <c r="F11" s="16" t="s">
        <v>17</v>
      </c>
      <c r="G11" s="16" t="s">
        <v>15</v>
      </c>
      <c r="H11" s="21">
        <v>38960</v>
      </c>
      <c r="I11" s="16" t="s">
        <v>53</v>
      </c>
      <c r="J11" s="16"/>
      <c r="K11" s="16" t="s">
        <v>52</v>
      </c>
      <c r="L11" s="16" t="s">
        <v>51</v>
      </c>
      <c r="M11" s="16"/>
    </row>
    <row r="12" spans="1:13" ht="39.950000000000003" customHeight="1" x14ac:dyDescent="0.25">
      <c r="A12" s="16" t="s">
        <v>95</v>
      </c>
      <c r="B12" s="16" t="s">
        <v>28</v>
      </c>
      <c r="C12" s="16" t="s">
        <v>40</v>
      </c>
      <c r="D12" s="16" t="s">
        <v>50</v>
      </c>
      <c r="E12" s="16"/>
      <c r="F12" s="16" t="s">
        <v>20</v>
      </c>
      <c r="G12" s="16" t="s">
        <v>15</v>
      </c>
      <c r="H12" s="21">
        <v>16060.75</v>
      </c>
      <c r="I12" s="16" t="s">
        <v>49</v>
      </c>
      <c r="J12" s="16"/>
      <c r="K12" s="16" t="s">
        <v>48</v>
      </c>
      <c r="L12" s="16"/>
      <c r="M12" s="16"/>
    </row>
    <row r="13" spans="1:13" ht="39.950000000000003" customHeight="1" x14ac:dyDescent="0.25">
      <c r="A13" s="16" t="s">
        <v>96</v>
      </c>
      <c r="B13" s="16" t="s">
        <v>28</v>
      </c>
      <c r="C13" s="16" t="s">
        <v>40</v>
      </c>
      <c r="D13" s="16" t="s">
        <v>47</v>
      </c>
      <c r="E13" s="16"/>
      <c r="F13" s="16" t="s">
        <v>17</v>
      </c>
      <c r="G13" s="16" t="s">
        <v>15</v>
      </c>
      <c r="H13" s="21">
        <v>10534.94</v>
      </c>
      <c r="I13" s="16" t="s">
        <v>46</v>
      </c>
      <c r="J13" s="16"/>
      <c r="K13" s="16" t="s">
        <v>45</v>
      </c>
      <c r="L13" s="16"/>
      <c r="M13" s="16"/>
    </row>
    <row r="14" spans="1:13" ht="39.950000000000003" customHeight="1" x14ac:dyDescent="0.25">
      <c r="A14" s="16" t="s">
        <v>44</v>
      </c>
      <c r="B14" s="16" t="s">
        <v>28</v>
      </c>
      <c r="C14" s="16" t="s">
        <v>27</v>
      </c>
      <c r="D14" s="16" t="s">
        <v>43</v>
      </c>
      <c r="E14" s="16"/>
      <c r="F14" s="16" t="s">
        <v>16</v>
      </c>
      <c r="G14" s="16" t="s">
        <v>15</v>
      </c>
      <c r="H14" s="21">
        <v>31318.69</v>
      </c>
      <c r="I14" s="16" t="s">
        <v>42</v>
      </c>
      <c r="J14" s="16"/>
      <c r="K14" s="16" t="s">
        <v>41</v>
      </c>
      <c r="L14" s="16"/>
      <c r="M14" s="16"/>
    </row>
    <row r="15" spans="1:13" ht="39.950000000000003" customHeight="1" x14ac:dyDescent="0.25">
      <c r="A15" s="16" t="s">
        <v>97</v>
      </c>
      <c r="B15" s="16" t="s">
        <v>28</v>
      </c>
      <c r="C15" s="16" t="s">
        <v>40</v>
      </c>
      <c r="D15" s="16" t="s">
        <v>39</v>
      </c>
      <c r="E15" s="16"/>
      <c r="F15" s="16" t="s">
        <v>18</v>
      </c>
      <c r="G15" s="16" t="s">
        <v>11</v>
      </c>
      <c r="H15" s="21">
        <v>18073.689999999999</v>
      </c>
      <c r="I15" s="16" t="s">
        <v>38</v>
      </c>
      <c r="J15" s="16"/>
      <c r="K15" s="16" t="s">
        <v>37</v>
      </c>
      <c r="L15" s="16"/>
      <c r="M15" s="16"/>
    </row>
    <row r="16" spans="1:13" ht="39.950000000000003" customHeight="1" x14ac:dyDescent="0.25">
      <c r="A16" s="16" t="s">
        <v>36</v>
      </c>
      <c r="B16" s="16" t="s">
        <v>35</v>
      </c>
      <c r="C16" s="16" t="s">
        <v>27</v>
      </c>
      <c r="D16" s="16" t="s">
        <v>34</v>
      </c>
      <c r="E16" s="16" t="s">
        <v>33</v>
      </c>
      <c r="F16" s="16" t="s">
        <v>19</v>
      </c>
      <c r="G16" s="16" t="s">
        <v>15</v>
      </c>
      <c r="H16" s="21">
        <v>31935.94</v>
      </c>
      <c r="I16" s="16" t="s">
        <v>32</v>
      </c>
      <c r="J16" s="16"/>
      <c r="K16" s="16" t="s">
        <v>31</v>
      </c>
      <c r="L16" s="16" t="s">
        <v>30</v>
      </c>
      <c r="M16" s="16"/>
    </row>
    <row r="17" spans="1:13" ht="39.950000000000003" customHeight="1" x14ac:dyDescent="0.25">
      <c r="A17" s="16" t="s">
        <v>29</v>
      </c>
      <c r="B17" s="16" t="s">
        <v>28</v>
      </c>
      <c r="C17" s="16" t="s">
        <v>27</v>
      </c>
      <c r="D17" s="16" t="s">
        <v>26</v>
      </c>
      <c r="E17" s="16"/>
      <c r="F17" s="16" t="s">
        <v>16</v>
      </c>
      <c r="G17" s="16" t="s">
        <v>15</v>
      </c>
      <c r="H17" s="21">
        <v>36303.25</v>
      </c>
      <c r="I17" s="16" t="s">
        <v>25</v>
      </c>
      <c r="J17" s="16"/>
      <c r="K17" s="16" t="s">
        <v>24</v>
      </c>
      <c r="L17" s="16"/>
      <c r="M17" s="16"/>
    </row>
    <row r="18" spans="1:13" ht="39.950000000000003" customHeight="1" x14ac:dyDescent="0.25">
      <c r="A18" s="16" t="s">
        <v>107</v>
      </c>
      <c r="B18" s="16" t="s">
        <v>28</v>
      </c>
      <c r="C18" s="16" t="s">
        <v>40</v>
      </c>
      <c r="D18" s="16" t="s">
        <v>106</v>
      </c>
      <c r="E18" s="16"/>
      <c r="F18" s="16" t="s">
        <v>17</v>
      </c>
      <c r="G18" s="16" t="s">
        <v>11</v>
      </c>
      <c r="H18" s="21">
        <v>42672</v>
      </c>
      <c r="I18" s="16" t="s">
        <v>105</v>
      </c>
      <c r="J18" s="16"/>
      <c r="K18" s="16" t="s">
        <v>104</v>
      </c>
      <c r="L18" s="16"/>
      <c r="M18" s="16"/>
    </row>
    <row r="19" spans="1:13" ht="39.950000000000003" customHeight="1" x14ac:dyDescent="0.25">
      <c r="A19" s="22"/>
      <c r="B19" s="22"/>
      <c r="C19" s="22"/>
      <c r="D19" s="22" t="s">
        <v>103</v>
      </c>
      <c r="E19" s="22"/>
      <c r="F19" s="22"/>
      <c r="G19" s="22"/>
      <c r="H19" s="23">
        <f>SUM(H4:H18)</f>
        <v>450125.75</v>
      </c>
      <c r="I19" s="22"/>
      <c r="J19" s="22"/>
      <c r="K19" s="22"/>
      <c r="L19" s="22"/>
      <c r="M19" s="22"/>
    </row>
    <row r="20" spans="1:13" ht="39.950000000000003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3" ht="39.950000000000003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</sheetData>
  <mergeCells count="2">
    <mergeCell ref="A2:F2"/>
    <mergeCell ref="G2:M2"/>
  </mergeCells>
  <pageMargins left="0.7" right="0.7" top="0.75" bottom="0.75" header="0.3" footer="0.3"/>
  <pageSetup paperSize="5" scale="6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5F4A-E669-4F2D-AACA-A2C46D1FBC9B}">
  <sheetPr>
    <pageSetUpPr fitToPage="1"/>
  </sheetPr>
  <dimension ref="A1:E30"/>
  <sheetViews>
    <sheetView workbookViewId="0">
      <pane ySplit="3" topLeftCell="A4" activePane="bottomLeft" state="frozen"/>
      <selection pane="bottomLeft" activeCell="F1" sqref="F1:F1048576"/>
    </sheetView>
  </sheetViews>
  <sheetFormatPr defaultRowHeight="15" x14ac:dyDescent="0.25"/>
  <cols>
    <col min="1" max="1" width="16.42578125" style="5" bestFit="1" customWidth="1"/>
    <col min="2" max="2" width="14" style="5" bestFit="1" customWidth="1"/>
    <col min="3" max="3" width="21.42578125" style="5" bestFit="1" customWidth="1"/>
    <col min="4" max="4" width="23.85546875" style="5" bestFit="1" customWidth="1"/>
    <col min="5" max="5" width="31.85546875" style="5" bestFit="1" customWidth="1"/>
    <col min="6" max="16384" width="9.140625" style="5"/>
  </cols>
  <sheetData>
    <row r="1" spans="1:5" x14ac:dyDescent="0.25">
      <c r="A1" s="6"/>
      <c r="B1" s="6"/>
      <c r="C1" s="6" t="s">
        <v>3</v>
      </c>
      <c r="D1" s="7">
        <v>45663</v>
      </c>
      <c r="E1" s="6" t="s">
        <v>2</v>
      </c>
    </row>
    <row r="2" spans="1:5" x14ac:dyDescent="0.25">
      <c r="A2" s="12" t="s">
        <v>0</v>
      </c>
      <c r="B2" s="13"/>
      <c r="C2" s="13"/>
      <c r="D2" s="14" t="s">
        <v>102</v>
      </c>
      <c r="E2" s="13"/>
    </row>
    <row r="3" spans="1:5" x14ac:dyDescent="0.25">
      <c r="A3" s="6" t="s">
        <v>85</v>
      </c>
      <c r="B3" s="6" t="s">
        <v>83</v>
      </c>
      <c r="C3" s="6" t="s">
        <v>82</v>
      </c>
      <c r="D3" s="6" t="s">
        <v>81</v>
      </c>
      <c r="E3" s="6" t="s">
        <v>4</v>
      </c>
    </row>
    <row r="4" spans="1:5" x14ac:dyDescent="0.25">
      <c r="A4" s="6" t="s">
        <v>44</v>
      </c>
      <c r="B4" s="6" t="s">
        <v>27</v>
      </c>
      <c r="C4" s="6" t="s">
        <v>43</v>
      </c>
      <c r="D4" s="6"/>
      <c r="E4" s="6" t="s">
        <v>16</v>
      </c>
    </row>
    <row r="5" spans="1:5" x14ac:dyDescent="0.25">
      <c r="A5" s="6" t="s">
        <v>36</v>
      </c>
      <c r="B5" s="6" t="s">
        <v>27</v>
      </c>
      <c r="C5" s="6" t="s">
        <v>34</v>
      </c>
      <c r="D5" s="6" t="s">
        <v>33</v>
      </c>
      <c r="E5" s="6" t="s">
        <v>19</v>
      </c>
    </row>
    <row r="6" spans="1:5" x14ac:dyDescent="0.25">
      <c r="A6" s="6" t="s">
        <v>29</v>
      </c>
      <c r="B6" s="6" t="s">
        <v>27</v>
      </c>
      <c r="C6" s="6" t="s">
        <v>26</v>
      </c>
      <c r="D6" s="6"/>
      <c r="E6" s="6" t="s">
        <v>16</v>
      </c>
    </row>
    <row r="7" spans="1:5" x14ac:dyDescent="0.25">
      <c r="A7" s="8"/>
      <c r="B7" s="8"/>
      <c r="C7" s="8" t="s">
        <v>101</v>
      </c>
      <c r="D7" s="8"/>
      <c r="E7" s="8"/>
    </row>
    <row r="8" spans="1:5" x14ac:dyDescent="0.25">
      <c r="A8" s="6"/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100</v>
      </c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99</v>
      </c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 t="s">
        <v>98</v>
      </c>
      <c r="B18" s="6"/>
      <c r="C18" s="6"/>
      <c r="D18" s="6"/>
      <c r="E18" s="6"/>
    </row>
    <row r="19" spans="1:5" x14ac:dyDescent="0.25">
      <c r="A19" s="6"/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  <row r="21" spans="1:5" x14ac:dyDescent="0.25">
      <c r="A21" s="6"/>
      <c r="B21" s="6"/>
      <c r="C21" s="6"/>
      <c r="D21" s="6"/>
      <c r="E21" s="6"/>
    </row>
    <row r="22" spans="1:5" x14ac:dyDescent="0.25">
      <c r="A22" s="6"/>
      <c r="B22" s="6"/>
      <c r="C22" s="6"/>
      <c r="D22" s="6"/>
      <c r="E22" s="6"/>
    </row>
    <row r="23" spans="1:5" x14ac:dyDescent="0.25">
      <c r="A23" s="6"/>
      <c r="B23" s="6"/>
      <c r="C23" s="6"/>
      <c r="D23" s="6"/>
      <c r="E23" s="6"/>
    </row>
    <row r="24" spans="1:5" x14ac:dyDescent="0.25">
      <c r="A24" s="6"/>
      <c r="B24" s="6"/>
      <c r="C24" s="6"/>
      <c r="D24" s="6"/>
      <c r="E24" s="6"/>
    </row>
    <row r="25" spans="1:5" x14ac:dyDescent="0.25">
      <c r="A25" s="6"/>
      <c r="B25" s="6"/>
      <c r="C25" s="6"/>
      <c r="D25" s="6"/>
      <c r="E25" s="6"/>
    </row>
    <row r="26" spans="1:5" x14ac:dyDescent="0.25">
      <c r="A26" s="6"/>
      <c r="B26" s="6"/>
      <c r="C26" s="6"/>
      <c r="D26" s="6"/>
      <c r="E26" s="6"/>
    </row>
    <row r="27" spans="1:5" x14ac:dyDescent="0.25">
      <c r="A27" s="6"/>
      <c r="B27" s="6"/>
      <c r="C27" s="6"/>
      <c r="D27" s="6"/>
      <c r="E27" s="6"/>
    </row>
    <row r="28" spans="1:5" x14ac:dyDescent="0.25">
      <c r="A28" s="6"/>
      <c r="B28" s="6"/>
      <c r="C28" s="6"/>
      <c r="D28" s="6"/>
      <c r="E28" s="6"/>
    </row>
    <row r="29" spans="1:5" x14ac:dyDescent="0.25">
      <c r="A29" s="6"/>
      <c r="B29" s="6"/>
      <c r="C29" s="6"/>
      <c r="D29" s="6"/>
      <c r="E29" s="6"/>
    </row>
    <row r="30" spans="1:5" x14ac:dyDescent="0.25">
      <c r="A30" s="6"/>
      <c r="B30" s="6"/>
      <c r="C30" s="6"/>
      <c r="D30" s="6"/>
      <c r="E30" s="6"/>
    </row>
  </sheetData>
  <mergeCells count="2">
    <mergeCell ref="A2:C2"/>
    <mergeCell ref="D2:E2"/>
  </mergeCells>
  <pageMargins left="0.7" right="0.7" top="0.75" bottom="0.75" header="0.3" footer="0.3"/>
  <pageSetup scale="77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 (2)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2025-01-06T19:55:03Z</cp:lastPrinted>
  <dcterms:created xsi:type="dcterms:W3CDTF">2025-01-06T19:15:57Z</dcterms:created>
  <dcterms:modified xsi:type="dcterms:W3CDTF">2025-01-06T19:55:10Z</dcterms:modified>
</cp:coreProperties>
</file>