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4C136949-1327-45DA-B9FF-28C516474340}" xr6:coauthVersionLast="47" xr6:coauthVersionMax="47" xr10:uidLastSave="{00000000-0000-0000-0000-000000000000}"/>
  <bookViews>
    <workbookView xWindow="32505" yWindow="210" windowWidth="21285" windowHeight="150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definedNames>
    <definedName name="_xlnm.Print_Area" localSheetId="1">'Funding Worksheet - ACH'!$A$1:$H$29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G16" i="2"/>
  <c r="G13" i="2"/>
  <c r="G10" i="2"/>
  <c r="G5" i="2"/>
  <c r="H29" i="2"/>
  <c r="F29" i="2"/>
  <c r="E29" i="2"/>
  <c r="D29" i="2"/>
  <c r="H19" i="1"/>
</calcChain>
</file>

<file path=xl/sharedStrings.xml><?xml version="1.0" encoding="utf-8"?>
<sst xmlns="http://schemas.openxmlformats.org/spreadsheetml/2006/main" count="205" uniqueCount="113">
  <si>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</si>
  <si>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</si>
  <si>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</si>
  <si>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</si>
  <si>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</si>
  <si>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</si>
  <si>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</si>
  <si>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</si>
  <si>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</si>
  <si>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</si>
  <si>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</si>
  <si>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</si>
  <si>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</si>
  <si>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</si>
  <si>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</si>
  <si>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</si>
  <si>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</si>
  <si>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ARANCIO, DONNA</t>
  </si>
  <si>
    <t>Planet Subaru</t>
  </si>
  <si>
    <t>Marlene Braganca</t>
  </si>
  <si>
    <t>DONNA2PAUL@GMAIL.COM</t>
  </si>
  <si>
    <t>Potter</t>
  </si>
  <si>
    <t>Route One</t>
  </si>
  <si>
    <t>DUREPO, COLLEEN</t>
  </si>
  <si>
    <t>Patriot Auto Group Inc d/b/a</t>
  </si>
  <si>
    <t>jdurepo@hotmail.com</t>
  </si>
  <si>
    <t>SCARF</t>
  </si>
  <si>
    <t>MELLO, JOSHUA</t>
  </si>
  <si>
    <t>Alden Mazda</t>
  </si>
  <si>
    <t>AYDENJOSH909@ICLOUD.COM</t>
  </si>
  <si>
    <t>Methia</t>
  </si>
  <si>
    <t>GALLANT, DEBORAH</t>
  </si>
  <si>
    <t>Neli Oliveira</t>
  </si>
  <si>
    <t>DGALLANT85@YAHOO.COM</t>
  </si>
  <si>
    <t>DONNELLY</t>
  </si>
  <si>
    <t>DEMELLO, WENDY</t>
  </si>
  <si>
    <t>Wareham Ford</t>
  </si>
  <si>
    <t>wdemello11@gmail.com</t>
  </si>
  <si>
    <t>LACHAPELLE</t>
  </si>
  <si>
    <t>HICKS, ROBERT</t>
  </si>
  <si>
    <t>HICKS, JEANNE</t>
  </si>
  <si>
    <t>rh216563@gmail.com</t>
  </si>
  <si>
    <t>jellen125@aol.com</t>
  </si>
  <si>
    <t>CELIA</t>
  </si>
  <si>
    <t>ESTES</t>
  </si>
  <si>
    <t>BRASELLS, SUE</t>
  </si>
  <si>
    <t>SUE.ANN.BRASELLS@COMCAST.NET</t>
  </si>
  <si>
    <t>Daley</t>
  </si>
  <si>
    <t>151215194</t>
  </si>
  <si>
    <t>Paper</t>
  </si>
  <si>
    <t>FINDLEN, AIDAN</t>
  </si>
  <si>
    <t>Planet Automotive Sales LLC</t>
  </si>
  <si>
    <t>Rachel Gorham</t>
  </si>
  <si>
    <t>AIDAN.FINDLEN@OUTLOOK.COM</t>
  </si>
  <si>
    <t>RAFFERTY</t>
  </si>
  <si>
    <t>WONSER, DYLAN</t>
  </si>
  <si>
    <t>T F Murphy Enterprises Inc</t>
  </si>
  <si>
    <t>DYLANZAMIRA@YAHOO.COM</t>
  </si>
  <si>
    <t>WONSER</t>
  </si>
  <si>
    <t>151215219</t>
  </si>
  <si>
    <t>DONNELLY, SARAH</t>
  </si>
  <si>
    <t>NARSA AMC LLC d/b/a</t>
  </si>
  <si>
    <t>SARAHWDONNELLY@GMAIL.COM</t>
  </si>
  <si>
    <t>MURPHY</t>
  </si>
  <si>
    <t>151215227</t>
  </si>
  <si>
    <t>VENUTI, JOHN</t>
  </si>
  <si>
    <t>JV@GMAIL.COM</t>
  </si>
  <si>
    <t>CHIRELLI</t>
  </si>
  <si>
    <t>MCVEIGH, EDWARD</t>
  </si>
  <si>
    <t>Lucchettis Service Center Inc</t>
  </si>
  <si>
    <t>EDWARD.MCVEIGHIII@VERIZON.NET</t>
  </si>
  <si>
    <t>SMITH</t>
  </si>
  <si>
    <t>LESZCZYNSKI, NANCY</t>
  </si>
  <si>
    <t>EWELL, CHARLES</t>
  </si>
  <si>
    <t>RAH FALL RIVER VW, LLC</t>
  </si>
  <si>
    <t>NLESZCZYNSKI@MAC.COM</t>
  </si>
  <si>
    <t>JAKUBIEC</t>
  </si>
  <si>
    <t>AMORY</t>
  </si>
  <si>
    <t>Oconnor, Jacquelyn</t>
  </si>
  <si>
    <t>Salvadore Chrysler</t>
  </si>
  <si>
    <t>j-oconnor@live.com</t>
  </si>
  <si>
    <t>KELLY</t>
  </si>
  <si>
    <t>Tzouganatos, Julianne</t>
  </si>
  <si>
    <t>jmtzouganatos@gmail.com</t>
  </si>
  <si>
    <t>HICKEY</t>
  </si>
  <si>
    <t># 15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</si>
  <si>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</si>
  <si>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</si>
  <si>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</si>
  <si>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</si>
  <si>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</si>
  <si>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</si>
  <si>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</si>
  <si>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auto mall-NARSA AMC LLC d/b/a</t>
  </si>
  <si>
    <t>honda-Patriot Auto Group Inc d/b/a</t>
  </si>
  <si>
    <t>Funding Worksheet - Signoff Version</t>
  </si>
  <si>
    <t># 3</t>
  </si>
  <si>
    <t>Original Notes Delivered</t>
  </si>
  <si>
    <t>Delivered by:</t>
  </si>
  <si>
    <t>Received by:</t>
  </si>
  <si>
    <t>Date Signed:</t>
  </si>
  <si>
    <t>151214906 E</t>
  </si>
  <si>
    <t>151215061 E</t>
  </si>
  <si>
    <t>151215079 E</t>
  </si>
  <si>
    <t>151215186 E</t>
  </si>
  <si>
    <t>151215102 E</t>
  </si>
  <si>
    <t>151215110 E</t>
  </si>
  <si>
    <t>151215201 E</t>
  </si>
  <si>
    <t>151215300 E</t>
  </si>
  <si>
    <t>151215269 E</t>
  </si>
  <si>
    <t>151215251 E</t>
  </si>
  <si>
    <t>151215235 E</t>
  </si>
  <si>
    <t>151215128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</si>
</sst>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7" fontId="2" fillId="0" borderId="0" xfId="0" applyNumberFormat="1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right"/>
    </xf>
    <xf numFmtId="7" fontId="3" fillId="0" borderId="0" xfId="0" applyNumberFormat="1" applyFont="1"/>
    <xf numFmtId="0" fontId="5" fillId="0" borderId="0" xfId="0" applyFont="1"/>
    <xf numFmtId="7" fontId="5" fillId="0" borderId="0" xfId="0" applyNumberFormat="1" applyFon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9" headerRowDxfId="2" dataDxfId="0" totalsRowDxfId="1">
  <sortState xmlns:xlrd2="http://schemas.microsoft.com/office/spreadsheetml/2017/richdata2" ref="A4:L19">
    <sortCondition ref="G4:G19"/>
  </sortState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BE3CE9-D70D-4EE7-A2CA-9694ADB1C4D6}" name="Table_14" displayName="Table_14" ref="A3:H29">
  <sortState xmlns:xlrd2="http://schemas.microsoft.com/office/spreadsheetml/2017/richdata2" ref="A4:H29">
    <sortCondition ref="A4:A29"/>
  </sortState>
  <tableColumns count="8">
    <tableColumn id="1" xr3:uid="{3A77FE14-DED8-4A5E-A842-EE9F6E5318FE}" name="Dealer Name"/>
    <tableColumn id="8" xr3:uid="{760F236D-05C1-4B0E-9E85-14C314BA0F99}" name="Column2"/>
    <tableColumn id="2" xr3:uid="{03527D74-05F1-47D8-A1A8-D12A81B8E4EE}" name="Funded by"/>
    <tableColumn id="3" xr3:uid="{770BCDF2-28DF-4110-8B17-204787B84AB3}" name="Dealer Flat"/>
    <tableColumn id="4" xr3:uid="{A9AC7788-B265-4D59-A910-466DB03CAE49}" name="Dealer Split"/>
    <tableColumn id="5" xr3:uid="{257368FE-1EB0-4ADA-B107-67CD0955440F}" name="Net to Dealer"/>
    <tableColumn id="7" xr3:uid="{1ED6680B-C3CE-4753-9A08-524A4263977E}" name="Column1" dataDxfId="15"/>
    <tableColumn id="6" xr3:uid="{5F704103-8D2E-4EE3-A6C6-598247FA93CB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963B27-8CDD-4062-8170-D56B0D3766EA}" name="Table_15" displayName="Table_15" ref="A3:F7">
  <tableColumns count="6">
    <tableColumn id="1" xr3:uid="{058365A0-868B-4CE5-B2E2-F1328DC8B754}" name="Account Number"/>
    <tableColumn id="2" xr3:uid="{FF4B9881-4307-4420-8B9A-8ED6352CCEBF}" name="Contract Type"/>
    <tableColumn id="3" xr3:uid="{7E17ACEB-89FA-4DCC-94EB-235CA76A2B7F}" name="Applicant Name"/>
    <tableColumn id="4" xr3:uid="{092DC8E9-CB20-4093-B5AF-95AAF548BA46}" name="Co-Applicant Name"/>
    <tableColumn id="5" xr3:uid="{34597FD4-973A-44FE-B3C4-A4EC8C58F353}" name="Dealer Name"/>
    <tableColumn id="6" xr3:uid="{593C2F6F-BAFF-47DC-9647-ECB3A2AAC1AB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"/>
  <sheetViews>
    <sheetView tabSelected="1" topLeftCell="C1" workbookViewId="0">
      <pane ySplit="3" topLeftCell="A4" activePane="bottomLeft" state="frozen"/>
      <selection pane="bottomLeft" activeCell="G15" sqref="G15"/>
    </sheetView>
  </sheetViews>
  <sheetFormatPr defaultRowHeight="15.75" x14ac:dyDescent="0.25"/>
  <cols>
    <col min="1" max="1" width="14.140625" style="10" customWidth="1"/>
    <col min="2" max="2" width="12.140625" style="10" bestFit="1" customWidth="1"/>
    <col min="3" max="3" width="11.5703125" style="10" customWidth="1"/>
    <col min="4" max="4" width="21.28515625" style="10" bestFit="1" customWidth="1"/>
    <col min="5" max="5" width="16.42578125" style="10" customWidth="1"/>
    <col min="6" max="6" width="27.85546875" style="10" bestFit="1" customWidth="1"/>
    <col min="7" max="7" width="17.7109375" style="10" bestFit="1" customWidth="1"/>
    <col min="8" max="8" width="17.140625" style="10" bestFit="1" customWidth="1"/>
    <col min="9" max="9" width="34.5703125" style="10" bestFit="1" customWidth="1"/>
    <col min="10" max="10" width="18.5703125" style="10" bestFit="1" customWidth="1"/>
    <col min="11" max="11" width="16.140625" style="10" bestFit="1" customWidth="1"/>
    <col min="12" max="12" width="7.85546875" style="10" customWidth="1"/>
    <col min="13" max="16384" width="9.140625" style="10"/>
  </cols>
  <sheetData>
    <row r="1" spans="1:12" s="10" customFormat="1" x14ac:dyDescent="0.25">
      <c r="K1" s="11">
        <v>45888</v>
      </c>
      <c r="L1" s="12"/>
    </row>
    <row r="2" spans="1:12" s="10" customFormat="1" x14ac:dyDescent="0.25">
      <c r="A2" s="13" t="s">
        <v>0</v>
      </c>
      <c r="B2" s="14"/>
      <c r="C2" s="14"/>
      <c r="D2" s="14"/>
      <c r="E2" s="14"/>
      <c r="F2" s="14"/>
      <c r="G2" s="15" t="s">
        <v>1</v>
      </c>
      <c r="H2" s="14"/>
      <c r="I2" s="14"/>
      <c r="J2" s="14"/>
      <c r="K2" s="14"/>
      <c r="L2" s="14"/>
    </row>
    <row r="3" spans="1:12" s="10" customForma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</row>
    <row r="4" spans="1:12" s="10" customFormat="1" ht="33" customHeight="1" x14ac:dyDescent="0.25">
      <c r="A4" s="10" t="s">
        <v>101</v>
      </c>
      <c r="B4" s="10" t="s">
        <v>15</v>
      </c>
      <c r="C4" s="10" t="s">
        <v>16</v>
      </c>
      <c r="D4" s="10" t="s">
        <v>17</v>
      </c>
      <c r="F4" s="10" t="s">
        <v>18</v>
      </c>
      <c r="G4" s="10" t="s">
        <v>19</v>
      </c>
      <c r="H4" s="16">
        <v>28433.25</v>
      </c>
      <c r="I4" s="10" t="s">
        <v>20</v>
      </c>
      <c r="K4" s="10" t="s">
        <v>21</v>
      </c>
    </row>
    <row r="5" spans="1:12" s="10" customFormat="1" ht="33" customHeight="1" x14ac:dyDescent="0.25">
      <c r="A5" s="10" t="s">
        <v>102</v>
      </c>
      <c r="B5" s="10" t="s">
        <v>22</v>
      </c>
      <c r="C5" s="10" t="s">
        <v>16</v>
      </c>
      <c r="D5" s="10" t="s">
        <v>23</v>
      </c>
      <c r="F5" s="10" t="s">
        <v>24</v>
      </c>
      <c r="G5" s="10" t="s">
        <v>19</v>
      </c>
      <c r="H5" s="16">
        <v>36324.559999999998</v>
      </c>
      <c r="I5" s="10" t="s">
        <v>25</v>
      </c>
      <c r="K5" s="10" t="s">
        <v>26</v>
      </c>
    </row>
    <row r="6" spans="1:12" s="10" customFormat="1" ht="33" customHeight="1" x14ac:dyDescent="0.25">
      <c r="A6" s="10" t="s">
        <v>103</v>
      </c>
      <c r="B6" s="10" t="s">
        <v>22</v>
      </c>
      <c r="C6" s="10" t="s">
        <v>16</v>
      </c>
      <c r="D6" s="10" t="s">
        <v>27</v>
      </c>
      <c r="F6" s="10" t="s">
        <v>28</v>
      </c>
      <c r="G6" s="10" t="s">
        <v>19</v>
      </c>
      <c r="H6" s="16">
        <v>25285.19</v>
      </c>
      <c r="I6" s="10" t="s">
        <v>29</v>
      </c>
      <c r="K6" s="10" t="s">
        <v>30</v>
      </c>
    </row>
    <row r="7" spans="1:12" s="10" customFormat="1" ht="33" customHeight="1" x14ac:dyDescent="0.25">
      <c r="A7" s="10" t="s">
        <v>104</v>
      </c>
      <c r="B7" s="10" t="s">
        <v>22</v>
      </c>
      <c r="C7" s="10" t="s">
        <v>16</v>
      </c>
      <c r="D7" s="10" t="s">
        <v>45</v>
      </c>
      <c r="F7" s="10" t="s">
        <v>28</v>
      </c>
      <c r="G7" s="10" t="s">
        <v>19</v>
      </c>
      <c r="H7" s="16">
        <v>11986.44</v>
      </c>
      <c r="I7" s="10" t="s">
        <v>46</v>
      </c>
      <c r="K7" s="10" t="s">
        <v>47</v>
      </c>
    </row>
    <row r="8" spans="1:12" s="10" customFormat="1" ht="33" customHeight="1" x14ac:dyDescent="0.25">
      <c r="A8" s="10" t="s">
        <v>105</v>
      </c>
      <c r="B8" s="10" t="s">
        <v>15</v>
      </c>
      <c r="C8" s="10" t="s">
        <v>16</v>
      </c>
      <c r="D8" s="10" t="s">
        <v>31</v>
      </c>
      <c r="F8" s="10" t="s">
        <v>18</v>
      </c>
      <c r="G8" s="10" t="s">
        <v>32</v>
      </c>
      <c r="H8" s="16">
        <v>10000</v>
      </c>
      <c r="I8" s="10" t="s">
        <v>33</v>
      </c>
      <c r="K8" s="10" t="s">
        <v>34</v>
      </c>
    </row>
    <row r="9" spans="1:12" s="10" customFormat="1" ht="33" customHeight="1" x14ac:dyDescent="0.25">
      <c r="A9" s="10" t="s">
        <v>106</v>
      </c>
      <c r="B9" s="10" t="s">
        <v>22</v>
      </c>
      <c r="C9" s="10" t="s">
        <v>16</v>
      </c>
      <c r="D9" s="10" t="s">
        <v>35</v>
      </c>
      <c r="F9" s="10" t="s">
        <v>36</v>
      </c>
      <c r="G9" s="10" t="s">
        <v>32</v>
      </c>
      <c r="H9" s="16">
        <v>40839.67</v>
      </c>
      <c r="I9" s="10" t="s">
        <v>37</v>
      </c>
      <c r="K9" s="10" t="s">
        <v>38</v>
      </c>
    </row>
    <row r="10" spans="1:12" s="10" customFormat="1" ht="33" customHeight="1" x14ac:dyDescent="0.25">
      <c r="A10" s="10" t="s">
        <v>112</v>
      </c>
      <c r="B10" s="10" t="s">
        <v>22</v>
      </c>
      <c r="C10" s="10" t="s">
        <v>16</v>
      </c>
      <c r="D10" s="10" t="s">
        <v>39</v>
      </c>
      <c r="E10" s="10" t="s">
        <v>40</v>
      </c>
      <c r="F10" s="10" t="s">
        <v>24</v>
      </c>
      <c r="G10" s="10" t="s">
        <v>32</v>
      </c>
      <c r="H10" s="16">
        <v>19164</v>
      </c>
      <c r="I10" s="10" t="s">
        <v>41</v>
      </c>
      <c r="J10" s="10" t="s">
        <v>42</v>
      </c>
      <c r="K10" s="10" t="s">
        <v>43</v>
      </c>
      <c r="L10" s="10" t="s">
        <v>44</v>
      </c>
    </row>
    <row r="11" spans="1:12" s="10" customFormat="1" ht="33" customHeight="1" x14ac:dyDescent="0.25">
      <c r="A11" s="10" t="s">
        <v>111</v>
      </c>
      <c r="B11" s="10" t="s">
        <v>22</v>
      </c>
      <c r="C11" s="10" t="s">
        <v>16</v>
      </c>
      <c r="D11" s="10" t="s">
        <v>68</v>
      </c>
      <c r="F11" s="10" t="s">
        <v>69</v>
      </c>
      <c r="G11" s="10" t="s">
        <v>32</v>
      </c>
      <c r="H11" s="16">
        <v>50710.19</v>
      </c>
      <c r="I11" s="10" t="s">
        <v>70</v>
      </c>
      <c r="K11" s="10" t="s">
        <v>71</v>
      </c>
    </row>
    <row r="12" spans="1:12" s="10" customFormat="1" ht="33" customHeight="1" x14ac:dyDescent="0.25">
      <c r="A12" s="10" t="s">
        <v>110</v>
      </c>
      <c r="B12" s="10" t="s">
        <v>15</v>
      </c>
      <c r="C12" s="10" t="s">
        <v>16</v>
      </c>
      <c r="D12" s="10" t="s">
        <v>72</v>
      </c>
      <c r="E12" s="10" t="s">
        <v>73</v>
      </c>
      <c r="F12" s="10" t="s">
        <v>74</v>
      </c>
      <c r="G12" s="10" t="s">
        <v>32</v>
      </c>
      <c r="H12" s="16">
        <v>25117.06</v>
      </c>
      <c r="I12" s="10" t="s">
        <v>75</v>
      </c>
      <c r="K12" s="10" t="s">
        <v>76</v>
      </c>
      <c r="L12" s="10" t="s">
        <v>77</v>
      </c>
    </row>
    <row r="13" spans="1:12" s="10" customFormat="1" ht="33" customHeight="1" x14ac:dyDescent="0.25">
      <c r="A13" s="10" t="s">
        <v>109</v>
      </c>
      <c r="B13" s="10" t="s">
        <v>22</v>
      </c>
      <c r="C13" s="10" t="s">
        <v>16</v>
      </c>
      <c r="D13" s="10" t="s">
        <v>78</v>
      </c>
      <c r="F13" s="10" t="s">
        <v>79</v>
      </c>
      <c r="G13" s="10" t="s">
        <v>32</v>
      </c>
      <c r="H13" s="16">
        <v>32497.439999999999</v>
      </c>
      <c r="I13" s="10" t="s">
        <v>80</v>
      </c>
      <c r="K13" s="10" t="s">
        <v>81</v>
      </c>
    </row>
    <row r="14" spans="1:12" s="10" customFormat="1" ht="33" customHeight="1" x14ac:dyDescent="0.25">
      <c r="A14" s="10" t="s">
        <v>108</v>
      </c>
      <c r="B14" s="10" t="s">
        <v>22</v>
      </c>
      <c r="C14" s="10" t="s">
        <v>16</v>
      </c>
      <c r="D14" s="10" t="s">
        <v>82</v>
      </c>
      <c r="F14" s="10" t="s">
        <v>69</v>
      </c>
      <c r="G14" s="10" t="s">
        <v>32</v>
      </c>
      <c r="H14" s="16">
        <v>34063.69</v>
      </c>
      <c r="I14" s="10" t="s">
        <v>83</v>
      </c>
      <c r="K14" s="10" t="s">
        <v>84</v>
      </c>
    </row>
    <row r="15" spans="1:12" s="10" customFormat="1" ht="33" customHeight="1" x14ac:dyDescent="0.25">
      <c r="A15" s="10" t="s">
        <v>48</v>
      </c>
      <c r="B15" s="10" t="s">
        <v>15</v>
      </c>
      <c r="C15" s="10" t="s">
        <v>49</v>
      </c>
      <c r="D15" s="10" t="s">
        <v>50</v>
      </c>
      <c r="F15" s="10" t="s">
        <v>51</v>
      </c>
      <c r="G15" s="10" t="s">
        <v>52</v>
      </c>
      <c r="H15" s="16">
        <v>26955.69</v>
      </c>
      <c r="I15" s="10" t="s">
        <v>53</v>
      </c>
      <c r="K15" s="10" t="s">
        <v>54</v>
      </c>
    </row>
    <row r="16" spans="1:12" s="10" customFormat="1" ht="33" customHeight="1" x14ac:dyDescent="0.25">
      <c r="A16" s="10" t="s">
        <v>107</v>
      </c>
      <c r="B16" s="10" t="s">
        <v>22</v>
      </c>
      <c r="C16" s="10" t="s">
        <v>16</v>
      </c>
      <c r="D16" s="10" t="s">
        <v>55</v>
      </c>
      <c r="F16" s="10" t="s">
        <v>56</v>
      </c>
      <c r="G16" s="10" t="s">
        <v>52</v>
      </c>
      <c r="H16" s="16">
        <v>36177.879999999997</v>
      </c>
      <c r="I16" s="10" t="s">
        <v>57</v>
      </c>
      <c r="K16" s="10" t="s">
        <v>58</v>
      </c>
    </row>
    <row r="17" spans="1:12" s="10" customFormat="1" ht="33" customHeight="1" x14ac:dyDescent="0.25">
      <c r="A17" s="10" t="s">
        <v>59</v>
      </c>
      <c r="B17" s="10" t="s">
        <v>15</v>
      </c>
      <c r="C17" s="10" t="s">
        <v>49</v>
      </c>
      <c r="D17" s="10" t="s">
        <v>60</v>
      </c>
      <c r="F17" s="10" t="s">
        <v>61</v>
      </c>
      <c r="G17" s="10" t="s">
        <v>52</v>
      </c>
      <c r="H17" s="16">
        <v>20953.560000000001</v>
      </c>
      <c r="I17" s="10" t="s">
        <v>62</v>
      </c>
      <c r="K17" s="10" t="s">
        <v>63</v>
      </c>
    </row>
    <row r="18" spans="1:12" s="10" customFormat="1" ht="33" customHeight="1" x14ac:dyDescent="0.25">
      <c r="A18" s="10" t="s">
        <v>64</v>
      </c>
      <c r="B18" s="10" t="s">
        <v>15</v>
      </c>
      <c r="C18" s="10" t="s">
        <v>49</v>
      </c>
      <c r="D18" s="10" t="s">
        <v>65</v>
      </c>
      <c r="F18" s="10" t="s">
        <v>51</v>
      </c>
      <c r="G18" s="10" t="s">
        <v>52</v>
      </c>
      <c r="H18" s="16">
        <v>27001.63</v>
      </c>
      <c r="I18" s="10" t="s">
        <v>66</v>
      </c>
      <c r="K18" s="10" t="s">
        <v>67</v>
      </c>
    </row>
    <row r="19" spans="1:12" s="10" customFormat="1" x14ac:dyDescent="0.25">
      <c r="A19" s="17"/>
      <c r="B19" s="17"/>
      <c r="C19" s="17"/>
      <c r="D19" s="17" t="s">
        <v>85</v>
      </c>
      <c r="E19" s="17"/>
      <c r="F19" s="17"/>
      <c r="G19" s="17"/>
      <c r="H19" s="18">
        <f>SUM(H4:H18)</f>
        <v>425510.25</v>
      </c>
      <c r="I19" s="17"/>
      <c r="J19" s="17"/>
      <c r="K19" s="17"/>
      <c r="L19" s="17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AFB4-79D1-42D2-8DF1-FD1E5A914DB3}">
  <sheetPr>
    <pageSetUpPr fitToPage="1"/>
  </sheetPr>
  <dimension ref="A1:H29"/>
  <sheetViews>
    <sheetView topLeftCell="A14" zoomScaleNormal="100" workbookViewId="0">
      <selection activeCell="M14" sqref="M14"/>
    </sheetView>
  </sheetViews>
  <sheetFormatPr defaultRowHeight="15" x14ac:dyDescent="0.25"/>
  <cols>
    <col min="1" max="2" width="15.7109375" customWidth="1"/>
    <col min="3" max="3" width="13.28515625" customWidth="1"/>
    <col min="4" max="4" width="14.140625" customWidth="1"/>
    <col min="5" max="5" width="13.85546875" customWidth="1"/>
    <col min="6" max="7" width="16.5703125" customWidth="1"/>
    <col min="8" max="8" width="18.5703125" customWidth="1"/>
  </cols>
  <sheetData>
    <row r="1" spans="1:8" x14ac:dyDescent="0.25">
      <c r="E1" s="4"/>
      <c r="H1" s="4">
        <v>45888.999988425923</v>
      </c>
    </row>
    <row r="2" spans="1:8" x14ac:dyDescent="0.25">
      <c r="A2" s="5" t="s">
        <v>0</v>
      </c>
      <c r="B2" s="5"/>
      <c r="C2" s="6"/>
      <c r="D2" s="6"/>
      <c r="E2" s="7" t="s">
        <v>86</v>
      </c>
      <c r="F2" s="6"/>
      <c r="G2" s="6"/>
      <c r="H2" s="6"/>
    </row>
    <row r="3" spans="1:8" x14ac:dyDescent="0.25">
      <c r="A3" t="s">
        <v>7</v>
      </c>
      <c r="B3" t="s">
        <v>92</v>
      </c>
      <c r="C3" t="s">
        <v>8</v>
      </c>
      <c r="D3" t="s">
        <v>87</v>
      </c>
      <c r="E3" t="s">
        <v>88</v>
      </c>
      <c r="F3" t="s">
        <v>89</v>
      </c>
      <c r="G3" t="s">
        <v>91</v>
      </c>
      <c r="H3" t="s">
        <v>90</v>
      </c>
    </row>
    <row r="4" spans="1:8" ht="24.95" customHeight="1" x14ac:dyDescent="0.25">
      <c r="A4" t="s">
        <v>28</v>
      </c>
      <c r="C4" t="s">
        <v>19</v>
      </c>
      <c r="D4" s="2">
        <v>300</v>
      </c>
      <c r="E4" s="2">
        <v>0</v>
      </c>
      <c r="F4" s="2">
        <v>11911.44</v>
      </c>
      <c r="G4" s="2"/>
      <c r="H4" s="2">
        <v>11986.44</v>
      </c>
    </row>
    <row r="5" spans="1:8" ht="24.95" customHeight="1" x14ac:dyDescent="0.25">
      <c r="A5" t="s">
        <v>28</v>
      </c>
      <c r="C5" t="s">
        <v>19</v>
      </c>
      <c r="D5" s="2">
        <v>750</v>
      </c>
      <c r="E5" s="2">
        <v>0</v>
      </c>
      <c r="F5" s="2">
        <v>25210.19</v>
      </c>
      <c r="G5" s="9">
        <f>SUM(F4:F5)</f>
        <v>37121.629999999997</v>
      </c>
      <c r="H5" s="2">
        <v>25285.19</v>
      </c>
    </row>
    <row r="6" spans="1:8" ht="24.95" customHeight="1" x14ac:dyDescent="0.25">
      <c r="D6" s="2"/>
      <c r="E6" s="2"/>
      <c r="F6" s="2"/>
      <c r="G6" s="2"/>
      <c r="H6" s="2"/>
    </row>
    <row r="7" spans="1:8" ht="24.95" customHeight="1" x14ac:dyDescent="0.25">
      <c r="A7" t="s">
        <v>93</v>
      </c>
      <c r="C7" t="s">
        <v>52</v>
      </c>
      <c r="D7" s="2">
        <v>650</v>
      </c>
      <c r="E7" s="2">
        <v>0</v>
      </c>
      <c r="F7" s="9">
        <v>20878.560000000001</v>
      </c>
      <c r="G7" s="2"/>
      <c r="H7" s="2">
        <v>20953.560000000001</v>
      </c>
    </row>
    <row r="8" spans="1:8" ht="24.95" customHeight="1" x14ac:dyDescent="0.25">
      <c r="D8" s="2"/>
      <c r="E8" s="2"/>
      <c r="F8" s="2"/>
      <c r="G8" s="2"/>
      <c r="H8" s="2"/>
    </row>
    <row r="9" spans="1:8" ht="24.95" customHeight="1" x14ac:dyDescent="0.25">
      <c r="A9" t="s">
        <v>94</v>
      </c>
      <c r="C9" t="s">
        <v>19</v>
      </c>
      <c r="D9" s="2">
        <v>950</v>
      </c>
      <c r="E9" s="2">
        <v>0</v>
      </c>
      <c r="F9" s="2">
        <v>36249.56</v>
      </c>
      <c r="G9" s="2"/>
      <c r="H9" s="2">
        <v>36324.559999999998</v>
      </c>
    </row>
    <row r="10" spans="1:8" ht="24.95" customHeight="1" x14ac:dyDescent="0.25">
      <c r="A10" t="s">
        <v>94</v>
      </c>
      <c r="C10" t="s">
        <v>32</v>
      </c>
      <c r="D10" s="2">
        <v>500</v>
      </c>
      <c r="E10" s="2">
        <v>0</v>
      </c>
      <c r="F10" s="2">
        <v>19089</v>
      </c>
      <c r="G10" s="9">
        <f>SUM(F9:F10)</f>
        <v>55338.559999999998</v>
      </c>
      <c r="H10" s="2">
        <v>19164</v>
      </c>
    </row>
    <row r="11" spans="1:8" ht="24.95" customHeight="1" x14ac:dyDescent="0.25">
      <c r="D11" s="2"/>
      <c r="E11" s="2"/>
      <c r="F11" s="2"/>
      <c r="G11" s="9"/>
      <c r="H11" s="2"/>
    </row>
    <row r="12" spans="1:8" ht="24.95" customHeight="1" x14ac:dyDescent="0.25">
      <c r="A12" t="s">
        <v>69</v>
      </c>
      <c r="C12" t="s">
        <v>32</v>
      </c>
      <c r="D12" s="2">
        <v>1350</v>
      </c>
      <c r="E12" s="2">
        <v>0</v>
      </c>
      <c r="F12" s="2">
        <v>50635.19</v>
      </c>
      <c r="G12" s="9"/>
      <c r="H12" s="2">
        <v>50710.19</v>
      </c>
    </row>
    <row r="13" spans="1:8" ht="24.95" customHeight="1" x14ac:dyDescent="0.25">
      <c r="A13" t="s">
        <v>69</v>
      </c>
      <c r="C13" t="s">
        <v>32</v>
      </c>
      <c r="D13" s="2">
        <v>850</v>
      </c>
      <c r="E13" s="2">
        <v>0</v>
      </c>
      <c r="F13" s="2">
        <v>33988.69</v>
      </c>
      <c r="G13" s="9">
        <f>SUM(F12:F13)</f>
        <v>84623.88</v>
      </c>
      <c r="H13" s="2">
        <v>34063.69</v>
      </c>
    </row>
    <row r="14" spans="1:8" ht="24.95" customHeight="1" x14ac:dyDescent="0.25">
      <c r="D14" s="2"/>
      <c r="E14" s="2"/>
      <c r="F14" s="2"/>
      <c r="G14" s="9"/>
      <c r="H14" s="2"/>
    </row>
    <row r="15" spans="1:8" ht="24.95" customHeight="1" x14ac:dyDescent="0.25">
      <c r="A15" t="s">
        <v>51</v>
      </c>
      <c r="C15" t="s">
        <v>52</v>
      </c>
      <c r="D15" s="2">
        <v>750</v>
      </c>
      <c r="E15" s="2">
        <v>0</v>
      </c>
      <c r="F15" s="2">
        <v>26926.63</v>
      </c>
      <c r="G15" s="9"/>
      <c r="H15" s="2">
        <v>27001.63</v>
      </c>
    </row>
    <row r="16" spans="1:8" ht="24.95" customHeight="1" x14ac:dyDescent="0.25">
      <c r="A16" t="s">
        <v>51</v>
      </c>
      <c r="C16" t="s">
        <v>52</v>
      </c>
      <c r="D16" s="2">
        <v>750</v>
      </c>
      <c r="E16" s="2">
        <v>0</v>
      </c>
      <c r="F16" s="2">
        <v>26880.69</v>
      </c>
      <c r="G16" s="9">
        <f>SUM(F15:F16)</f>
        <v>53807.32</v>
      </c>
      <c r="H16" s="2">
        <v>26955.69</v>
      </c>
    </row>
    <row r="17" spans="1:8" ht="24.95" customHeight="1" x14ac:dyDescent="0.25">
      <c r="D17" s="2"/>
      <c r="E17" s="2"/>
      <c r="F17" s="2"/>
      <c r="G17" s="9"/>
      <c r="H17" s="2"/>
    </row>
    <row r="18" spans="1:8" ht="24.95" customHeight="1" x14ac:dyDescent="0.25">
      <c r="A18" t="s">
        <v>18</v>
      </c>
      <c r="C18" t="s">
        <v>19</v>
      </c>
      <c r="D18" s="2">
        <v>750</v>
      </c>
      <c r="E18" s="2">
        <v>0</v>
      </c>
      <c r="F18" s="2">
        <v>28358.25</v>
      </c>
      <c r="G18" s="9"/>
      <c r="H18" s="2">
        <v>28433.25</v>
      </c>
    </row>
    <row r="19" spans="1:8" ht="24.95" customHeight="1" x14ac:dyDescent="0.25">
      <c r="A19" t="s">
        <v>18</v>
      </c>
      <c r="C19" t="s">
        <v>32</v>
      </c>
      <c r="D19" s="2">
        <v>300</v>
      </c>
      <c r="E19" s="2">
        <v>0</v>
      </c>
      <c r="F19" s="2">
        <v>9925</v>
      </c>
      <c r="G19" s="9">
        <f>SUM(F18:F19)</f>
        <v>38283.25</v>
      </c>
      <c r="H19" s="2">
        <v>10000</v>
      </c>
    </row>
    <row r="20" spans="1:8" ht="24.95" customHeight="1" x14ac:dyDescent="0.25">
      <c r="D20" s="2"/>
      <c r="E20" s="2"/>
      <c r="F20" s="2"/>
      <c r="G20" s="2"/>
      <c r="H20" s="2"/>
    </row>
    <row r="21" spans="1:8" ht="24.95" customHeight="1" x14ac:dyDescent="0.25">
      <c r="A21" t="s">
        <v>74</v>
      </c>
      <c r="C21" t="s">
        <v>32</v>
      </c>
      <c r="D21" s="2">
        <v>750</v>
      </c>
      <c r="E21" s="2">
        <v>0</v>
      </c>
      <c r="F21" s="9">
        <v>25042.06</v>
      </c>
      <c r="G21" s="2"/>
      <c r="H21" s="2">
        <v>25117.06</v>
      </c>
    </row>
    <row r="22" spans="1:8" ht="24.95" customHeight="1" x14ac:dyDescent="0.25">
      <c r="D22" s="2"/>
      <c r="E22" s="2"/>
      <c r="F22" s="9"/>
      <c r="G22" s="2"/>
      <c r="H22" s="2"/>
    </row>
    <row r="23" spans="1:8" ht="24.95" customHeight="1" x14ac:dyDescent="0.25">
      <c r="A23" t="s">
        <v>79</v>
      </c>
      <c r="C23" t="s">
        <v>32</v>
      </c>
      <c r="D23" s="2">
        <v>850</v>
      </c>
      <c r="E23" s="2">
        <v>0</v>
      </c>
      <c r="F23" s="9">
        <v>32422.44</v>
      </c>
      <c r="G23" s="2"/>
      <c r="H23" s="2">
        <v>32497.439999999999</v>
      </c>
    </row>
    <row r="24" spans="1:8" ht="24.95" customHeight="1" x14ac:dyDescent="0.25">
      <c r="D24" s="2"/>
      <c r="E24" s="2"/>
      <c r="F24" s="9"/>
      <c r="G24" s="2"/>
      <c r="H24" s="2"/>
    </row>
    <row r="25" spans="1:8" ht="24.95" customHeight="1" x14ac:dyDescent="0.25">
      <c r="A25" t="s">
        <v>56</v>
      </c>
      <c r="C25" t="s">
        <v>52</v>
      </c>
      <c r="D25" s="2">
        <v>950</v>
      </c>
      <c r="E25" s="2">
        <v>0</v>
      </c>
      <c r="F25" s="9">
        <v>36102.879999999997</v>
      </c>
      <c r="G25" s="2"/>
      <c r="H25" s="2">
        <v>36177.879999999997</v>
      </c>
    </row>
    <row r="26" spans="1:8" ht="24.95" customHeight="1" x14ac:dyDescent="0.25">
      <c r="D26" s="2"/>
      <c r="E26" s="2"/>
      <c r="F26" s="9"/>
      <c r="G26" s="2"/>
      <c r="H26" s="2"/>
    </row>
    <row r="27" spans="1:8" ht="24.95" customHeight="1" x14ac:dyDescent="0.25">
      <c r="A27" t="s">
        <v>36</v>
      </c>
      <c r="C27" t="s">
        <v>32</v>
      </c>
      <c r="D27" s="2">
        <v>1050</v>
      </c>
      <c r="E27" s="2">
        <v>0</v>
      </c>
      <c r="F27" s="9">
        <v>40764.67</v>
      </c>
      <c r="G27" s="2"/>
      <c r="H27" s="2">
        <v>40839.67</v>
      </c>
    </row>
    <row r="28" spans="1:8" ht="15" customHeight="1" x14ac:dyDescent="0.25">
      <c r="D28" s="2"/>
      <c r="E28" s="2"/>
      <c r="F28" s="2"/>
      <c r="G28" s="2"/>
      <c r="H28" s="2"/>
    </row>
    <row r="29" spans="1:8" x14ac:dyDescent="0.25">
      <c r="A29" s="1"/>
      <c r="B29" s="1"/>
      <c r="C29" s="1"/>
      <c r="D29" s="3">
        <f>SUM(D4:D27)</f>
        <v>11500</v>
      </c>
      <c r="E29" s="3">
        <f>SUM(E4:E27)</f>
        <v>0</v>
      </c>
      <c r="F29" s="3">
        <f>SUM(F4:F27)</f>
        <v>424385.25</v>
      </c>
      <c r="G29" s="3"/>
      <c r="H29" s="3">
        <f>SUM(H4:H27)</f>
        <v>425510.25</v>
      </c>
    </row>
  </sheetData>
  <mergeCells count="2">
    <mergeCell ref="A2:D2"/>
    <mergeCell ref="E2:H2"/>
  </mergeCells>
  <pageMargins left="0.7" right="0.2" top="0.75" bottom="0.75" header="0.3" footer="0.3"/>
  <pageSetup fitToHeight="0" orientation="landscape" r:id="rId1"/>
  <headerFooter>
    <oddFooter>Page &amp;P of &amp;N</oddFooter>
  </headerFooter>
  <colBreaks count="1" manualBreakCount="1">
    <brk id="8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1B09-8BE9-4610-B14A-35DCCC989491}">
  <sheetPr>
    <pageSetUpPr fitToPage="1"/>
  </sheetPr>
  <dimension ref="A1:F20"/>
  <sheetViews>
    <sheetView zoomScaleNormal="100" workbookViewId="0">
      <selection activeCell="K17" sqref="K17"/>
    </sheetView>
  </sheetViews>
  <sheetFormatPr defaultRowHeight="15" x14ac:dyDescent="0.25"/>
  <cols>
    <col min="1" max="1" width="13.42578125" customWidth="1"/>
    <col min="2" max="2" width="16.7109375" customWidth="1"/>
    <col min="3" max="3" width="18.140625" customWidth="1"/>
    <col min="4" max="4" width="3" customWidth="1"/>
    <col min="5" max="5" width="17.7109375" customWidth="1"/>
    <col min="6" max="6" width="15.42578125" customWidth="1"/>
  </cols>
  <sheetData>
    <row r="1" spans="1:6" x14ac:dyDescent="0.25">
      <c r="A1" t="s">
        <v>97</v>
      </c>
      <c r="D1" s="4"/>
      <c r="F1" s="4">
        <v>45888.999988425923</v>
      </c>
    </row>
    <row r="2" spans="1:6" x14ac:dyDescent="0.25">
      <c r="A2" s="5" t="s">
        <v>0</v>
      </c>
      <c r="B2" s="6"/>
      <c r="C2" s="6"/>
      <c r="D2" s="7" t="s">
        <v>95</v>
      </c>
      <c r="E2" s="6"/>
      <c r="F2" s="6"/>
    </row>
    <row r="3" spans="1:6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7" customHeight="1" x14ac:dyDescent="0.25">
      <c r="A4" t="s">
        <v>48</v>
      </c>
      <c r="B4" t="s">
        <v>49</v>
      </c>
      <c r="C4" t="s">
        <v>50</v>
      </c>
      <c r="E4" t="s">
        <v>51</v>
      </c>
    </row>
    <row r="5" spans="1:6" ht="27" customHeight="1" x14ac:dyDescent="0.25">
      <c r="A5" t="s">
        <v>59</v>
      </c>
      <c r="B5" t="s">
        <v>49</v>
      </c>
      <c r="C5" t="s">
        <v>60</v>
      </c>
      <c r="E5" t="s">
        <v>61</v>
      </c>
    </row>
    <row r="6" spans="1:6" ht="27" customHeight="1" x14ac:dyDescent="0.25">
      <c r="A6" t="s">
        <v>64</v>
      </c>
      <c r="B6" t="s">
        <v>49</v>
      </c>
      <c r="C6" t="s">
        <v>65</v>
      </c>
      <c r="E6" t="s">
        <v>51</v>
      </c>
    </row>
    <row r="7" spans="1:6" x14ac:dyDescent="0.25">
      <c r="A7" s="1"/>
      <c r="B7" s="1"/>
      <c r="C7" s="1" t="s">
        <v>96</v>
      </c>
      <c r="D7" s="1"/>
      <c r="E7" s="1"/>
      <c r="F7" s="1"/>
    </row>
    <row r="12" spans="1:6" x14ac:dyDescent="0.25">
      <c r="A12" t="s">
        <v>98</v>
      </c>
      <c r="B12" s="8"/>
      <c r="C12" s="8"/>
      <c r="D12" s="8"/>
      <c r="E12" s="8"/>
    </row>
    <row r="16" spans="1:6" x14ac:dyDescent="0.25">
      <c r="A16" t="s">
        <v>99</v>
      </c>
      <c r="B16" s="8"/>
      <c r="C16" s="8"/>
      <c r="D16" s="8"/>
      <c r="E16" s="8"/>
    </row>
    <row r="20" spans="1:3" x14ac:dyDescent="0.25">
      <c r="A20" t="s">
        <v>100</v>
      </c>
      <c r="B20" s="8"/>
      <c r="C20" s="8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Funding Worksheet - Folder Vers</vt:lpstr>
      <vt:lpstr>Funding Worksheet - ACH</vt:lpstr>
      <vt:lpstr>Original Note Log</vt:lpstr>
      <vt:lpstr>'Funding Worksheet - ACH'!Print_Area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2025-08-19T19:21:49Z</cp:lastPrinted>
  <dcterms:created xsi:type="dcterms:W3CDTF">2025-08-19T18:31:28Z</dcterms:created>
  <dcterms:modified xsi:type="dcterms:W3CDTF">2025-08-19T19:29:11Z</dcterms:modified>
</cp:coreProperties>
</file>