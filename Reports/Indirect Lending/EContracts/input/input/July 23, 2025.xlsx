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67D4B67-C2B8-4025-8C96-6C469E9196A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21" i="1"/>
  <c r="F9" i="1"/>
  <c r="H19" i="2"/>
  <c r="H28" i="1"/>
  <c r="E28" i="1"/>
  <c r="D28" i="1"/>
  <c r="C28" i="1"/>
</calcChain>
</file>

<file path=xl/sharedStrings.xml><?xml version="1.0" encoding="utf-8"?>
<sst xmlns="http://schemas.openxmlformats.org/spreadsheetml/2006/main" count="204" uniqueCount="105">
  <si>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</si>
  <si>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</si>
  <si>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</si>
  <si>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</si>
  <si>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</si>
  <si>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</si>
  <si>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</si>
  <si>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</si>
  <si>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</si>
  <si>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</si>
  <si>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Mazda</t>
  </si>
  <si>
    <t>Neli Oliveira</t>
  </si>
  <si>
    <t>Grieco Toyota</t>
  </si>
  <si>
    <t>Mathieu Ford Sales, Inc</t>
  </si>
  <si>
    <t>Marlene Braganca</t>
  </si>
  <si>
    <t>Metro Honda</t>
  </si>
  <si>
    <t>New England Automax Inc (marlborough)</t>
  </si>
  <si>
    <t>Patriot Auto Group Inc d/b/a</t>
  </si>
  <si>
    <t>Planet Automotive Sales LLC</t>
  </si>
  <si>
    <t>Rachel Gorham</t>
  </si>
  <si>
    <t>Richard Lundgren, Inc. d/b/a</t>
  </si>
  <si>
    <t>Tasca Ford</t>
  </si>
  <si>
    <t>Wareham Ford</t>
  </si>
  <si>
    <t>Column1</t>
  </si>
  <si>
    <t>Column2</t>
  </si>
  <si>
    <t>FLYNN</t>
  </si>
  <si>
    <t>mhumphrey146@gmail.com</t>
  </si>
  <si>
    <t>HUMPHREY, ORGAN ELISABETH</t>
  </si>
  <si>
    <t>E Contract</t>
  </si>
  <si>
    <t>Route One</t>
  </si>
  <si>
    <t>SHAW</t>
  </si>
  <si>
    <t>HALL</t>
  </si>
  <si>
    <t>MEGO101WALKER@GMAIL.COM</t>
  </si>
  <si>
    <t>WALKER, JUDITH</t>
  </si>
  <si>
    <t>WALKER, MARGARET</t>
  </si>
  <si>
    <t>151205616</t>
  </si>
  <si>
    <t>MCCARTHY</t>
  </si>
  <si>
    <t>LAUELIZABETHPERRY@GMAIL.COM</t>
  </si>
  <si>
    <t>FOGERTY, LAUREN</t>
  </si>
  <si>
    <t>Paper</t>
  </si>
  <si>
    <t>DealerTrack</t>
  </si>
  <si>
    <t>151205525</t>
  </si>
  <si>
    <t>SHUCHATOWITZ</t>
  </si>
  <si>
    <t>FISHMAN, JUDITH</t>
  </si>
  <si>
    <t>151205517</t>
  </si>
  <si>
    <t>HORRIGAN</t>
  </si>
  <si>
    <t>HORRIGAN, JOSEPH</t>
  </si>
  <si>
    <t>151205509</t>
  </si>
  <si>
    <t>GREEN FLOORING SERVICES LLC</t>
  </si>
  <si>
    <t>COX</t>
  </si>
  <si>
    <t>stevek@greenflooringservices.com</t>
  </si>
  <si>
    <t>KIRCHDORFER, STEPHEN</t>
  </si>
  <si>
    <t>151205476</t>
  </si>
  <si>
    <t>MARTINS</t>
  </si>
  <si>
    <t>ROCARLESI26@GMAIL.COM</t>
  </si>
  <si>
    <t>CARLESI, ROSE</t>
  </si>
  <si>
    <t>151205468</t>
  </si>
  <si>
    <t>FORBES</t>
  </si>
  <si>
    <t>HOPWATERMAN@YAHOO.COM</t>
  </si>
  <si>
    <t>CARTY, ERIC</t>
  </si>
  <si>
    <t>151205442</t>
  </si>
  <si>
    <t>Ouellette</t>
  </si>
  <si>
    <t>Glatz</t>
  </si>
  <si>
    <t>Labarge, Robert</t>
  </si>
  <si>
    <t>WELLS, INGEBURG</t>
  </si>
  <si>
    <t>151205385</t>
  </si>
  <si>
    <t>Wilson</t>
  </si>
  <si>
    <t>CRALMSGIBBS@COMCAST.NET</t>
  </si>
  <si>
    <t>GIBBS, CHARLES</t>
  </si>
  <si>
    <t>151205335</t>
  </si>
  <si>
    <t>LOPES</t>
  </si>
  <si>
    <t>SOUZA, LYNN</t>
  </si>
  <si>
    <t>151205260</t>
  </si>
  <si>
    <t>RICHARDS</t>
  </si>
  <si>
    <t>rschroth89@yahoo.com</t>
  </si>
  <si>
    <t>RUSINOSKI, REBECCA</t>
  </si>
  <si>
    <t>151205244</t>
  </si>
  <si>
    <t>OUELLET</t>
  </si>
  <si>
    <t>jcorsetto1@gmail.com</t>
  </si>
  <si>
    <t>CORSETTO, JULIANNA</t>
  </si>
  <si>
    <t>151205236</t>
  </si>
  <si>
    <t>Olson</t>
  </si>
  <si>
    <t>lisamcelman@comcast.net</t>
  </si>
  <si>
    <t>MCELMAN, ROBERT</t>
  </si>
  <si>
    <t>151205210</t>
  </si>
  <si>
    <t>Pellet</t>
  </si>
  <si>
    <t>Crumb, Amy</t>
  </si>
  <si>
    <t>151205202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</si>
  <si>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</si>
  <si>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</si>
  <si>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</si>
  <si>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</si>
  <si>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</si>
  <si>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</si>
  <si>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</si>
  <si>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</si>
  <si>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</si>
  <si>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</si>
  <si>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</si>
  <si>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</t>
  </si>
  <si>
    <t>Received By___________________________________________________________________</t>
  </si>
  <si>
    <t>Delivered By___________________________________________________________________</t>
  </si>
  <si>
    <t># 3</t>
  </si>
  <si>
    <t>Funding Worksheet - Signoff Version</t>
  </si>
  <si>
    <t>#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</si>
</sst>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2" fillId="0" borderId="0" xfId="1" applyFill="1" applyAlignment="1">
      <alignment horizontal="left" vertical="top"/>
    </xf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67444FF5-E895-480A-8D0E-73591CED8B19}"/>
  </cellStyles>
  <dxfs count="25">
    <dxf>
      <numFmt numFmtId="11" formatCode="&quot;$&quot;#,##0.00_);\(&quot;$&quot;#,##0.00\)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8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F7180F9D-18CE-4E95-ABAA-57098733FBDE}" name="Column1" dataDxfId="0"/>
    <tableColumn id="8" xr3:uid="{75E89E11-DA3A-4B78-A198-DEE2706D4B9B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7CC4DB-0D71-4951-BD70-DC404473EB0A}" name="Table_13" displayName="Table_13" ref="A3:L19" headerRowDxfId="11" dataDxfId="9" totalsRowDxfId="10">
  <tableColumns count="12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97164C-0569-4D42-9548-CDAEDA8533AB}" name="Table_14" displayName="Table_14" ref="A3:E7" headerRowDxfId="3" dataDxfId="1" totalsRowDxfId="2">
  <tableColumns count="5">
    <tableColumn id="1" xr3:uid="{00000000-0010-0000-0000-000001000000}" name="Account Number" dataDxfId="8"/>
    <tableColumn id="2" xr3:uid="{00000000-0010-0000-0000-000002000000}" name="Contract Type" dataDxfId="7"/>
    <tableColumn id="3" xr3:uid="{00000000-0010-0000-0000-000003000000}" name="Applicant Name" dataDxfId="6"/>
    <tableColumn id="4" xr3:uid="{00000000-0010-0000-0000-000004000000}" name="Co-Applicant Name" dataDxfId="5"/>
    <tableColumn id="5" xr3:uid="{00000000-0010-0000-0000-000005000000}" name="Dealer Name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workbookViewId="0">
      <pane ySplit="3" topLeftCell="A4" activePane="bottomLeft" state="frozen"/>
      <selection pane="bottomLeft" activeCell="E27" sqref="E27"/>
    </sheetView>
  </sheetViews>
  <sheetFormatPr defaultRowHeight="15" x14ac:dyDescent="0.25"/>
  <cols>
    <col min="1" max="1" width="39" bestFit="1" customWidth="1"/>
    <col min="2" max="2" width="17.7109375" bestFit="1" customWidth="1"/>
    <col min="3" max="3" width="11.140625" bestFit="1" customWidth="1"/>
    <col min="4" max="4" width="13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45861</v>
      </c>
      <c r="E1" t="s">
        <v>2</v>
      </c>
      <c r="H1" s="4">
        <v>45861.999988425923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23</v>
      </c>
      <c r="G3" t="s">
        <v>24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16306.78</v>
      </c>
      <c r="F4" s="2"/>
      <c r="G4" s="2"/>
      <c r="H4" s="2">
        <v>16381.78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950</v>
      </c>
      <c r="D6" s="2">
        <v>0</v>
      </c>
      <c r="E6" s="2">
        <v>37354.559999999998</v>
      </c>
      <c r="F6" s="2"/>
      <c r="G6" s="2"/>
      <c r="H6" s="2">
        <v>37429.56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150</v>
      </c>
      <c r="D8" s="2">
        <v>0</v>
      </c>
      <c r="E8" s="2">
        <v>9137</v>
      </c>
      <c r="F8" s="2"/>
      <c r="G8" s="2"/>
      <c r="H8" s="2">
        <v>9212</v>
      </c>
    </row>
    <row r="9" spans="1:8" x14ac:dyDescent="0.25">
      <c r="A9" t="s">
        <v>13</v>
      </c>
      <c r="B9" t="s">
        <v>14</v>
      </c>
      <c r="C9" s="2">
        <v>1050</v>
      </c>
      <c r="D9" s="2">
        <v>0</v>
      </c>
      <c r="E9" s="2">
        <v>41137</v>
      </c>
      <c r="F9" s="2">
        <f>SUM(E8:E9)</f>
        <v>50274</v>
      </c>
      <c r="G9" s="2"/>
      <c r="H9" s="2">
        <v>41212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750</v>
      </c>
      <c r="D11" s="2">
        <v>0</v>
      </c>
      <c r="E11" s="2">
        <v>27386.06</v>
      </c>
      <c r="F11" s="2"/>
      <c r="G11" s="2"/>
      <c r="H11" s="2">
        <v>27461.06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11</v>
      </c>
      <c r="C13" s="2">
        <v>300</v>
      </c>
      <c r="D13" s="2">
        <v>0</v>
      </c>
      <c r="E13" s="2">
        <v>14538.06</v>
      </c>
      <c r="F13" s="2"/>
      <c r="G13" s="2"/>
      <c r="H13" s="2">
        <v>14613.06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750</v>
      </c>
      <c r="D15" s="2">
        <v>0</v>
      </c>
      <c r="E15" s="2">
        <v>29288.69</v>
      </c>
      <c r="F15" s="2"/>
      <c r="G15" s="2"/>
      <c r="H15" s="2">
        <v>29363.69</v>
      </c>
    </row>
    <row r="16" spans="1:8" x14ac:dyDescent="0.25">
      <c r="A16" t="s">
        <v>17</v>
      </c>
      <c r="B16" t="s">
        <v>11</v>
      </c>
      <c r="C16" s="2">
        <v>650</v>
      </c>
      <c r="D16" s="2">
        <v>0</v>
      </c>
      <c r="E16" s="2">
        <v>22190.06</v>
      </c>
      <c r="F16" s="2"/>
      <c r="G16" s="2"/>
      <c r="H16" s="2">
        <v>22265.06</v>
      </c>
    </row>
    <row r="17" spans="1:8" x14ac:dyDescent="0.25">
      <c r="A17" t="s">
        <v>17</v>
      </c>
      <c r="B17" t="s">
        <v>11</v>
      </c>
      <c r="C17" s="2">
        <v>650</v>
      </c>
      <c r="D17" s="2">
        <v>0</v>
      </c>
      <c r="E17" s="2">
        <v>23828.02</v>
      </c>
      <c r="F17" s="2"/>
      <c r="G17" s="2"/>
      <c r="H17" s="2">
        <v>23903.02</v>
      </c>
    </row>
    <row r="18" spans="1:8" x14ac:dyDescent="0.25">
      <c r="A18" t="s">
        <v>17</v>
      </c>
      <c r="B18" t="s">
        <v>19</v>
      </c>
      <c r="C18" s="2">
        <v>650</v>
      </c>
      <c r="D18" s="2">
        <v>0</v>
      </c>
      <c r="E18" s="2">
        <v>20371.38</v>
      </c>
      <c r="F18" s="2">
        <f>SUM(E15:E18)</f>
        <v>95678.150000000009</v>
      </c>
      <c r="G18" s="2"/>
      <c r="H18" s="2">
        <v>20446.38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18</v>
      </c>
      <c r="B20" t="s">
        <v>19</v>
      </c>
      <c r="C20" s="2">
        <v>850</v>
      </c>
      <c r="D20" s="2">
        <v>0</v>
      </c>
      <c r="E20" s="2">
        <v>34513.440000000002</v>
      </c>
      <c r="F20" s="2"/>
      <c r="G20" s="2"/>
      <c r="H20" s="2">
        <v>34588.44</v>
      </c>
    </row>
    <row r="21" spans="1:8" x14ac:dyDescent="0.25">
      <c r="A21" t="s">
        <v>18</v>
      </c>
      <c r="B21" t="s">
        <v>19</v>
      </c>
      <c r="C21" s="2">
        <v>650</v>
      </c>
      <c r="D21" s="2">
        <v>0</v>
      </c>
      <c r="E21" s="2">
        <v>24796.29</v>
      </c>
      <c r="F21" s="2">
        <f>SUM(E20:E21)</f>
        <v>59309.73</v>
      </c>
      <c r="G21" s="2"/>
      <c r="H21" s="2">
        <v>24871.29</v>
      </c>
    </row>
    <row r="22" spans="1:8" x14ac:dyDescent="0.25">
      <c r="C22" s="2"/>
      <c r="D22" s="2"/>
      <c r="E22" s="2"/>
      <c r="F22" s="2"/>
      <c r="G22" s="2"/>
      <c r="H22" s="2"/>
    </row>
    <row r="23" spans="1:8" x14ac:dyDescent="0.25">
      <c r="A23" t="s">
        <v>20</v>
      </c>
      <c r="B23" t="s">
        <v>14</v>
      </c>
      <c r="C23" s="2">
        <v>950</v>
      </c>
      <c r="D23" s="2">
        <v>0</v>
      </c>
      <c r="E23" s="2">
        <v>37353.75</v>
      </c>
      <c r="F23" s="2"/>
      <c r="G23" s="2"/>
      <c r="H23" s="2">
        <v>37428.75</v>
      </c>
    </row>
    <row r="24" spans="1:8" x14ac:dyDescent="0.25">
      <c r="C24" s="2"/>
      <c r="D24" s="2"/>
      <c r="E24" s="2"/>
      <c r="F24" s="2"/>
      <c r="G24" s="2"/>
      <c r="H24" s="2"/>
    </row>
    <row r="25" spans="1:8" x14ac:dyDescent="0.25">
      <c r="A25" t="s">
        <v>21</v>
      </c>
      <c r="B25" t="s">
        <v>14</v>
      </c>
      <c r="C25" s="2">
        <v>650</v>
      </c>
      <c r="D25" s="2">
        <v>0</v>
      </c>
      <c r="E25" s="2">
        <v>22136.33</v>
      </c>
      <c r="F25" s="2"/>
      <c r="G25" s="2"/>
      <c r="H25" s="2">
        <v>22211.33</v>
      </c>
    </row>
    <row r="26" spans="1:8" x14ac:dyDescent="0.25">
      <c r="C26" s="2"/>
      <c r="D26" s="2"/>
      <c r="E26" s="2"/>
      <c r="F26" s="2"/>
      <c r="G26" s="2"/>
      <c r="H26" s="2"/>
    </row>
    <row r="27" spans="1:8" x14ac:dyDescent="0.25">
      <c r="A27" t="s">
        <v>22</v>
      </c>
      <c r="B27" t="s">
        <v>14</v>
      </c>
      <c r="C27" s="2">
        <v>300</v>
      </c>
      <c r="D27" s="2">
        <v>0</v>
      </c>
      <c r="E27" s="2">
        <v>13106.94</v>
      </c>
      <c r="F27" s="2"/>
      <c r="G27" s="2"/>
      <c r="H27" s="2">
        <v>13181.94</v>
      </c>
    </row>
    <row r="28" spans="1:8" x14ac:dyDescent="0.25">
      <c r="A28" s="1"/>
      <c r="B28" s="1"/>
      <c r="C28" s="3">
        <f>SUM(C4:C27)</f>
        <v>9800</v>
      </c>
      <c r="D28" s="3">
        <f>SUM(D4:D27)</f>
        <v>0</v>
      </c>
      <c r="E28" s="3">
        <f>SUM(E4:E27)</f>
        <v>373444.36</v>
      </c>
      <c r="F28" s="3"/>
      <c r="G28" s="3"/>
      <c r="H28" s="3">
        <f>SUM(H4:H27)</f>
        <v>374569.36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0289-21E0-43E6-9106-EE7FC3C3DF35}">
  <sheetPr>
    <pageSetUpPr fitToPage="1"/>
  </sheetPr>
  <dimension ref="A1:L30"/>
  <sheetViews>
    <sheetView tabSelected="1" workbookViewId="0">
      <pane ySplit="3" topLeftCell="A4" activePane="bottomLeft" state="frozen"/>
      <selection pane="bottomLeft" activeCell="F15" sqref="F15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4" style="8" bestFit="1" customWidth="1"/>
    <col min="5" max="5" width="18.7109375" style="8" bestFit="1" customWidth="1"/>
    <col min="6" max="6" width="39" style="8" bestFit="1" customWidth="1"/>
    <col min="7" max="7" width="17.7109375" style="8" bestFit="1" customWidth="1"/>
    <col min="8" max="8" width="17.140625" style="8" bestFit="1" customWidth="1"/>
    <col min="9" max="9" width="33.28515625" style="8" bestFit="1" customWidth="1"/>
    <col min="10" max="10" width="18.42578125" style="8" bestFit="1" customWidth="1"/>
    <col min="11" max="11" width="16.140625" style="8" bestFit="1" customWidth="1"/>
    <col min="12" max="12" width="12.85546875" style="8" bestFit="1" customWidth="1"/>
    <col min="13" max="16384" width="9.140625" style="8"/>
  </cols>
  <sheetData>
    <row r="1" spans="1:12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45861</v>
      </c>
      <c r="L1" s="9" t="s">
        <v>2</v>
      </c>
    </row>
    <row r="2" spans="1:12" ht="35.1" customHeight="1" x14ac:dyDescent="0.25">
      <c r="A2" s="11" t="s">
        <v>0</v>
      </c>
      <c r="B2" s="12"/>
      <c r="C2" s="12"/>
      <c r="D2" s="12"/>
      <c r="E2" s="12"/>
      <c r="F2" s="12"/>
      <c r="G2" s="13" t="s">
        <v>98</v>
      </c>
      <c r="H2" s="12"/>
      <c r="I2" s="12"/>
      <c r="J2" s="12"/>
      <c r="K2" s="12"/>
      <c r="L2" s="12"/>
    </row>
    <row r="3" spans="1:12" ht="35.1" customHeight="1" x14ac:dyDescent="0.25">
      <c r="A3" s="9" t="s">
        <v>97</v>
      </c>
      <c r="B3" s="9" t="s">
        <v>96</v>
      </c>
      <c r="C3" s="9" t="s">
        <v>95</v>
      </c>
      <c r="D3" s="9" t="s">
        <v>94</v>
      </c>
      <c r="E3" s="9" t="s">
        <v>93</v>
      </c>
      <c r="F3" s="9" t="s">
        <v>4</v>
      </c>
      <c r="G3" s="9" t="s">
        <v>5</v>
      </c>
      <c r="H3" s="9" t="s">
        <v>92</v>
      </c>
      <c r="I3" s="9" t="s">
        <v>91</v>
      </c>
      <c r="J3" s="9" t="s">
        <v>90</v>
      </c>
      <c r="K3" s="9" t="s">
        <v>89</v>
      </c>
      <c r="L3" s="9" t="s">
        <v>88</v>
      </c>
    </row>
    <row r="4" spans="1:12" ht="35.1" customHeight="1" x14ac:dyDescent="0.25">
      <c r="A4" s="9" t="s">
        <v>87</v>
      </c>
      <c r="B4" s="9" t="s">
        <v>29</v>
      </c>
      <c r="C4" s="9" t="s">
        <v>28</v>
      </c>
      <c r="D4" s="9" t="s">
        <v>86</v>
      </c>
      <c r="E4" s="9"/>
      <c r="F4" s="9" t="s">
        <v>13</v>
      </c>
      <c r="G4" s="9" t="s">
        <v>14</v>
      </c>
      <c r="H4" s="14">
        <v>41212</v>
      </c>
      <c r="I4" s="9"/>
      <c r="J4" s="9"/>
      <c r="K4" s="9" t="s">
        <v>85</v>
      </c>
      <c r="L4" s="9"/>
    </row>
    <row r="5" spans="1:12" ht="35.1" customHeight="1" x14ac:dyDescent="0.25">
      <c r="A5" s="9" t="s">
        <v>84</v>
      </c>
      <c r="B5" s="9" t="s">
        <v>29</v>
      </c>
      <c r="C5" s="9" t="s">
        <v>28</v>
      </c>
      <c r="D5" s="9" t="s">
        <v>83</v>
      </c>
      <c r="E5" s="9"/>
      <c r="F5" s="9" t="s">
        <v>22</v>
      </c>
      <c r="G5" s="9" t="s">
        <v>14</v>
      </c>
      <c r="H5" s="14">
        <v>13181.94</v>
      </c>
      <c r="I5" s="9" t="s">
        <v>82</v>
      </c>
      <c r="J5" s="9"/>
      <c r="K5" s="9" t="s">
        <v>81</v>
      </c>
      <c r="L5" s="9"/>
    </row>
    <row r="6" spans="1:12" ht="35.1" customHeight="1" x14ac:dyDescent="0.25">
      <c r="A6" s="9" t="s">
        <v>80</v>
      </c>
      <c r="B6" s="9" t="s">
        <v>29</v>
      </c>
      <c r="C6" s="9" t="s">
        <v>28</v>
      </c>
      <c r="D6" s="9" t="s">
        <v>79</v>
      </c>
      <c r="E6" s="9"/>
      <c r="F6" s="9" t="s">
        <v>17</v>
      </c>
      <c r="G6" s="9" t="s">
        <v>11</v>
      </c>
      <c r="H6" s="14">
        <v>23903.02</v>
      </c>
      <c r="I6" s="9" t="s">
        <v>78</v>
      </c>
      <c r="J6" s="9"/>
      <c r="K6" s="9" t="s">
        <v>77</v>
      </c>
      <c r="L6" s="9"/>
    </row>
    <row r="7" spans="1:12" ht="35.1" customHeight="1" x14ac:dyDescent="0.25">
      <c r="A7" s="9" t="s">
        <v>76</v>
      </c>
      <c r="B7" s="9" t="s">
        <v>29</v>
      </c>
      <c r="C7" s="9" t="s">
        <v>28</v>
      </c>
      <c r="D7" s="9" t="s">
        <v>75</v>
      </c>
      <c r="E7" s="9"/>
      <c r="F7" s="9" t="s">
        <v>17</v>
      </c>
      <c r="G7" s="9" t="s">
        <v>11</v>
      </c>
      <c r="H7" s="14">
        <v>22265.06</v>
      </c>
      <c r="I7" s="9" t="s">
        <v>74</v>
      </c>
      <c r="J7" s="9"/>
      <c r="K7" s="9" t="s">
        <v>73</v>
      </c>
      <c r="L7" s="9"/>
    </row>
    <row r="8" spans="1:12" ht="35.1" customHeight="1" x14ac:dyDescent="0.25">
      <c r="A8" s="9" t="s">
        <v>72</v>
      </c>
      <c r="B8" s="9" t="s">
        <v>40</v>
      </c>
      <c r="C8" s="9" t="s">
        <v>28</v>
      </c>
      <c r="D8" s="9" t="s">
        <v>71</v>
      </c>
      <c r="E8" s="9"/>
      <c r="F8" s="9" t="s">
        <v>15</v>
      </c>
      <c r="G8" s="9" t="s">
        <v>11</v>
      </c>
      <c r="H8" s="14">
        <v>27461.06</v>
      </c>
      <c r="I8" s="9"/>
      <c r="J8" s="9"/>
      <c r="K8" s="9" t="s">
        <v>70</v>
      </c>
      <c r="L8" s="9"/>
    </row>
    <row r="9" spans="1:12" ht="35.1" customHeight="1" x14ac:dyDescent="0.25">
      <c r="A9" s="9" t="s">
        <v>69</v>
      </c>
      <c r="B9" s="9" t="s">
        <v>40</v>
      </c>
      <c r="C9" s="9" t="s">
        <v>28</v>
      </c>
      <c r="D9" s="9" t="s">
        <v>68</v>
      </c>
      <c r="E9" s="9"/>
      <c r="F9" s="9" t="s">
        <v>20</v>
      </c>
      <c r="G9" s="9" t="s">
        <v>14</v>
      </c>
      <c r="H9" s="14">
        <v>37428.75</v>
      </c>
      <c r="I9" s="9" t="s">
        <v>67</v>
      </c>
      <c r="J9" s="9"/>
      <c r="K9" s="9" t="s">
        <v>66</v>
      </c>
      <c r="L9" s="9"/>
    </row>
    <row r="10" spans="1:12" ht="35.1" customHeight="1" x14ac:dyDescent="0.25">
      <c r="A10" s="9" t="s">
        <v>65</v>
      </c>
      <c r="B10" s="9" t="s">
        <v>29</v>
      </c>
      <c r="C10" s="9" t="s">
        <v>28</v>
      </c>
      <c r="D10" s="9" t="s">
        <v>64</v>
      </c>
      <c r="E10" s="9" t="s">
        <v>63</v>
      </c>
      <c r="F10" s="9" t="s">
        <v>13</v>
      </c>
      <c r="G10" s="9" t="s">
        <v>14</v>
      </c>
      <c r="H10" s="14">
        <v>9212</v>
      </c>
      <c r="I10" s="9"/>
      <c r="J10" s="9"/>
      <c r="K10" s="9" t="s">
        <v>62</v>
      </c>
      <c r="L10" s="9" t="s">
        <v>61</v>
      </c>
    </row>
    <row r="11" spans="1:12" ht="35.1" customHeight="1" x14ac:dyDescent="0.25">
      <c r="A11" s="9" t="s">
        <v>60</v>
      </c>
      <c r="B11" s="9" t="s">
        <v>40</v>
      </c>
      <c r="C11" s="9" t="s">
        <v>39</v>
      </c>
      <c r="D11" s="9" t="s">
        <v>59</v>
      </c>
      <c r="E11" s="9"/>
      <c r="F11" s="9" t="s">
        <v>18</v>
      </c>
      <c r="G11" s="9" t="s">
        <v>19</v>
      </c>
      <c r="H11" s="14">
        <v>34588.44</v>
      </c>
      <c r="I11" s="9" t="s">
        <v>58</v>
      </c>
      <c r="J11" s="9"/>
      <c r="K11" s="9" t="s">
        <v>57</v>
      </c>
      <c r="L11" s="9"/>
    </row>
    <row r="12" spans="1:12" ht="35.1" customHeight="1" x14ac:dyDescent="0.25">
      <c r="A12" s="9" t="s">
        <v>56</v>
      </c>
      <c r="B12" s="9" t="s">
        <v>29</v>
      </c>
      <c r="C12" s="9" t="s">
        <v>28</v>
      </c>
      <c r="D12" s="9" t="s">
        <v>55</v>
      </c>
      <c r="E12" s="9"/>
      <c r="F12" s="9" t="s">
        <v>10</v>
      </c>
      <c r="G12" s="9" t="s">
        <v>11</v>
      </c>
      <c r="H12" s="14">
        <v>16381.78</v>
      </c>
      <c r="I12" s="9" t="s">
        <v>54</v>
      </c>
      <c r="J12" s="9"/>
      <c r="K12" s="9" t="s">
        <v>53</v>
      </c>
      <c r="L12" s="9"/>
    </row>
    <row r="13" spans="1:12" ht="35.1" customHeight="1" x14ac:dyDescent="0.25">
      <c r="A13" s="9" t="s">
        <v>52</v>
      </c>
      <c r="B13" s="9" t="s">
        <v>29</v>
      </c>
      <c r="C13" s="9" t="s">
        <v>39</v>
      </c>
      <c r="D13" s="9" t="s">
        <v>48</v>
      </c>
      <c r="E13" s="9" t="s">
        <v>51</v>
      </c>
      <c r="F13" s="9" t="s">
        <v>17</v>
      </c>
      <c r="G13" s="9" t="s">
        <v>11</v>
      </c>
      <c r="H13" s="14">
        <v>29363.69</v>
      </c>
      <c r="I13" s="9" t="s">
        <v>50</v>
      </c>
      <c r="J13" s="9"/>
      <c r="K13" s="9" t="s">
        <v>49</v>
      </c>
      <c r="L13" s="9"/>
    </row>
    <row r="14" spans="1:12" ht="35.1" customHeight="1" x14ac:dyDescent="0.25">
      <c r="A14" s="9" t="s">
        <v>47</v>
      </c>
      <c r="B14" s="9" t="s">
        <v>40</v>
      </c>
      <c r="C14" s="9" t="s">
        <v>28</v>
      </c>
      <c r="D14" s="9" t="s">
        <v>46</v>
      </c>
      <c r="E14" s="9"/>
      <c r="F14" s="9" t="s">
        <v>16</v>
      </c>
      <c r="G14" s="9" t="s">
        <v>11</v>
      </c>
      <c r="H14" s="14">
        <v>14613.06</v>
      </c>
      <c r="I14" s="9"/>
      <c r="J14" s="9"/>
      <c r="K14" s="9" t="s">
        <v>45</v>
      </c>
      <c r="L14" s="9"/>
    </row>
    <row r="15" spans="1:12" ht="35.1" customHeight="1" x14ac:dyDescent="0.25">
      <c r="A15" s="9" t="s">
        <v>44</v>
      </c>
      <c r="B15" s="9" t="s">
        <v>29</v>
      </c>
      <c r="C15" s="9" t="s">
        <v>28</v>
      </c>
      <c r="D15" s="9" t="s">
        <v>43</v>
      </c>
      <c r="E15" s="9"/>
      <c r="F15" s="9" t="s">
        <v>12</v>
      </c>
      <c r="G15" s="9" t="s">
        <v>11</v>
      </c>
      <c r="H15" s="14">
        <v>37429.56</v>
      </c>
      <c r="I15" s="9"/>
      <c r="J15" s="9"/>
      <c r="K15" s="9" t="s">
        <v>42</v>
      </c>
      <c r="L15" s="9"/>
    </row>
    <row r="16" spans="1:12" ht="35.1" customHeight="1" x14ac:dyDescent="0.25">
      <c r="A16" s="9" t="s">
        <v>41</v>
      </c>
      <c r="B16" s="9" t="s">
        <v>40</v>
      </c>
      <c r="C16" s="9" t="s">
        <v>39</v>
      </c>
      <c r="D16" s="9" t="s">
        <v>38</v>
      </c>
      <c r="E16" s="9"/>
      <c r="F16" s="9" t="s">
        <v>18</v>
      </c>
      <c r="G16" s="9" t="s">
        <v>19</v>
      </c>
      <c r="H16" s="14">
        <v>24871.29</v>
      </c>
      <c r="I16" s="9" t="s">
        <v>37</v>
      </c>
      <c r="J16" s="9"/>
      <c r="K16" s="9" t="s">
        <v>36</v>
      </c>
      <c r="L16" s="9"/>
    </row>
    <row r="17" spans="1:12" ht="35.1" customHeight="1" x14ac:dyDescent="0.25">
      <c r="A17" s="9" t="s">
        <v>35</v>
      </c>
      <c r="B17" s="9" t="s">
        <v>29</v>
      </c>
      <c r="C17" s="9" t="s">
        <v>28</v>
      </c>
      <c r="D17" s="9" t="s">
        <v>34</v>
      </c>
      <c r="E17" s="9" t="s">
        <v>33</v>
      </c>
      <c r="F17" s="9" t="s">
        <v>21</v>
      </c>
      <c r="G17" s="9" t="s">
        <v>14</v>
      </c>
      <c r="H17" s="14">
        <v>22211.33</v>
      </c>
      <c r="I17" s="9" t="s">
        <v>32</v>
      </c>
      <c r="J17" s="9"/>
      <c r="K17" s="9" t="s">
        <v>31</v>
      </c>
      <c r="L17" s="9" t="s">
        <v>30</v>
      </c>
    </row>
    <row r="18" spans="1:12" ht="35.1" customHeight="1" x14ac:dyDescent="0.25">
      <c r="A18" s="15">
        <v>151205450</v>
      </c>
      <c r="B18" s="9" t="s">
        <v>29</v>
      </c>
      <c r="C18" s="9" t="s">
        <v>28</v>
      </c>
      <c r="D18" s="9" t="s">
        <v>27</v>
      </c>
      <c r="E18" s="9"/>
      <c r="F18" s="9" t="s">
        <v>17</v>
      </c>
      <c r="G18" s="9" t="s">
        <v>19</v>
      </c>
      <c r="H18" s="14">
        <v>20446.38</v>
      </c>
      <c r="I18" s="9" t="s">
        <v>26</v>
      </c>
      <c r="J18" s="9"/>
      <c r="K18" s="9" t="s">
        <v>25</v>
      </c>
      <c r="L18" s="9"/>
    </row>
    <row r="19" spans="1:12" ht="35.1" customHeight="1" x14ac:dyDescent="0.25">
      <c r="A19" s="16"/>
      <c r="B19" s="16"/>
      <c r="C19" s="16"/>
      <c r="D19" s="16" t="s">
        <v>104</v>
      </c>
      <c r="E19" s="16"/>
      <c r="F19" s="16"/>
      <c r="G19" s="16"/>
      <c r="H19" s="17">
        <f>SUM(H4:H18)</f>
        <v>374569.36000000004</v>
      </c>
      <c r="I19" s="16"/>
      <c r="J19" s="16"/>
      <c r="K19" s="16"/>
      <c r="L19" s="16"/>
    </row>
    <row r="20" spans="1:12" ht="35.1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5.1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5.1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5.1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5.1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5.1" customHeight="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5.1" customHeight="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5.1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5.1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5.1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5.1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</sheetData>
  <mergeCells count="2">
    <mergeCell ref="A2:F2"/>
    <mergeCell ref="G2:L2"/>
  </mergeCells>
  <pageMargins left="0.7" right="0.7" top="0.75" bottom="0.75" header="0.3" footer="0.3"/>
  <pageSetup paperSize="5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C56B-FB0D-48FF-B74D-574999C218D5}">
  <sheetPr>
    <pageSetUpPr fitToPage="1"/>
  </sheetPr>
  <dimension ref="A1:E25"/>
  <sheetViews>
    <sheetView workbookViewId="0">
      <pane ySplit="3" topLeftCell="A4" activePane="bottomLeft" state="frozen"/>
      <selection pane="bottomLeft" activeCell="C24" sqref="C24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4" style="8" bestFit="1" customWidth="1"/>
    <col min="4" max="4" width="18.7109375" style="8" bestFit="1" customWidth="1"/>
    <col min="5" max="5" width="39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45861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103</v>
      </c>
      <c r="E2" s="12"/>
    </row>
    <row r="3" spans="1:5" x14ac:dyDescent="0.25">
      <c r="A3" s="9" t="s">
        <v>97</v>
      </c>
      <c r="B3" s="9" t="s">
        <v>95</v>
      </c>
      <c r="C3" s="9" t="s">
        <v>94</v>
      </c>
      <c r="D3" s="9" t="s">
        <v>93</v>
      </c>
      <c r="E3" s="9" t="s">
        <v>4</v>
      </c>
    </row>
    <row r="4" spans="1:5" x14ac:dyDescent="0.25">
      <c r="A4" s="9" t="s">
        <v>60</v>
      </c>
      <c r="B4" s="9" t="s">
        <v>39</v>
      </c>
      <c r="C4" s="9" t="s">
        <v>59</v>
      </c>
      <c r="D4" s="9"/>
      <c r="E4" s="9" t="s">
        <v>18</v>
      </c>
    </row>
    <row r="5" spans="1:5" x14ac:dyDescent="0.25">
      <c r="A5" s="9" t="s">
        <v>52</v>
      </c>
      <c r="B5" s="9" t="s">
        <v>39</v>
      </c>
      <c r="C5" s="9" t="s">
        <v>48</v>
      </c>
      <c r="D5" s="9" t="s">
        <v>51</v>
      </c>
      <c r="E5" s="9" t="s">
        <v>17</v>
      </c>
    </row>
    <row r="6" spans="1:5" x14ac:dyDescent="0.25">
      <c r="A6" s="9" t="s">
        <v>41</v>
      </c>
      <c r="B6" s="9" t="s">
        <v>39</v>
      </c>
      <c r="C6" s="9" t="s">
        <v>38</v>
      </c>
      <c r="D6" s="9"/>
      <c r="E6" s="9" t="s">
        <v>18</v>
      </c>
    </row>
    <row r="7" spans="1:5" x14ac:dyDescent="0.25">
      <c r="A7" s="16"/>
      <c r="B7" s="16"/>
      <c r="C7" s="16" t="s">
        <v>102</v>
      </c>
      <c r="D7" s="16"/>
      <c r="E7" s="16"/>
    </row>
    <row r="8" spans="1:5" x14ac:dyDescent="0.25">
      <c r="A8" s="9"/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 t="s">
        <v>101</v>
      </c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 t="s">
        <v>100</v>
      </c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 t="s">
        <v>99</v>
      </c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</sheetData>
  <mergeCells count="2">
    <mergeCell ref="A2:C2"/>
    <mergeCell ref="D2:E2"/>
  </mergeCells>
  <pageMargins left="0.7" right="0.7" top="0.75" bottom="0.75" header="0.3" footer="0.3"/>
  <pageSetup scale="8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2025-07-23T18:35:37Z</cp:lastPrinted>
  <dcterms:created xsi:type="dcterms:W3CDTF">2025-07-23T18:07:13Z</dcterms:created>
  <dcterms:modified xsi:type="dcterms:W3CDTF">2025-07-23T18:35:47Z</dcterms:modified>
</cp:coreProperties>
</file>