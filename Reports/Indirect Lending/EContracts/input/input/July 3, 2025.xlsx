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496ED77B-3C12-4962-8ECB-464C2CAF5C74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9" i="2"/>
  <c r="H24" i="2"/>
  <c r="F24" i="2"/>
  <c r="E24" i="2"/>
  <c r="D24" i="2"/>
  <c r="H15" i="1"/>
</calcChain>
</file>

<file path=xl/sharedStrings.xml><?xml version="1.0" encoding="utf-8"?>
<sst xmlns="http://schemas.openxmlformats.org/spreadsheetml/2006/main" count="165" uniqueCount="95">
  <si>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</si>
  <si>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</si>
  <si>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</si>
  <si>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</si>
  <si>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</si>
  <si>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</si>
  <si>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</si>
  <si>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</si>
  <si>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</si>
  <si>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</si>
  <si>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</si>
  <si>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</si>
  <si>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</si>
  <si>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</si>
  <si>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</si>
  <si>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</si>
  <si>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Andrade, Marlena</t>
  </si>
  <si>
    <t>Herb Chambers Lincoln</t>
  </si>
  <si>
    <t>Marlene Braganca</t>
  </si>
  <si>
    <t>marlenalin5@gmail.com</t>
  </si>
  <si>
    <t>Desrosiers</t>
  </si>
  <si>
    <t>Zorella, Gregory</t>
  </si>
  <si>
    <t>Zorella, Kathleen</t>
  </si>
  <si>
    <t>gregzorella@gmail.com</t>
  </si>
  <si>
    <t>kathleenzorella@gmail.com</t>
  </si>
  <si>
    <t>Lewis</t>
  </si>
  <si>
    <t>Walsh</t>
  </si>
  <si>
    <t>DealerTrack</t>
  </si>
  <si>
    <t>EROMIN, MICHAEL</t>
  </si>
  <si>
    <t>Planet Subaru</t>
  </si>
  <si>
    <t>Rachel Gorham</t>
  </si>
  <si>
    <t>MICHAELEROMIN@GMAIL.COM</t>
  </si>
  <si>
    <t>DAVIS</t>
  </si>
  <si>
    <t>TATELBAUM, ANNMARIE</t>
  </si>
  <si>
    <t>T F Murphy Enterprises Inc</t>
  </si>
  <si>
    <t>DAVET7@COMCAST.NET</t>
  </si>
  <si>
    <t>WALSH</t>
  </si>
  <si>
    <t>KAVOLIUS, MARK</t>
  </si>
  <si>
    <t>Herb Chambers Lexus of Hingham</t>
  </si>
  <si>
    <t>Neli Oliveira</t>
  </si>
  <si>
    <t>pkavolius7@gmail.com</t>
  </si>
  <si>
    <t>ODONNELL</t>
  </si>
  <si>
    <t>Meyer, Daniel</t>
  </si>
  <si>
    <t>Mathieu Ford Sales, Inc</t>
  </si>
  <si>
    <t>dmeyer91@gmail.com</t>
  </si>
  <si>
    <t>BOUCHER</t>
  </si>
  <si>
    <t>151199249</t>
  </si>
  <si>
    <t>Paper</t>
  </si>
  <si>
    <t>MAGUIRE, JESSICA</t>
  </si>
  <si>
    <t>JESSICA_MAGUIRE@YMAIL.COM</t>
  </si>
  <si>
    <t>WILKINS</t>
  </si>
  <si>
    <t>151199265</t>
  </si>
  <si>
    <t>HERNANDEZ PATXOT, JOSE</t>
  </si>
  <si>
    <t>Mastria Buick Pontiac</t>
  </si>
  <si>
    <t>j_hernandez1909@hotmail.com</t>
  </si>
  <si>
    <t>PATXOT</t>
  </si>
  <si>
    <t>VEGA Y VEGA, NARDI</t>
  </si>
  <si>
    <t>BARRERA CASTELLANOS, SENDER</t>
  </si>
  <si>
    <t>Metro Honda</t>
  </si>
  <si>
    <t>NARDYVEGA7@GMAIL.COM</t>
  </si>
  <si>
    <t>VEGA</t>
  </si>
  <si>
    <t>CASRTELLANOS</t>
  </si>
  <si>
    <t>OBRIEN, BRANDON</t>
  </si>
  <si>
    <t>Salvadore Chrysler</t>
  </si>
  <si>
    <t>obkilln@yahoo.com</t>
  </si>
  <si>
    <t>BALL</t>
  </si>
  <si>
    <t>151199348</t>
  </si>
  <si>
    <t>CORRENTI, CHARLES</t>
  </si>
  <si>
    <t>NARSA AMC LLC d/b/a</t>
  </si>
  <si>
    <t>CORRENT1722@GMAIL.COM</t>
  </si>
  <si>
    <t>ROPER</t>
  </si>
  <si>
    <t># 11</t>
  </si>
  <si>
    <t>151199091 E</t>
  </si>
  <si>
    <t>151199116 E</t>
  </si>
  <si>
    <t>151199166 E</t>
  </si>
  <si>
    <t>151199174 E</t>
  </si>
  <si>
    <t>151199190 E</t>
  </si>
  <si>
    <t>151199231 E</t>
  </si>
  <si>
    <t>151199273 E</t>
  </si>
  <si>
    <t>151199306 E</t>
  </si>
  <si>
    <t>Funding Worksheet - ACH Version</t>
  </si>
  <si>
    <t>Dealer Flat</t>
  </si>
  <si>
    <t>Dealer Split</t>
  </si>
  <si>
    <t>Net to Dealer</t>
  </si>
  <si>
    <t>Contracted Amount Financed</t>
  </si>
  <si>
    <t>Auto Mall Coll-NARSA AMC LLC d/b/a</t>
  </si>
  <si>
    <t>Column1</t>
  </si>
  <si>
    <t>Column2</t>
  </si>
  <si>
    <t>4453-2150</t>
  </si>
  <si>
    <t>Funding Worksheet - Signoff Version</t>
  </si>
  <si>
    <t>#3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</si>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</sst>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4" fillId="0" borderId="0" xfId="0" applyFont="1" applyAlignment="1">
      <alignment horizontal="center"/>
    </xf>
    <xf numFmtId="7" fontId="4" fillId="0" borderId="0" xfId="0" applyNumberFormat="1" applyFont="1"/>
    <xf numFmtId="14" fontId="0" fillId="0" borderId="0" xfId="0" applyNumberFormat="1"/>
    <xf numFmtId="0" fontId="0" fillId="0" borderId="1" xfId="0" applyBorder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16">
    <dxf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5" headerRowDxfId="15" dataDxfId="14" totalsRowDxfId="13">
  <tableColumns count="12">
    <tableColumn id="1" xr3:uid="{00000000-0010-0000-0000-000001000000}" name="Account Number" dataDxfId="12"/>
    <tableColumn id="2" xr3:uid="{00000000-0010-0000-0000-000002000000}" name="Portal" dataDxfId="11"/>
    <tableColumn id="3" xr3:uid="{00000000-0010-0000-0000-000003000000}" name="Contract Type" dataDxfId="10"/>
    <tableColumn id="4" xr3:uid="{00000000-0010-0000-0000-000004000000}" name="Applicant Name" dataDxfId="9"/>
    <tableColumn id="5" xr3:uid="{00000000-0010-0000-0000-000005000000}" name="Co-Applicant Name" dataDxfId="8"/>
    <tableColumn id="6" xr3:uid="{00000000-0010-0000-0000-000006000000}" name="Dealer Name" dataDxfId="7"/>
    <tableColumn id="7" xr3:uid="{00000000-0010-0000-0000-000007000000}" name="Funded by" dataDxfId="6"/>
    <tableColumn id="8" xr3:uid="{00000000-0010-0000-0000-000008000000}" name="Amount Financed" dataDxfId="5"/>
    <tableColumn id="9" xr3:uid="{00000000-0010-0000-0000-000009000000}" name="Applicant Email" dataDxfId="4"/>
    <tableColumn id="10" xr3:uid="{00000000-0010-0000-0000-00000A000000}" name="Co-Applicant Email" dataDxfId="3"/>
    <tableColumn id="11" xr3:uid="{00000000-0010-0000-0000-00000B000000}" name="App MMN" dataDxfId="2"/>
    <tableColumn id="12" xr3:uid="{00000000-0010-0000-0000-00000C000000}" name="Co-App MM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2B4D80-588E-4C7F-9B47-916F53C0CA09}" name="Table_13" displayName="Table_13" ref="A3:H24">
  <sortState xmlns:xlrd2="http://schemas.microsoft.com/office/spreadsheetml/2017/richdata2" ref="A4:H24">
    <sortCondition ref="A4:A24"/>
  </sortState>
  <tableColumns count="8">
    <tableColumn id="1" xr3:uid="{A470AA7C-6762-4E07-8260-0F6AEF1B6EFC}" name="Dealer Name"/>
    <tableColumn id="8" xr3:uid="{D07C8708-0FE3-44B3-97C0-4BA93166C16C}" name="Column2"/>
    <tableColumn id="2" xr3:uid="{B85E490B-E4D0-4F51-A9D4-87605291F47B}" name="Funded by"/>
    <tableColumn id="3" xr3:uid="{97BC74A4-1329-409A-8123-21E7490980BF}" name="Dealer Flat"/>
    <tableColumn id="4" xr3:uid="{917E856D-E564-4423-BEC4-125385079F48}" name="Dealer Split"/>
    <tableColumn id="5" xr3:uid="{C12BE4AE-AD82-4070-90A6-328FD0855E1A}" name="Net to Dealer"/>
    <tableColumn id="7" xr3:uid="{E9E96EFC-0A01-4A67-BCBE-9546636A7F9A}" name="Column1" dataDxfId="0"/>
    <tableColumn id="6" xr3:uid="{C46903EF-7F1A-4B25-AAAA-D687E4935861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1B33F8-0395-45EC-8527-F5705ED24D24}" name="Table_15" displayName="Table_15" ref="A3:E7">
  <tableColumns count="5">
    <tableColumn id="1" xr3:uid="{5ADDE2F9-B3C7-4447-8679-5C8EBAEF827A}" name="Account Number"/>
    <tableColumn id="2" xr3:uid="{FD4DB4DD-590B-45FB-9A55-E91FC4A3B593}" name="Contract Type"/>
    <tableColumn id="3" xr3:uid="{C1C2A7FB-B898-477A-9365-AB3E8B5D5E09}" name="Applicant Name"/>
    <tableColumn id="4" xr3:uid="{2BEADC12-1F06-4FC0-9E54-82E653CFDAAC}" name="Co-Applicant Name"/>
    <tableColumn id="5" xr3:uid="{91E780C4-B985-4512-B8B9-50E9EC5A9914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workbookViewId="0">
      <pane ySplit="3" topLeftCell="A4" activePane="bottomLeft" state="frozen"/>
      <selection pane="bottomLeft" activeCell="F17" sqref="F17"/>
    </sheetView>
  </sheetViews>
  <sheetFormatPr defaultRowHeight="15.75" x14ac:dyDescent="0.25"/>
  <cols>
    <col min="1" max="1" width="14.140625" style="5" customWidth="1"/>
    <col min="2" max="2" width="12.140625" style="5" bestFit="1" customWidth="1"/>
    <col min="3" max="3" width="11.7109375" style="5" customWidth="1"/>
    <col min="4" max="4" width="26" style="5" bestFit="1" customWidth="1"/>
    <col min="5" max="5" width="28.140625" style="5" customWidth="1"/>
    <col min="6" max="6" width="32.5703125" style="5" bestFit="1" customWidth="1"/>
    <col min="7" max="7" width="17.7109375" style="5" bestFit="1" customWidth="1"/>
    <col min="8" max="8" width="17.140625" style="5" bestFit="1" customWidth="1"/>
    <col min="9" max="9" width="30.140625" style="5" bestFit="1" customWidth="1"/>
    <col min="10" max="10" width="26.5703125" style="5" bestFit="1" customWidth="1"/>
    <col min="11" max="11" width="11.85546875" style="5" bestFit="1" customWidth="1"/>
    <col min="12" max="12" width="13.7109375" style="5" customWidth="1"/>
    <col min="13" max="16384" width="9.140625" style="5"/>
  </cols>
  <sheetData>
    <row r="1" spans="1:12" x14ac:dyDescent="0.25">
      <c r="K1" s="16">
        <v>45841</v>
      </c>
      <c r="L1" s="14"/>
    </row>
    <row r="2" spans="1:12" x14ac:dyDescent="0.25">
      <c r="A2" s="13" t="s">
        <v>0</v>
      </c>
      <c r="B2" s="14"/>
      <c r="C2" s="14"/>
      <c r="D2" s="14"/>
      <c r="E2" s="14"/>
      <c r="F2" s="14"/>
      <c r="G2" s="15" t="s">
        <v>1</v>
      </c>
      <c r="H2" s="14"/>
      <c r="I2" s="14"/>
      <c r="J2" s="14"/>
      <c r="K2" s="14"/>
      <c r="L2" s="14"/>
    </row>
    <row r="3" spans="1:12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ht="33" customHeight="1" x14ac:dyDescent="0.25">
      <c r="A4" s="5" t="s">
        <v>72</v>
      </c>
      <c r="B4" s="5" t="s">
        <v>14</v>
      </c>
      <c r="C4" s="5" t="s">
        <v>15</v>
      </c>
      <c r="D4" s="5" t="s">
        <v>16</v>
      </c>
      <c r="F4" s="5" t="s">
        <v>17</v>
      </c>
      <c r="G4" s="5" t="s">
        <v>18</v>
      </c>
      <c r="H4" s="6">
        <v>43231.73</v>
      </c>
      <c r="I4" s="5" t="s">
        <v>19</v>
      </c>
      <c r="K4" s="5" t="s">
        <v>20</v>
      </c>
    </row>
    <row r="5" spans="1:12" ht="33" customHeight="1" x14ac:dyDescent="0.25">
      <c r="A5" s="5" t="s">
        <v>73</v>
      </c>
      <c r="B5" s="5" t="s">
        <v>14</v>
      </c>
      <c r="C5" s="5" t="s">
        <v>15</v>
      </c>
      <c r="D5" s="5" t="s">
        <v>21</v>
      </c>
      <c r="E5" s="5" t="s">
        <v>22</v>
      </c>
      <c r="F5" s="5" t="s">
        <v>17</v>
      </c>
      <c r="G5" s="5" t="s">
        <v>18</v>
      </c>
      <c r="H5" s="6">
        <v>36295.360000000001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33" customHeight="1" x14ac:dyDescent="0.25">
      <c r="A6" s="5" t="s">
        <v>74</v>
      </c>
      <c r="B6" s="5" t="s">
        <v>27</v>
      </c>
      <c r="C6" s="5" t="s">
        <v>15</v>
      </c>
      <c r="D6" s="5" t="s">
        <v>28</v>
      </c>
      <c r="F6" s="5" t="s">
        <v>29</v>
      </c>
      <c r="G6" s="5" t="s">
        <v>30</v>
      </c>
      <c r="H6" s="6">
        <v>30312</v>
      </c>
      <c r="I6" s="5" t="s">
        <v>31</v>
      </c>
      <c r="K6" s="5" t="s">
        <v>32</v>
      </c>
    </row>
    <row r="7" spans="1:12" ht="33" customHeight="1" x14ac:dyDescent="0.25">
      <c r="A7" s="5" t="s">
        <v>75</v>
      </c>
      <c r="B7" s="5" t="s">
        <v>14</v>
      </c>
      <c r="C7" s="5" t="s">
        <v>15</v>
      </c>
      <c r="D7" s="5" t="s">
        <v>33</v>
      </c>
      <c r="F7" s="5" t="s">
        <v>34</v>
      </c>
      <c r="G7" s="5" t="s">
        <v>30</v>
      </c>
      <c r="H7" s="6">
        <v>42290.559999999998</v>
      </c>
      <c r="I7" s="5" t="s">
        <v>35</v>
      </c>
      <c r="K7" s="5" t="s">
        <v>36</v>
      </c>
    </row>
    <row r="8" spans="1:12" ht="33" customHeight="1" x14ac:dyDescent="0.25">
      <c r="A8" s="5" t="s">
        <v>76</v>
      </c>
      <c r="B8" s="5" t="s">
        <v>14</v>
      </c>
      <c r="C8" s="5" t="s">
        <v>15</v>
      </c>
      <c r="D8" s="5" t="s">
        <v>37</v>
      </c>
      <c r="F8" s="5" t="s">
        <v>38</v>
      </c>
      <c r="G8" s="5" t="s">
        <v>39</v>
      </c>
      <c r="H8" s="6">
        <v>27876.75</v>
      </c>
      <c r="I8" s="5" t="s">
        <v>40</v>
      </c>
      <c r="K8" s="5" t="s">
        <v>41</v>
      </c>
    </row>
    <row r="9" spans="1:12" ht="33" customHeight="1" x14ac:dyDescent="0.25">
      <c r="A9" s="5" t="s">
        <v>77</v>
      </c>
      <c r="B9" s="5" t="s">
        <v>14</v>
      </c>
      <c r="C9" s="5" t="s">
        <v>15</v>
      </c>
      <c r="D9" s="5" t="s">
        <v>42</v>
      </c>
      <c r="F9" s="5" t="s">
        <v>43</v>
      </c>
      <c r="G9" s="5" t="s">
        <v>39</v>
      </c>
      <c r="H9" s="6">
        <v>30102.14</v>
      </c>
      <c r="I9" s="5" t="s">
        <v>44</v>
      </c>
      <c r="K9" s="5" t="s">
        <v>45</v>
      </c>
    </row>
    <row r="10" spans="1:12" ht="33" customHeight="1" x14ac:dyDescent="0.25">
      <c r="A10" s="5" t="s">
        <v>46</v>
      </c>
      <c r="B10" s="5" t="s">
        <v>14</v>
      </c>
      <c r="C10" s="5" t="s">
        <v>47</v>
      </c>
      <c r="D10" s="5" t="s">
        <v>48</v>
      </c>
      <c r="F10" s="5" t="s">
        <v>34</v>
      </c>
      <c r="G10" s="5" t="s">
        <v>30</v>
      </c>
      <c r="H10" s="6">
        <v>35635.5</v>
      </c>
      <c r="I10" s="5" t="s">
        <v>49</v>
      </c>
      <c r="K10" s="5" t="s">
        <v>50</v>
      </c>
    </row>
    <row r="11" spans="1:12" ht="33" customHeight="1" x14ac:dyDescent="0.25">
      <c r="A11" s="5" t="s">
        <v>51</v>
      </c>
      <c r="B11" s="5" t="s">
        <v>14</v>
      </c>
      <c r="C11" s="5" t="s">
        <v>47</v>
      </c>
      <c r="D11" s="5" t="s">
        <v>52</v>
      </c>
      <c r="F11" s="5" t="s">
        <v>53</v>
      </c>
      <c r="G11" s="5" t="s">
        <v>39</v>
      </c>
      <c r="H11" s="6">
        <v>34695.11</v>
      </c>
      <c r="I11" s="5" t="s">
        <v>54</v>
      </c>
      <c r="K11" s="5" t="s">
        <v>55</v>
      </c>
    </row>
    <row r="12" spans="1:12" ht="33" customHeight="1" x14ac:dyDescent="0.25">
      <c r="A12" s="5" t="s">
        <v>78</v>
      </c>
      <c r="B12" s="5" t="s">
        <v>27</v>
      </c>
      <c r="C12" s="5" t="s">
        <v>15</v>
      </c>
      <c r="D12" s="5" t="s">
        <v>56</v>
      </c>
      <c r="E12" s="5" t="s">
        <v>57</v>
      </c>
      <c r="F12" s="5" t="s">
        <v>58</v>
      </c>
      <c r="G12" s="5" t="s">
        <v>39</v>
      </c>
      <c r="H12" s="6">
        <v>19948.060000000001</v>
      </c>
      <c r="I12" s="5" t="s">
        <v>59</v>
      </c>
      <c r="K12" s="5" t="s">
        <v>60</v>
      </c>
      <c r="L12" s="5" t="s">
        <v>61</v>
      </c>
    </row>
    <row r="13" spans="1:12" ht="33" customHeight="1" x14ac:dyDescent="0.25">
      <c r="A13" s="5" t="s">
        <v>79</v>
      </c>
      <c r="B13" s="5" t="s">
        <v>14</v>
      </c>
      <c r="C13" s="5" t="s">
        <v>15</v>
      </c>
      <c r="D13" s="5" t="s">
        <v>62</v>
      </c>
      <c r="F13" s="5" t="s">
        <v>63</v>
      </c>
      <c r="G13" s="5" t="s">
        <v>39</v>
      </c>
      <c r="H13" s="6">
        <v>16192.14</v>
      </c>
      <c r="I13" s="5" t="s">
        <v>64</v>
      </c>
      <c r="K13" s="5" t="s">
        <v>65</v>
      </c>
    </row>
    <row r="14" spans="1:12" ht="33" customHeight="1" x14ac:dyDescent="0.25">
      <c r="A14" s="5" t="s">
        <v>66</v>
      </c>
      <c r="B14" s="5" t="s">
        <v>27</v>
      </c>
      <c r="C14" s="5" t="s">
        <v>47</v>
      </c>
      <c r="D14" s="5" t="s">
        <v>67</v>
      </c>
      <c r="F14" s="5" t="s">
        <v>68</v>
      </c>
      <c r="G14" s="5" t="s">
        <v>30</v>
      </c>
      <c r="H14" s="6">
        <v>17815.939999999999</v>
      </c>
      <c r="I14" s="5" t="s">
        <v>69</v>
      </c>
      <c r="K14" s="5" t="s">
        <v>70</v>
      </c>
    </row>
    <row r="15" spans="1:12" x14ac:dyDescent="0.25">
      <c r="A15" s="7"/>
      <c r="B15" s="7"/>
      <c r="C15" s="7"/>
      <c r="D15" s="7" t="s">
        <v>71</v>
      </c>
      <c r="E15" s="7"/>
      <c r="F15" s="7"/>
      <c r="G15" s="7"/>
      <c r="H15" s="8">
        <f>SUM(H4:H14)</f>
        <v>334395.28999999998</v>
      </c>
      <c r="I15" s="7"/>
      <c r="J15" s="7"/>
      <c r="K15" s="7"/>
      <c r="L15" s="7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7607-BDF5-4359-A82D-ABA743B7009B}">
  <sheetPr>
    <pageSetUpPr fitToPage="1"/>
  </sheetPr>
  <dimension ref="A1:H24"/>
  <sheetViews>
    <sheetView topLeftCell="A10" workbookViewId="0">
      <selection activeCell="J7" sqref="J7"/>
    </sheetView>
  </sheetViews>
  <sheetFormatPr defaultRowHeight="15" x14ac:dyDescent="0.25"/>
  <cols>
    <col min="1" max="1" width="23.42578125" customWidth="1"/>
    <col min="2" max="2" width="12.7109375" customWidth="1"/>
    <col min="3" max="3" width="13.42578125" customWidth="1"/>
    <col min="4" max="4" width="12.5703125" customWidth="1"/>
    <col min="5" max="5" width="11.7109375" customWidth="1"/>
    <col min="6" max="6" width="17" customWidth="1"/>
    <col min="7" max="7" width="11.7109375" customWidth="1"/>
    <col min="8" max="8" width="17.7109375" customWidth="1"/>
  </cols>
  <sheetData>
    <row r="1" spans="1:8" x14ac:dyDescent="0.25">
      <c r="E1" s="4"/>
      <c r="H1" s="4">
        <v>45841.999988425923</v>
      </c>
    </row>
    <row r="2" spans="1:8" x14ac:dyDescent="0.25">
      <c r="A2" s="17" t="s">
        <v>0</v>
      </c>
      <c r="B2" s="17"/>
      <c r="C2" s="18"/>
      <c r="D2" s="18"/>
      <c r="E2" s="19" t="s">
        <v>80</v>
      </c>
      <c r="F2" s="18"/>
      <c r="G2" s="18"/>
      <c r="H2" s="18"/>
    </row>
    <row r="3" spans="1:8" x14ac:dyDescent="0.25">
      <c r="A3" t="s">
        <v>7</v>
      </c>
      <c r="B3" t="s">
        <v>87</v>
      </c>
      <c r="C3" t="s">
        <v>8</v>
      </c>
      <c r="D3" t="s">
        <v>81</v>
      </c>
      <c r="E3" t="s">
        <v>82</v>
      </c>
      <c r="F3" t="s">
        <v>83</v>
      </c>
      <c r="G3" t="s">
        <v>86</v>
      </c>
      <c r="H3" t="s">
        <v>84</v>
      </c>
    </row>
    <row r="4" spans="1:8" ht="27" customHeight="1" x14ac:dyDescent="0.25">
      <c r="A4" t="s">
        <v>85</v>
      </c>
      <c r="C4" t="s">
        <v>30</v>
      </c>
      <c r="D4" s="2">
        <v>500</v>
      </c>
      <c r="E4" s="2">
        <v>0</v>
      </c>
      <c r="F4" s="10">
        <v>17740.939999999999</v>
      </c>
      <c r="G4" s="2"/>
      <c r="H4" s="2">
        <v>17815.939999999999</v>
      </c>
    </row>
    <row r="5" spans="1:8" ht="27" customHeight="1" x14ac:dyDescent="0.25">
      <c r="D5" s="2"/>
      <c r="E5" s="2"/>
      <c r="F5" s="10"/>
      <c r="G5" s="2"/>
      <c r="H5" s="2"/>
    </row>
    <row r="6" spans="1:8" ht="27" customHeight="1" x14ac:dyDescent="0.25">
      <c r="A6" t="s">
        <v>38</v>
      </c>
      <c r="C6" t="s">
        <v>39</v>
      </c>
      <c r="D6" s="2">
        <v>750</v>
      </c>
      <c r="E6" s="2">
        <v>0</v>
      </c>
      <c r="F6" s="10">
        <v>27801.75</v>
      </c>
      <c r="G6" s="2"/>
      <c r="H6" s="2">
        <v>27876.75</v>
      </c>
    </row>
    <row r="7" spans="1:8" ht="27" customHeight="1" x14ac:dyDescent="0.25">
      <c r="D7" s="2"/>
      <c r="E7" s="2"/>
      <c r="F7" s="2"/>
      <c r="G7" s="2"/>
      <c r="H7" s="2"/>
    </row>
    <row r="8" spans="1:8" ht="27" customHeight="1" x14ac:dyDescent="0.25">
      <c r="A8" t="s">
        <v>17</v>
      </c>
      <c r="C8" t="s">
        <v>18</v>
      </c>
      <c r="D8" s="2">
        <v>950</v>
      </c>
      <c r="E8" s="2">
        <v>0</v>
      </c>
      <c r="F8" s="2">
        <v>36220.36</v>
      </c>
      <c r="G8" s="2"/>
      <c r="H8" s="2">
        <v>36295.360000000001</v>
      </c>
    </row>
    <row r="9" spans="1:8" ht="27" customHeight="1" x14ac:dyDescent="0.25">
      <c r="A9" t="s">
        <v>17</v>
      </c>
      <c r="C9" t="s">
        <v>18</v>
      </c>
      <c r="D9" s="2">
        <v>1050</v>
      </c>
      <c r="E9" s="2">
        <v>0</v>
      </c>
      <c r="F9" s="2">
        <v>43156.73</v>
      </c>
      <c r="G9" s="10">
        <f>SUM(F8:F9)</f>
        <v>79377.09</v>
      </c>
      <c r="H9" s="2">
        <v>43231.73</v>
      </c>
    </row>
    <row r="10" spans="1:8" ht="27" customHeight="1" x14ac:dyDescent="0.25">
      <c r="D10" s="2"/>
      <c r="E10" s="2"/>
      <c r="F10" s="2"/>
      <c r="G10" s="2"/>
      <c r="H10" s="2"/>
    </row>
    <row r="11" spans="1:8" ht="27" customHeight="1" x14ac:dyDescent="0.25">
      <c r="A11" t="s">
        <v>53</v>
      </c>
      <c r="B11" s="9" t="s">
        <v>88</v>
      </c>
      <c r="C11" t="s">
        <v>39</v>
      </c>
      <c r="D11" s="2">
        <v>850</v>
      </c>
      <c r="E11" s="2">
        <v>0</v>
      </c>
      <c r="F11" s="10">
        <v>34620.11</v>
      </c>
      <c r="G11" s="2"/>
      <c r="H11" s="2">
        <v>34695.11</v>
      </c>
    </row>
    <row r="12" spans="1:8" ht="27" customHeight="1" x14ac:dyDescent="0.25">
      <c r="D12" s="2"/>
      <c r="E12" s="2"/>
      <c r="F12" s="10"/>
      <c r="G12" s="2"/>
      <c r="H12" s="2"/>
    </row>
    <row r="13" spans="1:8" ht="27" customHeight="1" x14ac:dyDescent="0.25">
      <c r="A13" t="s">
        <v>43</v>
      </c>
      <c r="C13" t="s">
        <v>39</v>
      </c>
      <c r="D13" s="2">
        <v>850</v>
      </c>
      <c r="E13" s="2">
        <v>0</v>
      </c>
      <c r="F13" s="10">
        <v>30027.14</v>
      </c>
      <c r="G13" s="2"/>
      <c r="H13" s="2">
        <v>30102.14</v>
      </c>
    </row>
    <row r="14" spans="1:8" ht="27" customHeight="1" x14ac:dyDescent="0.25">
      <c r="D14" s="2"/>
      <c r="E14" s="2"/>
      <c r="F14" s="10"/>
      <c r="G14" s="2"/>
      <c r="H14" s="2"/>
    </row>
    <row r="15" spans="1:8" ht="27" customHeight="1" x14ac:dyDescent="0.25">
      <c r="A15" t="s">
        <v>58</v>
      </c>
      <c r="C15" t="s">
        <v>39</v>
      </c>
      <c r="D15" s="2">
        <v>500</v>
      </c>
      <c r="E15" s="2">
        <v>0</v>
      </c>
      <c r="F15" s="10">
        <v>19873.060000000001</v>
      </c>
      <c r="G15" s="2"/>
      <c r="H15" s="2">
        <v>19948.060000000001</v>
      </c>
    </row>
    <row r="16" spans="1:8" ht="27" customHeight="1" x14ac:dyDescent="0.25">
      <c r="D16" s="2"/>
      <c r="E16" s="2"/>
      <c r="F16" s="10"/>
      <c r="G16" s="2"/>
      <c r="H16" s="2"/>
    </row>
    <row r="17" spans="1:8" ht="27" customHeight="1" x14ac:dyDescent="0.25">
      <c r="A17" t="s">
        <v>29</v>
      </c>
      <c r="C17" t="s">
        <v>30</v>
      </c>
      <c r="D17" s="2">
        <v>850</v>
      </c>
      <c r="E17" s="2">
        <v>0</v>
      </c>
      <c r="F17" s="10">
        <v>30237</v>
      </c>
      <c r="G17" s="2"/>
      <c r="H17" s="2">
        <v>30312</v>
      </c>
    </row>
    <row r="18" spans="1:8" ht="27" customHeight="1" x14ac:dyDescent="0.25">
      <c r="D18" s="2"/>
      <c r="E18" s="2"/>
      <c r="F18" s="10"/>
      <c r="G18" s="2"/>
      <c r="H18" s="2"/>
    </row>
    <row r="19" spans="1:8" ht="27" customHeight="1" x14ac:dyDescent="0.25">
      <c r="A19" t="s">
        <v>63</v>
      </c>
      <c r="C19" t="s">
        <v>39</v>
      </c>
      <c r="D19" s="2">
        <v>500</v>
      </c>
      <c r="E19" s="2">
        <v>0</v>
      </c>
      <c r="F19" s="10">
        <v>16117.14</v>
      </c>
      <c r="G19" s="2"/>
      <c r="H19" s="2">
        <v>16192.14</v>
      </c>
    </row>
    <row r="20" spans="1:8" ht="27" customHeight="1" x14ac:dyDescent="0.25">
      <c r="D20" s="2"/>
      <c r="E20" s="2"/>
      <c r="F20" s="2"/>
      <c r="G20" s="2"/>
      <c r="H20" s="2"/>
    </row>
    <row r="21" spans="1:8" ht="27" customHeight="1" x14ac:dyDescent="0.25">
      <c r="A21" t="s">
        <v>34</v>
      </c>
      <c r="C21" t="s">
        <v>30</v>
      </c>
      <c r="D21" s="2">
        <v>950</v>
      </c>
      <c r="E21" s="2">
        <v>0</v>
      </c>
      <c r="F21" s="2">
        <v>35560.5</v>
      </c>
      <c r="G21" s="2"/>
      <c r="H21" s="2">
        <v>35635.5</v>
      </c>
    </row>
    <row r="22" spans="1:8" ht="27" customHeight="1" x14ac:dyDescent="0.25">
      <c r="A22" t="s">
        <v>34</v>
      </c>
      <c r="C22" t="s">
        <v>30</v>
      </c>
      <c r="D22" s="2">
        <v>1050</v>
      </c>
      <c r="E22" s="2">
        <v>0</v>
      </c>
      <c r="F22" s="2">
        <v>42215.56</v>
      </c>
      <c r="G22" s="10">
        <f>SUM(F21:F22)</f>
        <v>77776.06</v>
      </c>
      <c r="H22" s="2">
        <v>42290.559999999998</v>
      </c>
    </row>
    <row r="23" spans="1:8" x14ac:dyDescent="0.25">
      <c r="D23" s="2"/>
      <c r="E23" s="2"/>
      <c r="F23" s="2"/>
      <c r="G23" s="2"/>
      <c r="H23" s="2"/>
    </row>
    <row r="24" spans="1:8" x14ac:dyDescent="0.25">
      <c r="A24" s="1"/>
      <c r="B24" s="1"/>
      <c r="C24" s="1"/>
      <c r="D24" s="3">
        <f>SUM(D4:D22)</f>
        <v>8800</v>
      </c>
      <c r="E24" s="3">
        <f>SUM(E4:E22)</f>
        <v>0</v>
      </c>
      <c r="F24" s="3">
        <f>SUM(F4:F22)</f>
        <v>333570.29000000004</v>
      </c>
      <c r="G24" s="3"/>
      <c r="H24" s="3">
        <f>SUM(H4:H22)</f>
        <v>334395.29000000004</v>
      </c>
    </row>
  </sheetData>
  <mergeCells count="2">
    <mergeCell ref="A2:D2"/>
    <mergeCell ref="E2:H2"/>
  </mergeCells>
  <pageMargins left="0.7" right="0.2" top="0.75" bottom="0.75" header="0.3" footer="0.3"/>
  <pageSetup scale="98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E1F2-559F-4372-9463-E0B5D1FC296A}">
  <dimension ref="A1:E21"/>
  <sheetViews>
    <sheetView zoomScaleNormal="100" workbookViewId="0">
      <selection activeCell="J14" sqref="J13:J14"/>
    </sheetView>
  </sheetViews>
  <sheetFormatPr defaultRowHeight="15" x14ac:dyDescent="0.25"/>
  <cols>
    <col min="1" max="1" width="14.140625" customWidth="1"/>
    <col min="2" max="2" width="10.28515625" customWidth="1"/>
    <col min="3" max="3" width="11.42578125" customWidth="1"/>
    <col min="4" max="4" width="15.28515625" customWidth="1"/>
    <col min="5" max="5" width="26" customWidth="1"/>
  </cols>
  <sheetData>
    <row r="1" spans="1:5" ht="21" customHeight="1" x14ac:dyDescent="0.25">
      <c r="A1" t="s">
        <v>94</v>
      </c>
      <c r="D1" s="4"/>
      <c r="E1" s="11">
        <v>45841</v>
      </c>
    </row>
    <row r="2" spans="1:5" ht="21" customHeight="1" x14ac:dyDescent="0.25">
      <c r="A2" s="17" t="s">
        <v>0</v>
      </c>
      <c r="B2" s="18"/>
      <c r="C2" s="18"/>
      <c r="D2" s="19" t="s">
        <v>89</v>
      </c>
      <c r="E2" s="18"/>
    </row>
    <row r="3" spans="1:5" ht="21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1" customHeight="1" x14ac:dyDescent="0.25">
      <c r="A4" t="s">
        <v>46</v>
      </c>
      <c r="B4" t="s">
        <v>47</v>
      </c>
      <c r="C4" t="s">
        <v>48</v>
      </c>
      <c r="E4" t="s">
        <v>34</v>
      </c>
    </row>
    <row r="5" spans="1:5" ht="21" customHeight="1" x14ac:dyDescent="0.25">
      <c r="A5" t="s">
        <v>51</v>
      </c>
      <c r="B5" t="s">
        <v>47</v>
      </c>
      <c r="C5" t="s">
        <v>52</v>
      </c>
      <c r="E5" t="s">
        <v>53</v>
      </c>
    </row>
    <row r="6" spans="1:5" ht="21" customHeight="1" x14ac:dyDescent="0.25">
      <c r="A6" t="s">
        <v>66</v>
      </c>
      <c r="B6" t="s">
        <v>47</v>
      </c>
      <c r="C6" t="s">
        <v>67</v>
      </c>
      <c r="E6" t="s">
        <v>68</v>
      </c>
    </row>
    <row r="7" spans="1:5" ht="21" customHeight="1" x14ac:dyDescent="0.25">
      <c r="A7" s="1"/>
      <c r="B7" s="1"/>
      <c r="C7" s="1" t="s">
        <v>90</v>
      </c>
      <c r="D7" s="1"/>
      <c r="E7" s="1"/>
    </row>
    <row r="13" spans="1:5" x14ac:dyDescent="0.25">
      <c r="A13" t="s">
        <v>91</v>
      </c>
      <c r="B13" s="12"/>
      <c r="C13" s="12"/>
      <c r="D13" s="12"/>
    </row>
    <row r="17" spans="1:4" x14ac:dyDescent="0.25">
      <c r="A17" t="s">
        <v>92</v>
      </c>
      <c r="B17" s="12"/>
      <c r="C17" s="12"/>
      <c r="D17" s="12"/>
    </row>
    <row r="21" spans="1:4" x14ac:dyDescent="0.25">
      <c r="A21" t="s">
        <v>93</v>
      </c>
      <c r="B21" s="12"/>
      <c r="C21" s="12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2025-07-03T18:38:57Z</cp:lastPrinted>
  <dcterms:created xsi:type="dcterms:W3CDTF">2025-07-03T18:20:36Z</dcterms:created>
  <dcterms:modified xsi:type="dcterms:W3CDTF">2025-08-04T18:12:50Z</dcterms:modified>
</cp:coreProperties>
</file>