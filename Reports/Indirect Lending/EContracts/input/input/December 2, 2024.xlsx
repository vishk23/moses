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E97828C5-4FC1-4562-96AE-1DE972CACF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2" l="1"/>
  <c r="F20" i="1"/>
  <c r="F17" i="1"/>
  <c r="F8" i="1"/>
  <c r="F5" i="1"/>
  <c r="H25" i="1"/>
  <c r="E25" i="1"/>
  <c r="D25" i="1"/>
  <c r="C25" i="1"/>
</calcChain>
</file>

<file path=xl/sharedStrings.xml><?xml version="1.0" encoding="utf-8"?>
<sst xmlns="http://schemas.openxmlformats.org/spreadsheetml/2006/main" count="179" uniqueCount="100">
  <si>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</si>
  <si>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</si>
  <si>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</si>
  <si>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</si>
  <si>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</si>
  <si>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</si>
  <si>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</si>
  <si>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</si>
  <si>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</si>
  <si>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</si>
  <si>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AutoMax Preowned(Framingham)</t>
  </si>
  <si>
    <t>Marlene Braganca</t>
  </si>
  <si>
    <t>Grieco Toyota</t>
  </si>
  <si>
    <t>Rachel Gorham</t>
  </si>
  <si>
    <t>Herb Chambers Cadillac Inc</t>
  </si>
  <si>
    <t>Infiniti of Norwood</t>
  </si>
  <si>
    <t>Mastria Kia</t>
  </si>
  <si>
    <t>Neli Oliveira</t>
  </si>
  <si>
    <t>Mathieu Ford Sales, Inc</t>
  </si>
  <si>
    <t>Metro Honda</t>
  </si>
  <si>
    <t>NARSA AMC LLC d/b/a</t>
  </si>
  <si>
    <t>Richard Lundgren, Inc. d/b/a</t>
  </si>
  <si>
    <t>Column1</t>
  </si>
  <si>
    <t>Column2</t>
  </si>
  <si>
    <t># 13</t>
  </si>
  <si>
    <t>ARSENAULT</t>
  </si>
  <si>
    <t>NARDELLO, JAKE</t>
  </si>
  <si>
    <t>E Contract</t>
  </si>
  <si>
    <t>DealerTrack</t>
  </si>
  <si>
    <t>151124626e</t>
  </si>
  <si>
    <t>FLYNN</t>
  </si>
  <si>
    <t>mattei.daniel@gmail.com</t>
  </si>
  <si>
    <t>MATTEI, DANIEL</t>
  </si>
  <si>
    <t>Route One</t>
  </si>
  <si>
    <t>151124577e</t>
  </si>
  <si>
    <t>Fanning</t>
  </si>
  <si>
    <t>MJBUXTON@YAHOO.COM</t>
  </si>
  <si>
    <t>BUXTON, JENNALYN</t>
  </si>
  <si>
    <t>151124569e</t>
  </si>
  <si>
    <t>Barry</t>
  </si>
  <si>
    <t>STJEANHOLLY@YAHOO.COM</t>
  </si>
  <si>
    <t>ST JEAN, HOLLY</t>
  </si>
  <si>
    <t>151124543e</t>
  </si>
  <si>
    <t>MULLEN</t>
  </si>
  <si>
    <t>GAGNON</t>
  </si>
  <si>
    <t>JONNA.RODDY@GMAIL.COM</t>
  </si>
  <si>
    <t>BOB_RODDY@YAHOO.COM</t>
  </si>
  <si>
    <t>RODDY, JONNA</t>
  </si>
  <si>
    <t>RODDY, ROBERT</t>
  </si>
  <si>
    <t>151124535e</t>
  </si>
  <si>
    <t>Kennedy</t>
  </si>
  <si>
    <t>DENSBOYS@VERIZON.NET</t>
  </si>
  <si>
    <t>ELLIS, DENISE</t>
  </si>
  <si>
    <t>151124519e</t>
  </si>
  <si>
    <t>MATIAS</t>
  </si>
  <si>
    <t>altagracia.jhoel.gmail.com</t>
  </si>
  <si>
    <t>OVIEDO, ALTAGRACIA</t>
  </si>
  <si>
    <t>Paper</t>
  </si>
  <si>
    <t>151124501</t>
  </si>
  <si>
    <t>MCKELVEY</t>
  </si>
  <si>
    <t>GOODEMOTE</t>
  </si>
  <si>
    <t>LERMINIAUX, ALEX</t>
  </si>
  <si>
    <t>LERMINIAUX, JEFFREY</t>
  </si>
  <si>
    <t>151124444e</t>
  </si>
  <si>
    <t>Gray</t>
  </si>
  <si>
    <t>CHERYLIVY1@GMAIL.COM</t>
  </si>
  <si>
    <t>BAKER, CHERYL</t>
  </si>
  <si>
    <t>151124436e</t>
  </si>
  <si>
    <t>Danielson</t>
  </si>
  <si>
    <t>erikaelmadi@gmail.com</t>
  </si>
  <si>
    <t>EL MADI, ERIKA</t>
  </si>
  <si>
    <t>151124428e</t>
  </si>
  <si>
    <t>Perrault</t>
  </si>
  <si>
    <t>Larkin, Thomas</t>
  </si>
  <si>
    <t>151124410e</t>
  </si>
  <si>
    <t>Florentine</t>
  </si>
  <si>
    <t>grantstorrs@aol.com</t>
  </si>
  <si>
    <t>GALBRAITH, GRANT</t>
  </si>
  <si>
    <t>151124402e</t>
  </si>
  <si>
    <t>Tancrelle</t>
  </si>
  <si>
    <t>svear@comcast.net</t>
  </si>
  <si>
    <t>Vear, Serene</t>
  </si>
  <si>
    <t>151124387e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</si>
  <si>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</si>
  <si>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</si>
  <si>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</si>
  <si>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</si>
  <si>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</si>
  <si>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</si>
  <si>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</si>
  <si>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</si>
  <si>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</si>
  <si>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</si>
  <si>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</si>
  <si>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</t>
  </si>
  <si>
    <t>Received By____________________________________________________________</t>
  </si>
  <si>
    <t>Delivered By___________________________________________________________</t>
  </si>
  <si>
    <t># 1</t>
  </si>
  <si>
    <t>Funding Worksheet - Signoff Version</t>
  </si>
  <si>
    <t>5099     5689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</si>
</sst>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0AFC80C1-19F4-41C3-A2A0-0D2CD86B7FDA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25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378B646C-0EDC-402D-ACD8-B2DA4087D3FC}" name="Column1" dataDxfId="23"/>
    <tableColumn id="8" xr3:uid="{59E35355-12E4-4533-89B7-099332F55629}" name="Column2" dataDxfId="24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153D01-59D1-4B6E-B072-1BFDC7ED9632}" name="Table_13" displayName="Table_13" ref="A3:L17" headerRowDxfId="10" dataDxfId="8" totalsRowDxfId="9">
  <tableColumns count="12">
    <tableColumn id="1" xr3:uid="{00000000-0010-0000-0000-000001000000}" name="Account Number" dataDxfId="22"/>
    <tableColumn id="2" xr3:uid="{00000000-0010-0000-0000-000002000000}" name="Portal" dataDxfId="21"/>
    <tableColumn id="3" xr3:uid="{00000000-0010-0000-0000-000003000000}" name="Contract Type" dataDxfId="20"/>
    <tableColumn id="4" xr3:uid="{00000000-0010-0000-0000-000004000000}" name="Applicant Name" dataDxfId="19"/>
    <tableColumn id="5" xr3:uid="{00000000-0010-0000-0000-000005000000}" name="Co-Applicant Name" dataDxfId="18"/>
    <tableColumn id="6" xr3:uid="{00000000-0010-0000-0000-000006000000}" name="Dealer Name" dataDxfId="17"/>
    <tableColumn id="7" xr3:uid="{00000000-0010-0000-0000-000007000000}" name="Funded by" dataDxfId="16"/>
    <tableColumn id="8" xr3:uid="{00000000-0010-0000-0000-000008000000}" name="Amount Financed" dataDxfId="15"/>
    <tableColumn id="9" xr3:uid="{00000000-0010-0000-0000-000009000000}" name="Applicant Email" dataDxfId="14"/>
    <tableColumn id="10" xr3:uid="{00000000-0010-0000-0000-00000A000000}" name="Co-Applicant Email" dataDxfId="13"/>
    <tableColumn id="11" xr3:uid="{00000000-0010-0000-0000-00000B000000}" name="App MMN" dataDxfId="12"/>
    <tableColumn id="12" xr3:uid="{00000000-0010-0000-0000-00000C000000}" name="Co-App MMN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BB2F0D-CFCC-4C03-BC36-FF1792BA744D}" name="Table_14" displayName="Table_14" ref="A3:E5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5"/>
  <sheetViews>
    <sheetView tabSelected="1" workbookViewId="0">
      <pane ySplit="3" topLeftCell="A4" activePane="bottomLeft" state="frozen"/>
      <selection pane="bottomLeft" activeCell="E14" sqref="E14"/>
    </sheetView>
  </sheetViews>
  <sheetFormatPr defaultRowHeight="15" x14ac:dyDescent="0.25"/>
  <cols>
    <col min="1" max="1" width="31.85546875" bestFit="1" customWidth="1"/>
    <col min="2" max="2" width="17.7109375" bestFit="1" customWidth="1"/>
    <col min="3" max="3" width="11.140625" bestFit="1" customWidth="1"/>
    <col min="4" max="4" width="18.1406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45628</v>
      </c>
      <c r="E1" t="s">
        <v>2</v>
      </c>
      <c r="H1" s="4">
        <v>45628.999988425923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22</v>
      </c>
      <c r="G3" t="s">
        <v>23</v>
      </c>
      <c r="H3" t="s">
        <v>9</v>
      </c>
    </row>
    <row r="4" spans="1:8" x14ac:dyDescent="0.25">
      <c r="A4" t="s">
        <v>10</v>
      </c>
      <c r="B4" t="s">
        <v>11</v>
      </c>
      <c r="C4" s="2">
        <v>350</v>
      </c>
      <c r="D4" s="2">
        <v>0</v>
      </c>
      <c r="E4" s="2">
        <v>18981.939999999999</v>
      </c>
      <c r="F4" s="2"/>
      <c r="G4" s="2"/>
      <c r="H4" s="2">
        <v>19056.939999999999</v>
      </c>
    </row>
    <row r="5" spans="1:8" x14ac:dyDescent="0.25">
      <c r="A5" t="s">
        <v>10</v>
      </c>
      <c r="B5" t="s">
        <v>11</v>
      </c>
      <c r="C5" s="2">
        <v>500</v>
      </c>
      <c r="D5" s="2">
        <v>0</v>
      </c>
      <c r="E5" s="2">
        <v>25422.5</v>
      </c>
      <c r="F5" s="2">
        <f>SUM(E4:E5)</f>
        <v>44404.44</v>
      </c>
      <c r="G5" s="2"/>
      <c r="H5" s="2">
        <v>25497.5</v>
      </c>
    </row>
    <row r="6" spans="1:8" x14ac:dyDescent="0.25">
      <c r="C6" s="2"/>
      <c r="D6" s="2"/>
      <c r="E6" s="2"/>
      <c r="F6" s="2"/>
      <c r="G6" s="2"/>
      <c r="H6" s="2"/>
    </row>
    <row r="7" spans="1:8" x14ac:dyDescent="0.25">
      <c r="A7" t="s">
        <v>12</v>
      </c>
      <c r="B7" t="s">
        <v>11</v>
      </c>
      <c r="C7" s="2">
        <v>600</v>
      </c>
      <c r="D7" s="2">
        <v>0</v>
      </c>
      <c r="E7" s="2">
        <v>31213.38</v>
      </c>
      <c r="F7" s="2"/>
      <c r="G7" s="2"/>
      <c r="H7" s="2">
        <v>31288.38</v>
      </c>
    </row>
    <row r="8" spans="1:8" x14ac:dyDescent="0.25">
      <c r="A8" t="s">
        <v>12</v>
      </c>
      <c r="B8" t="s">
        <v>13</v>
      </c>
      <c r="C8" s="2">
        <v>1000</v>
      </c>
      <c r="D8" s="2">
        <v>0</v>
      </c>
      <c r="E8" s="2">
        <v>54008.24</v>
      </c>
      <c r="F8" s="2">
        <f>SUM(E7:E8)</f>
        <v>85221.62</v>
      </c>
      <c r="G8" s="2"/>
      <c r="H8" s="2">
        <v>54083.24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14</v>
      </c>
      <c r="B10" t="s">
        <v>11</v>
      </c>
      <c r="C10" s="2">
        <v>500</v>
      </c>
      <c r="D10" s="2">
        <v>0</v>
      </c>
      <c r="E10" s="2">
        <v>26811.91</v>
      </c>
      <c r="F10" s="2"/>
      <c r="G10" s="2"/>
      <c r="H10" s="2">
        <v>26886.91</v>
      </c>
    </row>
    <row r="11" spans="1:8" x14ac:dyDescent="0.25">
      <c r="C11" s="2"/>
      <c r="D11" s="2"/>
      <c r="E11" s="2"/>
      <c r="F11" s="2"/>
      <c r="G11" s="2"/>
      <c r="H11" s="2"/>
    </row>
    <row r="12" spans="1:8" x14ac:dyDescent="0.25">
      <c r="A12" t="s">
        <v>15</v>
      </c>
      <c r="B12" t="s">
        <v>11</v>
      </c>
      <c r="C12" s="2">
        <v>500</v>
      </c>
      <c r="D12" s="2">
        <v>0</v>
      </c>
      <c r="E12" s="2">
        <v>29220.81</v>
      </c>
      <c r="F12" s="2"/>
      <c r="G12" s="2"/>
      <c r="H12" s="2">
        <v>29295.81</v>
      </c>
    </row>
    <row r="13" spans="1:8" x14ac:dyDescent="0.25">
      <c r="C13" s="2"/>
      <c r="D13" s="2"/>
      <c r="E13" s="2"/>
      <c r="F13" s="2"/>
      <c r="G13" s="2"/>
      <c r="H13" s="2"/>
    </row>
    <row r="14" spans="1:8" x14ac:dyDescent="0.25">
      <c r="A14" t="s">
        <v>16</v>
      </c>
      <c r="B14" t="s">
        <v>17</v>
      </c>
      <c r="C14" s="2">
        <v>625</v>
      </c>
      <c r="D14" s="2">
        <v>0</v>
      </c>
      <c r="E14" s="2">
        <v>36426</v>
      </c>
      <c r="F14" s="2"/>
      <c r="G14" s="2" t="s">
        <v>99</v>
      </c>
      <c r="H14" s="2">
        <v>36501</v>
      </c>
    </row>
    <row r="15" spans="1:8" x14ac:dyDescent="0.25">
      <c r="C15" s="2"/>
      <c r="D15" s="2"/>
      <c r="E15" s="2"/>
      <c r="F15" s="2"/>
      <c r="G15" s="2"/>
      <c r="H15" s="2"/>
    </row>
    <row r="16" spans="1:8" x14ac:dyDescent="0.25">
      <c r="A16" t="s">
        <v>18</v>
      </c>
      <c r="B16" t="s">
        <v>11</v>
      </c>
      <c r="C16" s="2">
        <v>500</v>
      </c>
      <c r="D16" s="2">
        <v>0</v>
      </c>
      <c r="E16" s="2">
        <v>27416.44</v>
      </c>
      <c r="F16" s="2"/>
      <c r="G16" s="2"/>
      <c r="H16" s="2">
        <v>27491.439999999999</v>
      </c>
    </row>
    <row r="17" spans="1:8" x14ac:dyDescent="0.25">
      <c r="A17" t="s">
        <v>18</v>
      </c>
      <c r="B17" t="s">
        <v>11</v>
      </c>
      <c r="C17" s="2">
        <v>1000</v>
      </c>
      <c r="D17" s="2">
        <v>0</v>
      </c>
      <c r="E17" s="2">
        <v>55409.18</v>
      </c>
      <c r="F17" s="2">
        <f>SUM(E16:E17)</f>
        <v>82825.62</v>
      </c>
      <c r="G17" s="2"/>
      <c r="H17" s="2">
        <v>55484.18</v>
      </c>
    </row>
    <row r="18" spans="1:8" x14ac:dyDescent="0.25">
      <c r="C18" s="2"/>
      <c r="D18" s="2"/>
      <c r="E18" s="2"/>
      <c r="F18" s="2"/>
      <c r="G18" s="2"/>
      <c r="H18" s="2"/>
    </row>
    <row r="19" spans="1:8" x14ac:dyDescent="0.25">
      <c r="A19" t="s">
        <v>19</v>
      </c>
      <c r="B19" t="s">
        <v>11</v>
      </c>
      <c r="C19" s="2">
        <v>700</v>
      </c>
      <c r="D19" s="2">
        <v>0</v>
      </c>
      <c r="E19" s="2">
        <v>41435.39</v>
      </c>
      <c r="F19" s="2"/>
      <c r="G19" s="2"/>
      <c r="H19" s="2">
        <v>41510.39</v>
      </c>
    </row>
    <row r="20" spans="1:8" x14ac:dyDescent="0.25">
      <c r="A20" t="s">
        <v>19</v>
      </c>
      <c r="B20" t="s">
        <v>11</v>
      </c>
      <c r="C20" s="2">
        <v>600</v>
      </c>
      <c r="D20" s="2">
        <v>0</v>
      </c>
      <c r="E20" s="2">
        <v>30757.55</v>
      </c>
      <c r="F20" s="2">
        <f>SUM(E19:E20)</f>
        <v>72192.94</v>
      </c>
      <c r="G20" s="2"/>
      <c r="H20" s="2">
        <v>30832.55</v>
      </c>
    </row>
    <row r="21" spans="1:8" x14ac:dyDescent="0.25">
      <c r="C21" s="2"/>
      <c r="D21" s="2"/>
      <c r="E21" s="2"/>
      <c r="F21" s="2"/>
      <c r="G21" s="2"/>
      <c r="H21" s="2"/>
    </row>
    <row r="22" spans="1:8" x14ac:dyDescent="0.25">
      <c r="A22" t="s">
        <v>20</v>
      </c>
      <c r="B22" t="s">
        <v>17</v>
      </c>
      <c r="C22" s="2">
        <v>650</v>
      </c>
      <c r="D22" s="2">
        <v>0</v>
      </c>
      <c r="E22" s="2">
        <v>37250.94</v>
      </c>
      <c r="F22" s="2"/>
      <c r="G22" s="2"/>
      <c r="H22" s="2">
        <v>37325.94</v>
      </c>
    </row>
    <row r="23" spans="1:8" x14ac:dyDescent="0.25">
      <c r="C23" s="2"/>
      <c r="D23" s="2"/>
      <c r="E23" s="2"/>
      <c r="F23" s="2"/>
      <c r="G23" s="2"/>
      <c r="H23" s="2"/>
    </row>
    <row r="24" spans="1:8" x14ac:dyDescent="0.25">
      <c r="A24" t="s">
        <v>21</v>
      </c>
      <c r="B24" t="s">
        <v>13</v>
      </c>
      <c r="C24" s="2">
        <v>600</v>
      </c>
      <c r="D24" s="2">
        <v>0</v>
      </c>
      <c r="E24" s="2">
        <v>34400</v>
      </c>
      <c r="F24" s="2"/>
      <c r="G24" s="2"/>
      <c r="H24" s="2">
        <v>34475</v>
      </c>
    </row>
    <row r="25" spans="1:8" x14ac:dyDescent="0.25">
      <c r="A25" s="1"/>
      <c r="B25" s="1"/>
      <c r="C25" s="3">
        <f>SUM(C4:C24)</f>
        <v>8125</v>
      </c>
      <c r="D25" s="3">
        <f>SUM(D4:D24)</f>
        <v>0</v>
      </c>
      <c r="E25" s="3">
        <f>SUM(E4:E24)</f>
        <v>448754.28</v>
      </c>
      <c r="F25" s="3"/>
      <c r="G25" s="3"/>
      <c r="H25" s="3">
        <f>SUM(H4:H24)</f>
        <v>449729.28000000003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DD353-B73A-4B29-A7D5-A3C065F122F4}">
  <sheetPr>
    <pageSetUpPr fitToPage="1"/>
  </sheetPr>
  <dimension ref="A1:M18"/>
  <sheetViews>
    <sheetView workbookViewId="0">
      <pane ySplit="3" topLeftCell="A4" activePane="bottomLeft" state="frozen"/>
      <selection pane="bottomLeft" activeCell="H8" sqref="H8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1.140625" style="8" bestFit="1" customWidth="1"/>
    <col min="5" max="5" width="18.7109375" style="8" bestFit="1" customWidth="1"/>
    <col min="6" max="6" width="31.85546875" style="8" bestFit="1" customWidth="1"/>
    <col min="7" max="7" width="17.7109375" style="8" bestFit="1" customWidth="1"/>
    <col min="8" max="8" width="17.140625" style="8" bestFit="1" customWidth="1"/>
    <col min="9" max="9" width="27" style="8" bestFit="1" customWidth="1"/>
    <col min="10" max="10" width="26.85546875" style="8" bestFit="1" customWidth="1"/>
    <col min="11" max="11" width="18.140625" style="8" bestFit="1" customWidth="1"/>
    <col min="12" max="12" width="12.85546875" style="8" bestFit="1" customWidth="1"/>
    <col min="13" max="16384" width="9.140625" style="8"/>
  </cols>
  <sheetData>
    <row r="1" spans="1:13" ht="30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45628</v>
      </c>
      <c r="L1" s="9" t="s">
        <v>2</v>
      </c>
      <c r="M1" s="9"/>
    </row>
    <row r="2" spans="1:13" ht="30" customHeight="1" x14ac:dyDescent="0.25">
      <c r="A2" s="11" t="s">
        <v>0</v>
      </c>
      <c r="B2" s="12"/>
      <c r="C2" s="12"/>
      <c r="D2" s="12"/>
      <c r="E2" s="12"/>
      <c r="F2" s="12"/>
      <c r="G2" s="13" t="s">
        <v>93</v>
      </c>
      <c r="H2" s="12"/>
      <c r="I2" s="12"/>
      <c r="J2" s="12"/>
      <c r="K2" s="12"/>
      <c r="L2" s="12"/>
      <c r="M2" s="9"/>
    </row>
    <row r="3" spans="1:13" ht="30" customHeight="1" x14ac:dyDescent="0.25">
      <c r="A3" s="9" t="s">
        <v>92</v>
      </c>
      <c r="B3" s="9" t="s">
        <v>91</v>
      </c>
      <c r="C3" s="9" t="s">
        <v>90</v>
      </c>
      <c r="D3" s="9" t="s">
        <v>89</v>
      </c>
      <c r="E3" s="9" t="s">
        <v>88</v>
      </c>
      <c r="F3" s="9" t="s">
        <v>4</v>
      </c>
      <c r="G3" s="9" t="s">
        <v>5</v>
      </c>
      <c r="H3" s="9" t="s">
        <v>87</v>
      </c>
      <c r="I3" s="9" t="s">
        <v>86</v>
      </c>
      <c r="J3" s="9" t="s">
        <v>85</v>
      </c>
      <c r="K3" s="9" t="s">
        <v>84</v>
      </c>
      <c r="L3" s="9" t="s">
        <v>83</v>
      </c>
      <c r="M3" s="9"/>
    </row>
    <row r="4" spans="1:13" ht="30" customHeight="1" x14ac:dyDescent="0.25">
      <c r="A4" s="9" t="s">
        <v>82</v>
      </c>
      <c r="B4" s="9" t="s">
        <v>33</v>
      </c>
      <c r="C4" s="9" t="s">
        <v>27</v>
      </c>
      <c r="D4" s="9" t="s">
        <v>81</v>
      </c>
      <c r="E4" s="9"/>
      <c r="F4" s="9" t="s">
        <v>18</v>
      </c>
      <c r="G4" s="9" t="s">
        <v>11</v>
      </c>
      <c r="H4" s="14">
        <v>55484.18</v>
      </c>
      <c r="I4" s="9" t="s">
        <v>80</v>
      </c>
      <c r="J4" s="9"/>
      <c r="K4" s="9" t="s">
        <v>79</v>
      </c>
      <c r="L4" s="9"/>
      <c r="M4" s="9"/>
    </row>
    <row r="5" spans="1:13" ht="30" customHeight="1" x14ac:dyDescent="0.25">
      <c r="A5" s="9" t="s">
        <v>78</v>
      </c>
      <c r="B5" s="9" t="s">
        <v>28</v>
      </c>
      <c r="C5" s="9" t="s">
        <v>27</v>
      </c>
      <c r="D5" s="9" t="s">
        <v>77</v>
      </c>
      <c r="E5" s="9"/>
      <c r="F5" s="9" t="s">
        <v>19</v>
      </c>
      <c r="G5" s="9" t="s">
        <v>11</v>
      </c>
      <c r="H5" s="14">
        <v>30832.55</v>
      </c>
      <c r="I5" s="9" t="s">
        <v>76</v>
      </c>
      <c r="J5" s="9"/>
      <c r="K5" s="9" t="s">
        <v>75</v>
      </c>
      <c r="L5" s="9"/>
      <c r="M5" s="9"/>
    </row>
    <row r="6" spans="1:13" ht="30" customHeight="1" x14ac:dyDescent="0.25">
      <c r="A6" s="9" t="s">
        <v>74</v>
      </c>
      <c r="B6" s="9" t="s">
        <v>33</v>
      </c>
      <c r="C6" s="9" t="s">
        <v>27</v>
      </c>
      <c r="D6" s="9" t="s">
        <v>73</v>
      </c>
      <c r="E6" s="9"/>
      <c r="F6" s="9" t="s">
        <v>18</v>
      </c>
      <c r="G6" s="9" t="s">
        <v>11</v>
      </c>
      <c r="H6" s="14">
        <v>27491.439999999999</v>
      </c>
      <c r="I6" s="9"/>
      <c r="J6" s="9"/>
      <c r="K6" s="9" t="s">
        <v>72</v>
      </c>
      <c r="L6" s="9"/>
      <c r="M6" s="9"/>
    </row>
    <row r="7" spans="1:13" ht="30" customHeight="1" x14ac:dyDescent="0.25">
      <c r="A7" s="9" t="s">
        <v>71</v>
      </c>
      <c r="B7" s="9" t="s">
        <v>33</v>
      </c>
      <c r="C7" s="9" t="s">
        <v>27</v>
      </c>
      <c r="D7" s="9" t="s">
        <v>70</v>
      </c>
      <c r="E7" s="9"/>
      <c r="F7" s="9" t="s">
        <v>12</v>
      </c>
      <c r="G7" s="9" t="s">
        <v>11</v>
      </c>
      <c r="H7" s="14">
        <v>31288.38</v>
      </c>
      <c r="I7" s="9" t="s">
        <v>69</v>
      </c>
      <c r="J7" s="9"/>
      <c r="K7" s="9" t="s">
        <v>68</v>
      </c>
      <c r="L7" s="9"/>
      <c r="M7" s="9"/>
    </row>
    <row r="8" spans="1:13" ht="30" customHeight="1" x14ac:dyDescent="0.25">
      <c r="A8" s="9" t="s">
        <v>67</v>
      </c>
      <c r="B8" s="9" t="s">
        <v>28</v>
      </c>
      <c r="C8" s="9" t="s">
        <v>27</v>
      </c>
      <c r="D8" s="9" t="s">
        <v>66</v>
      </c>
      <c r="E8" s="9"/>
      <c r="F8" s="9" t="s">
        <v>19</v>
      </c>
      <c r="G8" s="9" t="s">
        <v>11</v>
      </c>
      <c r="H8" s="14">
        <v>41510.39</v>
      </c>
      <c r="I8" s="9" t="s">
        <v>65</v>
      </c>
      <c r="J8" s="9"/>
      <c r="K8" s="9" t="s">
        <v>64</v>
      </c>
      <c r="L8" s="9"/>
      <c r="M8" s="9"/>
    </row>
    <row r="9" spans="1:13" ht="30" customHeight="1" x14ac:dyDescent="0.25">
      <c r="A9" s="9" t="s">
        <v>63</v>
      </c>
      <c r="B9" s="9" t="s">
        <v>28</v>
      </c>
      <c r="C9" s="9" t="s">
        <v>27</v>
      </c>
      <c r="D9" s="9" t="s">
        <v>62</v>
      </c>
      <c r="E9" s="9" t="s">
        <v>61</v>
      </c>
      <c r="F9" s="9" t="s">
        <v>10</v>
      </c>
      <c r="G9" s="9" t="s">
        <v>11</v>
      </c>
      <c r="H9" s="14">
        <v>19056.939999999999</v>
      </c>
      <c r="I9" s="9"/>
      <c r="J9" s="9"/>
      <c r="K9" s="9" t="s">
        <v>60</v>
      </c>
      <c r="L9" s="9" t="s">
        <v>59</v>
      </c>
      <c r="M9" s="9"/>
    </row>
    <row r="10" spans="1:13" ht="30" customHeight="1" x14ac:dyDescent="0.25">
      <c r="A10" s="9" t="s">
        <v>58</v>
      </c>
      <c r="B10" s="9" t="s">
        <v>28</v>
      </c>
      <c r="C10" s="9" t="s">
        <v>57</v>
      </c>
      <c r="D10" s="9" t="s">
        <v>56</v>
      </c>
      <c r="E10" s="9"/>
      <c r="F10" s="9" t="s">
        <v>20</v>
      </c>
      <c r="G10" s="9" t="s">
        <v>17</v>
      </c>
      <c r="H10" s="14">
        <v>37325.94</v>
      </c>
      <c r="I10" s="9" t="s">
        <v>55</v>
      </c>
      <c r="J10" s="9"/>
      <c r="K10" s="9" t="s">
        <v>54</v>
      </c>
      <c r="L10" s="9"/>
      <c r="M10" s="9"/>
    </row>
    <row r="11" spans="1:13" ht="30" customHeight="1" x14ac:dyDescent="0.25">
      <c r="A11" s="9" t="s">
        <v>53</v>
      </c>
      <c r="B11" s="9" t="s">
        <v>28</v>
      </c>
      <c r="C11" s="9" t="s">
        <v>27</v>
      </c>
      <c r="D11" s="9" t="s">
        <v>52</v>
      </c>
      <c r="E11" s="9"/>
      <c r="F11" s="9" t="s">
        <v>16</v>
      </c>
      <c r="G11" s="9" t="s">
        <v>17</v>
      </c>
      <c r="H11" s="14">
        <v>36501</v>
      </c>
      <c r="I11" s="9" t="s">
        <v>51</v>
      </c>
      <c r="J11" s="9"/>
      <c r="K11" s="9" t="s">
        <v>50</v>
      </c>
      <c r="L11" s="9"/>
      <c r="M11" s="9"/>
    </row>
    <row r="12" spans="1:13" ht="30" customHeight="1" x14ac:dyDescent="0.25">
      <c r="A12" s="9" t="s">
        <v>49</v>
      </c>
      <c r="B12" s="9" t="s">
        <v>28</v>
      </c>
      <c r="C12" s="9" t="s">
        <v>27</v>
      </c>
      <c r="D12" s="9" t="s">
        <v>48</v>
      </c>
      <c r="E12" s="9" t="s">
        <v>47</v>
      </c>
      <c r="F12" s="9" t="s">
        <v>21</v>
      </c>
      <c r="G12" s="9" t="s">
        <v>13</v>
      </c>
      <c r="H12" s="14">
        <v>34475</v>
      </c>
      <c r="I12" s="9" t="s">
        <v>46</v>
      </c>
      <c r="J12" s="9" t="s">
        <v>45</v>
      </c>
      <c r="K12" s="9" t="s">
        <v>44</v>
      </c>
      <c r="L12" s="9" t="s">
        <v>43</v>
      </c>
      <c r="M12" s="9"/>
    </row>
    <row r="13" spans="1:13" ht="30" customHeight="1" x14ac:dyDescent="0.25">
      <c r="A13" s="9" t="s">
        <v>42</v>
      </c>
      <c r="B13" s="9" t="s">
        <v>33</v>
      </c>
      <c r="C13" s="9" t="s">
        <v>27</v>
      </c>
      <c r="D13" s="9" t="s">
        <v>41</v>
      </c>
      <c r="E13" s="9"/>
      <c r="F13" s="9" t="s">
        <v>14</v>
      </c>
      <c r="G13" s="9" t="s">
        <v>11</v>
      </c>
      <c r="H13" s="14">
        <v>26886.91</v>
      </c>
      <c r="I13" s="9" t="s">
        <v>40</v>
      </c>
      <c r="J13" s="9"/>
      <c r="K13" s="9" t="s">
        <v>39</v>
      </c>
      <c r="L13" s="9"/>
      <c r="M13" s="9"/>
    </row>
    <row r="14" spans="1:13" ht="30" customHeight="1" x14ac:dyDescent="0.25">
      <c r="A14" s="9" t="s">
        <v>38</v>
      </c>
      <c r="B14" s="9" t="s">
        <v>28</v>
      </c>
      <c r="C14" s="9" t="s">
        <v>27</v>
      </c>
      <c r="D14" s="9" t="s">
        <v>37</v>
      </c>
      <c r="E14" s="9"/>
      <c r="F14" s="9" t="s">
        <v>15</v>
      </c>
      <c r="G14" s="9" t="s">
        <v>11</v>
      </c>
      <c r="H14" s="14">
        <v>29295.81</v>
      </c>
      <c r="I14" s="9" t="s">
        <v>36</v>
      </c>
      <c r="J14" s="9"/>
      <c r="K14" s="9" t="s">
        <v>35</v>
      </c>
      <c r="L14" s="9"/>
      <c r="M14" s="9"/>
    </row>
    <row r="15" spans="1:13" ht="30" customHeight="1" x14ac:dyDescent="0.25">
      <c r="A15" s="9" t="s">
        <v>34</v>
      </c>
      <c r="B15" s="9" t="s">
        <v>33</v>
      </c>
      <c r="C15" s="9" t="s">
        <v>27</v>
      </c>
      <c r="D15" s="9" t="s">
        <v>32</v>
      </c>
      <c r="E15" s="9"/>
      <c r="F15" s="9" t="s">
        <v>12</v>
      </c>
      <c r="G15" s="9" t="s">
        <v>13</v>
      </c>
      <c r="H15" s="14">
        <v>54083.24</v>
      </c>
      <c r="I15" s="9" t="s">
        <v>31</v>
      </c>
      <c r="J15" s="9"/>
      <c r="K15" s="9" t="s">
        <v>30</v>
      </c>
      <c r="L15" s="9"/>
      <c r="M15" s="9"/>
    </row>
    <row r="16" spans="1:13" ht="30" customHeight="1" x14ac:dyDescent="0.25">
      <c r="A16" s="9" t="s">
        <v>29</v>
      </c>
      <c r="B16" s="9" t="s">
        <v>28</v>
      </c>
      <c r="C16" s="9" t="s">
        <v>27</v>
      </c>
      <c r="D16" s="9" t="s">
        <v>26</v>
      </c>
      <c r="E16" s="9"/>
      <c r="F16" s="9" t="s">
        <v>10</v>
      </c>
      <c r="G16" s="9" t="s">
        <v>11</v>
      </c>
      <c r="H16" s="14">
        <v>25497.5</v>
      </c>
      <c r="I16" s="9"/>
      <c r="J16" s="9"/>
      <c r="K16" s="9" t="s">
        <v>25</v>
      </c>
      <c r="L16" s="9"/>
      <c r="M16" s="9"/>
    </row>
    <row r="17" spans="1:13" ht="30" customHeight="1" x14ac:dyDescent="0.25">
      <c r="A17" s="15"/>
      <c r="B17" s="15"/>
      <c r="C17" s="15"/>
      <c r="D17" s="15" t="s">
        <v>24</v>
      </c>
      <c r="E17" s="15"/>
      <c r="F17" s="15"/>
      <c r="G17" s="15"/>
      <c r="H17" s="16">
        <f>SUM(H4:H16)</f>
        <v>449729.27999999997</v>
      </c>
      <c r="I17" s="15"/>
      <c r="J17" s="15"/>
      <c r="K17" s="15"/>
      <c r="L17" s="15"/>
      <c r="M17" s="9"/>
    </row>
    <row r="18" spans="1:13" ht="30" customHeight="1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</sheetData>
  <mergeCells count="2">
    <mergeCell ref="A2:F2"/>
    <mergeCell ref="G2:L2"/>
  </mergeCells>
  <pageMargins left="0.7" right="0.7" top="0.75" bottom="0.75" header="0.3" footer="0.3"/>
  <pageSetup paperSize="5" scale="68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EA4F5-C74B-4C9E-BE35-4E4CEEA94CE2}">
  <sheetPr>
    <pageSetUpPr fitToPage="1"/>
  </sheetPr>
  <dimension ref="A1:N29"/>
  <sheetViews>
    <sheetView workbookViewId="0">
      <pane ySplit="3" topLeftCell="A4" activePane="bottomLeft" state="frozen"/>
      <selection pane="bottomLeft" activeCell="D15" sqref="D15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1.140625" style="8" bestFit="1" customWidth="1"/>
    <col min="4" max="4" width="18.7109375" style="8" bestFit="1" customWidth="1"/>
    <col min="5" max="5" width="31.85546875" style="8" bestFit="1" customWidth="1"/>
    <col min="6" max="16384" width="9.140625" style="8"/>
  </cols>
  <sheetData>
    <row r="1" spans="1:14" x14ac:dyDescent="0.25">
      <c r="A1" s="9"/>
      <c r="B1" s="9"/>
      <c r="C1" s="9" t="s">
        <v>3</v>
      </c>
      <c r="D1" s="10">
        <v>45628</v>
      </c>
      <c r="E1" s="9" t="s">
        <v>2</v>
      </c>
      <c r="F1" s="9"/>
      <c r="G1" s="9"/>
      <c r="H1" s="9"/>
      <c r="I1" s="9"/>
      <c r="J1" s="9"/>
      <c r="K1" s="9"/>
      <c r="L1" s="9"/>
      <c r="M1" s="9"/>
      <c r="N1" s="9"/>
    </row>
    <row r="2" spans="1:14" x14ac:dyDescent="0.25">
      <c r="A2" s="11" t="s">
        <v>0</v>
      </c>
      <c r="B2" s="12"/>
      <c r="C2" s="12"/>
      <c r="D2" s="13" t="s">
        <v>98</v>
      </c>
      <c r="E2" s="12"/>
      <c r="F2" s="9"/>
      <c r="G2" s="9"/>
      <c r="H2" s="9"/>
      <c r="I2" s="9"/>
      <c r="J2" s="9"/>
      <c r="K2" s="9"/>
      <c r="L2" s="9"/>
      <c r="M2" s="9"/>
      <c r="N2" s="9"/>
    </row>
    <row r="3" spans="1:14" x14ac:dyDescent="0.25">
      <c r="A3" s="9" t="s">
        <v>92</v>
      </c>
      <c r="B3" s="9" t="s">
        <v>90</v>
      </c>
      <c r="C3" s="9" t="s">
        <v>89</v>
      </c>
      <c r="D3" s="9" t="s">
        <v>88</v>
      </c>
      <c r="E3" s="9" t="s">
        <v>4</v>
      </c>
      <c r="F3" s="9"/>
      <c r="G3" s="9"/>
      <c r="H3" s="9"/>
      <c r="I3" s="9"/>
      <c r="J3" s="9"/>
      <c r="K3" s="9"/>
      <c r="L3" s="9"/>
      <c r="M3" s="9"/>
      <c r="N3" s="9"/>
    </row>
    <row r="4" spans="1:14" x14ac:dyDescent="0.25">
      <c r="A4" s="9" t="s">
        <v>58</v>
      </c>
      <c r="B4" s="9" t="s">
        <v>57</v>
      </c>
      <c r="C4" s="9" t="s">
        <v>56</v>
      </c>
      <c r="D4" s="9"/>
      <c r="E4" s="9" t="s">
        <v>20</v>
      </c>
      <c r="F4" s="9"/>
      <c r="G4" s="9"/>
      <c r="H4" s="9"/>
      <c r="I4" s="9"/>
      <c r="J4" s="9"/>
      <c r="K4" s="9"/>
      <c r="L4" s="9"/>
      <c r="M4" s="9"/>
      <c r="N4" s="9"/>
    </row>
    <row r="5" spans="1:14" x14ac:dyDescent="0.25">
      <c r="A5" s="15"/>
      <c r="B5" s="15"/>
      <c r="C5" s="15" t="s">
        <v>97</v>
      </c>
      <c r="D5" s="15"/>
      <c r="E5" s="15"/>
      <c r="F5" s="9"/>
      <c r="G5" s="9"/>
      <c r="H5" s="9"/>
      <c r="I5" s="9"/>
      <c r="J5" s="9"/>
      <c r="K5" s="9"/>
      <c r="L5" s="9"/>
      <c r="M5" s="9"/>
      <c r="N5" s="9"/>
    </row>
    <row r="6" spans="1:14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spans="1:14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spans="1:14" x14ac:dyDescent="0.25">
      <c r="A8" s="9" t="s">
        <v>96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spans="1:14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spans="1:14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1:14" x14ac:dyDescent="0.25">
      <c r="A11" s="9" t="s">
        <v>95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1:14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1:14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14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4" x14ac:dyDescent="0.25">
      <c r="A15" s="9" t="s">
        <v>94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14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14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4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1:14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spans="1:14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spans="1:14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spans="1:14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spans="1:14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spans="1:14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</row>
    <row r="27" spans="1:14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spans="1:14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</sheetData>
  <mergeCells count="2">
    <mergeCell ref="A2:C2"/>
    <mergeCell ref="D2:E2"/>
  </mergeCells>
  <pageMargins left="0.7" right="0.7" top="0.75" bottom="0.75" header="0.3" footer="0.3"/>
  <pageSetup scale="88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2024-12-02T19:23:45Z</cp:lastPrinted>
  <dcterms:created xsi:type="dcterms:W3CDTF">2024-12-02T19:13:08Z</dcterms:created>
  <dcterms:modified xsi:type="dcterms:W3CDTF">2024-12-02T19:41:07Z</dcterms:modified>
</cp:coreProperties>
</file>