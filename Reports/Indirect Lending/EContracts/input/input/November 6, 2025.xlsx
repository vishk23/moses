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BDB80DDB-0A55-4E6B-AFB9-CB9A93BD8BA9}" xr6:coauthVersionLast="47" xr6:coauthVersionMax="47" xr10:uidLastSave="{00000000-0000-0000-0000-000000000000}"/>
  <bookViews>
    <workbookView xWindow="29535" yWindow="735" windowWidth="21270" windowHeight="1366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2" l="1"/>
  <c r="H31" i="2"/>
  <c r="F31" i="2"/>
  <c r="E31" i="2"/>
  <c r="D31" i="2"/>
  <c r="H18" i="1"/>
</calcChain>
</file>

<file path=xl/sharedStrings.xml><?xml version="1.0" encoding="utf-8"?>
<sst xmlns="http://schemas.openxmlformats.org/spreadsheetml/2006/main" count="204" uniqueCount="108">
  <si>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</si>
  <si>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</si>
  <si>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</si>
  <si>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</si>
  <si>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</si>
  <si>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</si>
  <si>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</si>
  <si>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</si>
  <si>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</si>
  <si>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</si>
  <si>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</si>
  <si>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</si>
  <si>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</si>
  <si>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</si>
  <si>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Route One</t>
  </si>
  <si>
    <t>E Contract</t>
  </si>
  <si>
    <t>BENCOSME, ROSSELINE</t>
  </si>
  <si>
    <t>Grieco Toyota</t>
  </si>
  <si>
    <t>Neli Oliveira</t>
  </si>
  <si>
    <t>rosebencosme@gmail.com</t>
  </si>
  <si>
    <t>Sanchez</t>
  </si>
  <si>
    <t>151244101</t>
  </si>
  <si>
    <t>Paper</t>
  </si>
  <si>
    <t>THOMPSON, PETER</t>
  </si>
  <si>
    <t>THOMPSON, DEBORAH</t>
  </si>
  <si>
    <t>Paul Masse Buick GMC South, Inc</t>
  </si>
  <si>
    <t>tiretownpeter@gmail.com</t>
  </si>
  <si>
    <t>McDonough</t>
  </si>
  <si>
    <t>Suchecki</t>
  </si>
  <si>
    <t>151244119</t>
  </si>
  <si>
    <t>DealerTrack</t>
  </si>
  <si>
    <t>DODGE, JACOB</t>
  </si>
  <si>
    <t>Bourne Enterprises Inc</t>
  </si>
  <si>
    <t>JDODGEY10@GMAIL.COM</t>
  </si>
  <si>
    <t>PUTALA</t>
  </si>
  <si>
    <t>DROPO, ELIZABETH</t>
  </si>
  <si>
    <t>Battles Nissan, LLC</t>
  </si>
  <si>
    <t>EMDROPO@GMAIL.COM</t>
  </si>
  <si>
    <t>FANNING</t>
  </si>
  <si>
    <t>151244135</t>
  </si>
  <si>
    <t>ANDREW, VANESSA</t>
  </si>
  <si>
    <t>Sandy Motors, Inc</t>
  </si>
  <si>
    <t>VCARDILLO19@GMAIL.COM</t>
  </si>
  <si>
    <t>CAROSELLI</t>
  </si>
  <si>
    <t>OBRIEN, KALYN</t>
  </si>
  <si>
    <t>OBRIEN, COREY</t>
  </si>
  <si>
    <t>Planet Subaru</t>
  </si>
  <si>
    <t>KJOBRIEN29@GMAIL.COM</t>
  </si>
  <si>
    <t>C.JOB.684@GMAIL.COM</t>
  </si>
  <si>
    <t>JOYCE</t>
  </si>
  <si>
    <t>STOLP</t>
  </si>
  <si>
    <t>BURBANK, MARY</t>
  </si>
  <si>
    <t>T F Murphy Enterprises Inc</t>
  </si>
  <si>
    <t>Rachel Gorham</t>
  </si>
  <si>
    <t>MBBURBANK@COMCAST.NET</t>
  </si>
  <si>
    <t>CREERON</t>
  </si>
  <si>
    <t>151244200</t>
  </si>
  <si>
    <t>HENDERSON, JOHN</t>
  </si>
  <si>
    <t>Milford Nissan Corp</t>
  </si>
  <si>
    <t>HOCKING</t>
  </si>
  <si>
    <t>SARKISIAN, GEORGETTE</t>
  </si>
  <si>
    <t>Mastria Mazda</t>
  </si>
  <si>
    <t>JETSTARK@COMCAST.NET</t>
  </si>
  <si>
    <t>BAKER</t>
  </si>
  <si>
    <t>BARBORAK, LOIS</t>
  </si>
  <si>
    <t>Metro Honda</t>
  </si>
  <si>
    <t>CCIA</t>
  </si>
  <si>
    <t>151244250</t>
  </si>
  <si>
    <t>VENDETTUOLI, ADRIEN</t>
  </si>
  <si>
    <t>RAINEY, MARY</t>
  </si>
  <si>
    <t>Flood Mazda</t>
  </si>
  <si>
    <t>RAINEY</t>
  </si>
  <si>
    <t>GRUMBINE</t>
  </si>
  <si>
    <t>THAKE, ANDREW</t>
  </si>
  <si>
    <t>Colonial South Chrysler Dodge</t>
  </si>
  <si>
    <t>thakeandrew@yahoo.com</t>
  </si>
  <si>
    <t>HAYWARD</t>
  </si>
  <si>
    <t>RICH, MATTHEW</t>
  </si>
  <si>
    <t>Mastria Buick Pontiac</t>
  </si>
  <si>
    <t>DIZZIEMR@MSN.COM</t>
  </si>
  <si>
    <t>PLOURDE</t>
  </si>
  <si>
    <t>ROSS, DAMIAN</t>
  </si>
  <si>
    <t>ADELMANN</t>
  </si>
  <si>
    <t># 14</t>
  </si>
  <si>
    <t>Funding Worksheet - ACH Version</t>
  </si>
  <si>
    <t>Dealer Flat</t>
  </si>
  <si>
    <t>Dealer Split</t>
  </si>
  <si>
    <t>Net to Dealer</t>
  </si>
  <si>
    <t>Contracted Amount Financed</t>
  </si>
  <si>
    <t>Funding Worksheet - Signoff Version</t>
  </si>
  <si>
    <t>151244086 E</t>
  </si>
  <si>
    <t>151244127 E</t>
  </si>
  <si>
    <t>151244151 E</t>
  </si>
  <si>
    <t>151244193 E</t>
  </si>
  <si>
    <t>151244226 E</t>
  </si>
  <si>
    <t>151244242 E</t>
  </si>
  <si>
    <t>151244268 E</t>
  </si>
  <si>
    <t>151244284 E</t>
  </si>
  <si>
    <t>151244292 E</t>
  </si>
  <si>
    <t>Column1</t>
  </si>
  <si>
    <t>Column2</t>
  </si>
  <si>
    <t>4453-2150</t>
  </si>
  <si>
    <t>5900-6390</t>
  </si>
  <si>
    <t>#5</t>
  </si>
  <si>
    <t>Original Notes Delivered</t>
  </si>
  <si>
    <t>Delivered by:</t>
  </si>
  <si>
    <t>Received by:</t>
  </si>
  <si>
    <t>Date 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</si>
</sst>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7" fontId="4" fillId="0" borderId="0" xfId="0" applyNumberFormat="1" applyFont="1"/>
    <xf numFmtId="0" fontId="4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8" headerRowDxfId="13" dataDxfId="11" totalsRowDxfId="12">
  <tableColumns count="12">
    <tableColumn id="1" xr3:uid="{00000000-0010-0000-0000-000001000000}" name="Account Number" dataDxfId="25"/>
    <tableColumn id="2" xr3:uid="{00000000-0010-0000-0000-000002000000}" name="Portal" dataDxfId="24"/>
    <tableColumn id="3" xr3:uid="{00000000-0010-0000-0000-000003000000}" name="Contract Type" dataDxfId="23"/>
    <tableColumn id="4" xr3:uid="{00000000-0010-0000-0000-000004000000}" name="Applicant Name" dataDxfId="22"/>
    <tableColumn id="5" xr3:uid="{00000000-0010-0000-0000-000005000000}" name="Co-Applicant Name" dataDxfId="21"/>
    <tableColumn id="6" xr3:uid="{00000000-0010-0000-0000-000006000000}" name="Dealer Name" dataDxfId="20"/>
    <tableColumn id="7" xr3:uid="{00000000-0010-0000-0000-000007000000}" name="Funded by" dataDxfId="19"/>
    <tableColumn id="8" xr3:uid="{00000000-0010-0000-0000-000008000000}" name="Amount Financed" dataDxfId="18"/>
    <tableColumn id="9" xr3:uid="{00000000-0010-0000-0000-000009000000}" name="Applicant Email" dataDxfId="17"/>
    <tableColumn id="10" xr3:uid="{00000000-0010-0000-0000-00000A000000}" name="Co-Applicant Email" dataDxfId="16"/>
    <tableColumn id="11" xr3:uid="{00000000-0010-0000-0000-00000B000000}" name="App MMN" dataDxfId="15"/>
    <tableColumn id="12" xr3:uid="{00000000-0010-0000-0000-00000C000000}" name="Co-App MMN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07A3F7-116B-4E4E-8DB7-79EEAB4685C7}" name="Table_14" displayName="Table_14" ref="A3:H31" headerRowDxfId="2" dataDxfId="0" totalsRowDxfId="1">
  <tableColumns count="8">
    <tableColumn id="1" xr3:uid="{E7D62970-7A6B-4182-BB72-4A11737325DC}" name="Dealer Name" dataDxfId="10"/>
    <tableColumn id="8" xr3:uid="{1806C262-1B66-4040-88CB-8D85C223E292}" name="Column2" dataDxfId="9"/>
    <tableColumn id="2" xr3:uid="{9C7C6BB5-155C-46B1-92AD-9CBC8AF0466A}" name="Funded by" dataDxfId="8"/>
    <tableColumn id="3" xr3:uid="{D72FDC57-EED5-4B39-8EA2-29890F770CB1}" name="Dealer Flat" dataDxfId="7"/>
    <tableColumn id="4" xr3:uid="{25A5DBDD-C711-4AD6-86DB-5E813508F394}" name="Dealer Split" dataDxfId="6"/>
    <tableColumn id="5" xr3:uid="{F0595A45-1BE8-46AD-AA6B-1A3C26722C1B}" name="Net to Dealer" dataDxfId="5"/>
    <tableColumn id="7" xr3:uid="{080DA17B-2E29-4570-AFEC-7900191E9DEA}" name="Column1" dataDxfId="4"/>
    <tableColumn id="6" xr3:uid="{725C502B-2E72-4FA4-A55F-2B6F07CFE679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04AF27-2224-42D5-98D6-D36653A18216}" name="Table_15" displayName="Table_15" ref="A3:E9">
  <tableColumns count="5">
    <tableColumn id="1" xr3:uid="{499B4F17-02BD-4597-BDD4-FF16D7489269}" name="Account Number"/>
    <tableColumn id="2" xr3:uid="{10097BFB-6027-4F65-8DBC-933D0C281E13}" name="Contract Type"/>
    <tableColumn id="3" xr3:uid="{AA584EA1-D27E-4102-AF22-E3AB0DFF27D1}" name="Applicant Name"/>
    <tableColumn id="4" xr3:uid="{3CB54EB9-6591-4C1D-AD60-F19291B72B40}" name="Co-Applicant Name"/>
    <tableColumn id="5" xr3:uid="{2C873C50-4AD5-44E1-82E6-6E030E228175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8"/>
  <sheetViews>
    <sheetView tabSelected="1" topLeftCell="D1" workbookViewId="0">
      <pane ySplit="3" topLeftCell="A4" activePane="bottomLeft" state="frozen"/>
      <selection pane="bottomLeft" activeCell="H18" sqref="H18"/>
    </sheetView>
  </sheetViews>
  <sheetFormatPr defaultRowHeight="15.75" x14ac:dyDescent="0.25"/>
  <cols>
    <col min="1" max="1" width="16.42578125" style="6" bestFit="1" customWidth="1"/>
    <col min="2" max="2" width="12.140625" style="6" bestFit="1" customWidth="1"/>
    <col min="3" max="3" width="14" style="6" bestFit="1" customWidth="1"/>
    <col min="4" max="4" width="23.28515625" style="6" bestFit="1" customWidth="1"/>
    <col min="5" max="5" width="22" style="6" bestFit="1" customWidth="1"/>
    <col min="6" max="6" width="31.5703125" style="6" bestFit="1" customWidth="1"/>
    <col min="7" max="7" width="15.140625" style="6" bestFit="1" customWidth="1"/>
    <col min="8" max="8" width="17.140625" style="6" bestFit="1" customWidth="1"/>
    <col min="9" max="9" width="28" style="6" bestFit="1" customWidth="1"/>
    <col min="10" max="10" width="22.7109375" style="6" bestFit="1" customWidth="1"/>
    <col min="11" max="11" width="18.140625" style="6" bestFit="1" customWidth="1"/>
    <col min="12" max="12" width="10.42578125" style="6" customWidth="1"/>
    <col min="13" max="16384" width="9.140625" style="6"/>
  </cols>
  <sheetData>
    <row r="1" spans="1:12" x14ac:dyDescent="0.25">
      <c r="K1" s="7">
        <v>45967</v>
      </c>
    </row>
    <row r="2" spans="1:12" x14ac:dyDescent="0.25">
      <c r="A2" s="8" t="s">
        <v>0</v>
      </c>
      <c r="B2" s="9"/>
      <c r="C2" s="9"/>
      <c r="D2" s="9"/>
      <c r="E2" s="9"/>
      <c r="F2" s="9"/>
      <c r="G2" s="10" t="s">
        <v>1</v>
      </c>
      <c r="H2" s="9"/>
      <c r="I2" s="9"/>
      <c r="J2" s="9"/>
      <c r="K2" s="9"/>
      <c r="L2" s="9"/>
    </row>
    <row r="3" spans="1:12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</row>
    <row r="4" spans="1:12" ht="33" customHeight="1" x14ac:dyDescent="0.25">
      <c r="A4" s="6" t="s">
        <v>90</v>
      </c>
      <c r="B4" s="6" t="s">
        <v>14</v>
      </c>
      <c r="C4" s="6" t="s">
        <v>15</v>
      </c>
      <c r="D4" s="6" t="s">
        <v>16</v>
      </c>
      <c r="F4" s="6" t="s">
        <v>17</v>
      </c>
      <c r="G4" s="6" t="s">
        <v>18</v>
      </c>
      <c r="H4" s="11">
        <v>35622.120000000003</v>
      </c>
      <c r="I4" s="6" t="s">
        <v>19</v>
      </c>
      <c r="K4" s="6" t="s">
        <v>20</v>
      </c>
    </row>
    <row r="5" spans="1:12" ht="33" customHeight="1" x14ac:dyDescent="0.25">
      <c r="A5" s="6" t="s">
        <v>21</v>
      </c>
      <c r="B5" s="6" t="s">
        <v>14</v>
      </c>
      <c r="C5" s="6" t="s">
        <v>22</v>
      </c>
      <c r="D5" s="6" t="s">
        <v>23</v>
      </c>
      <c r="E5" s="6" t="s">
        <v>24</v>
      </c>
      <c r="F5" s="6" t="s">
        <v>25</v>
      </c>
      <c r="G5" s="6" t="s">
        <v>18</v>
      </c>
      <c r="H5" s="11">
        <v>18829.580000000002</v>
      </c>
      <c r="I5" s="6" t="s">
        <v>26</v>
      </c>
      <c r="K5" s="6" t="s">
        <v>27</v>
      </c>
      <c r="L5" s="6" t="s">
        <v>28</v>
      </c>
    </row>
    <row r="6" spans="1:12" ht="33" customHeight="1" x14ac:dyDescent="0.25">
      <c r="A6" s="6" t="s">
        <v>29</v>
      </c>
      <c r="B6" s="6" t="s">
        <v>30</v>
      </c>
      <c r="C6" s="6" t="s">
        <v>22</v>
      </c>
      <c r="D6" s="6" t="s">
        <v>31</v>
      </c>
      <c r="F6" s="6" t="s">
        <v>32</v>
      </c>
      <c r="G6" s="6" t="s">
        <v>18</v>
      </c>
      <c r="H6" s="11">
        <v>47594.879999999997</v>
      </c>
      <c r="I6" s="6" t="s">
        <v>33</v>
      </c>
      <c r="K6" s="6" t="s">
        <v>34</v>
      </c>
    </row>
    <row r="7" spans="1:12" ht="33" customHeight="1" x14ac:dyDescent="0.25">
      <c r="A7" s="6" t="s">
        <v>91</v>
      </c>
      <c r="B7" s="6" t="s">
        <v>30</v>
      </c>
      <c r="C7" s="6" t="s">
        <v>15</v>
      </c>
      <c r="D7" s="6" t="s">
        <v>35</v>
      </c>
      <c r="F7" s="6" t="s">
        <v>36</v>
      </c>
      <c r="G7" s="6" t="s">
        <v>18</v>
      </c>
      <c r="H7" s="11">
        <v>8552.1299999999992</v>
      </c>
      <c r="I7" s="6" t="s">
        <v>37</v>
      </c>
      <c r="K7" s="6" t="s">
        <v>38</v>
      </c>
    </row>
    <row r="8" spans="1:12" ht="33" customHeight="1" x14ac:dyDescent="0.25">
      <c r="A8" s="6" t="s">
        <v>39</v>
      </c>
      <c r="B8" s="6" t="s">
        <v>30</v>
      </c>
      <c r="C8" s="6" t="s">
        <v>22</v>
      </c>
      <c r="D8" s="6" t="s">
        <v>40</v>
      </c>
      <c r="F8" s="6" t="s">
        <v>41</v>
      </c>
      <c r="G8" s="6" t="s">
        <v>18</v>
      </c>
      <c r="H8" s="11">
        <v>19059.93</v>
      </c>
      <c r="I8" s="6" t="s">
        <v>42</v>
      </c>
      <c r="K8" s="6" t="s">
        <v>43</v>
      </c>
    </row>
    <row r="9" spans="1:12" ht="33" customHeight="1" x14ac:dyDescent="0.25">
      <c r="A9" s="6" t="s">
        <v>92</v>
      </c>
      <c r="B9" s="6" t="s">
        <v>30</v>
      </c>
      <c r="C9" s="6" t="s">
        <v>15</v>
      </c>
      <c r="D9" s="6" t="s">
        <v>44</v>
      </c>
      <c r="E9" s="6" t="s">
        <v>45</v>
      </c>
      <c r="F9" s="6" t="s">
        <v>46</v>
      </c>
      <c r="G9" s="6" t="s">
        <v>18</v>
      </c>
      <c r="H9" s="11">
        <v>28453.56</v>
      </c>
      <c r="I9" s="6" t="s">
        <v>47</v>
      </c>
      <c r="J9" s="6" t="s">
        <v>48</v>
      </c>
      <c r="K9" s="6" t="s">
        <v>49</v>
      </c>
      <c r="L9" s="6" t="s">
        <v>50</v>
      </c>
    </row>
    <row r="10" spans="1:12" ht="33" customHeight="1" x14ac:dyDescent="0.25">
      <c r="A10" s="6" t="s">
        <v>93</v>
      </c>
      <c r="B10" s="6" t="s">
        <v>14</v>
      </c>
      <c r="C10" s="6" t="s">
        <v>15</v>
      </c>
      <c r="D10" s="6" t="s">
        <v>51</v>
      </c>
      <c r="F10" s="6" t="s">
        <v>52</v>
      </c>
      <c r="G10" s="6" t="s">
        <v>53</v>
      </c>
      <c r="H10" s="11">
        <v>39487.51</v>
      </c>
      <c r="I10" s="6" t="s">
        <v>54</v>
      </c>
      <c r="K10" s="6" t="s">
        <v>55</v>
      </c>
    </row>
    <row r="11" spans="1:12" ht="33" customHeight="1" x14ac:dyDescent="0.25">
      <c r="A11" s="6" t="s">
        <v>56</v>
      </c>
      <c r="B11" s="6" t="s">
        <v>30</v>
      </c>
      <c r="C11" s="6" t="s">
        <v>22</v>
      </c>
      <c r="D11" s="6" t="s">
        <v>57</v>
      </c>
      <c r="F11" s="6" t="s">
        <v>58</v>
      </c>
      <c r="G11" s="6" t="s">
        <v>53</v>
      </c>
      <c r="H11" s="11">
        <v>36470.42</v>
      </c>
      <c r="K11" s="6" t="s">
        <v>59</v>
      </c>
    </row>
    <row r="12" spans="1:12" ht="33" customHeight="1" x14ac:dyDescent="0.25">
      <c r="A12" s="6" t="s">
        <v>94</v>
      </c>
      <c r="B12" s="6" t="s">
        <v>14</v>
      </c>
      <c r="C12" s="6" t="s">
        <v>15</v>
      </c>
      <c r="D12" s="6" t="s">
        <v>60</v>
      </c>
      <c r="F12" s="6" t="s">
        <v>61</v>
      </c>
      <c r="G12" s="6" t="s">
        <v>53</v>
      </c>
      <c r="H12" s="11">
        <v>45164.98</v>
      </c>
      <c r="I12" s="6" t="s">
        <v>62</v>
      </c>
      <c r="K12" s="6" t="s">
        <v>63</v>
      </c>
    </row>
    <row r="13" spans="1:12" ht="33" customHeight="1" x14ac:dyDescent="0.25">
      <c r="A13" s="6" t="s">
        <v>95</v>
      </c>
      <c r="B13" s="6" t="s">
        <v>30</v>
      </c>
      <c r="C13" s="6" t="s">
        <v>15</v>
      </c>
      <c r="D13" s="6" t="s">
        <v>64</v>
      </c>
      <c r="F13" s="6" t="s">
        <v>65</v>
      </c>
      <c r="G13" s="6" t="s">
        <v>53</v>
      </c>
      <c r="H13" s="11">
        <v>17024.400000000001</v>
      </c>
      <c r="K13" s="6" t="s">
        <v>66</v>
      </c>
    </row>
    <row r="14" spans="1:12" ht="33" customHeight="1" x14ac:dyDescent="0.25">
      <c r="A14" s="6" t="s">
        <v>67</v>
      </c>
      <c r="B14" s="6" t="s">
        <v>14</v>
      </c>
      <c r="C14" s="6" t="s">
        <v>22</v>
      </c>
      <c r="D14" s="6" t="s">
        <v>68</v>
      </c>
      <c r="E14" s="6" t="s">
        <v>69</v>
      </c>
      <c r="F14" s="6" t="s">
        <v>70</v>
      </c>
      <c r="G14" s="6" t="s">
        <v>53</v>
      </c>
      <c r="H14" s="11">
        <v>25523.33</v>
      </c>
      <c r="K14" s="6" t="s">
        <v>71</v>
      </c>
      <c r="L14" s="6" t="s">
        <v>72</v>
      </c>
    </row>
    <row r="15" spans="1:12" ht="33" customHeight="1" x14ac:dyDescent="0.25">
      <c r="A15" s="6" t="s">
        <v>96</v>
      </c>
      <c r="B15" s="6" t="s">
        <v>14</v>
      </c>
      <c r="C15" s="6" t="s">
        <v>15</v>
      </c>
      <c r="D15" s="6" t="s">
        <v>73</v>
      </c>
      <c r="F15" s="6" t="s">
        <v>74</v>
      </c>
      <c r="G15" s="6" t="s">
        <v>53</v>
      </c>
      <c r="H15" s="11">
        <v>32587.74</v>
      </c>
      <c r="I15" s="6" t="s">
        <v>75</v>
      </c>
      <c r="K15" s="6" t="s">
        <v>76</v>
      </c>
    </row>
    <row r="16" spans="1:12" ht="33" customHeight="1" x14ac:dyDescent="0.25">
      <c r="A16" s="6" t="s">
        <v>97</v>
      </c>
      <c r="B16" s="6" t="s">
        <v>14</v>
      </c>
      <c r="C16" s="6" t="s">
        <v>15</v>
      </c>
      <c r="D16" s="6" t="s">
        <v>77</v>
      </c>
      <c r="F16" s="6" t="s">
        <v>78</v>
      </c>
      <c r="G16" s="6" t="s">
        <v>53</v>
      </c>
      <c r="H16" s="11">
        <v>27761.13</v>
      </c>
      <c r="I16" s="6" t="s">
        <v>79</v>
      </c>
      <c r="K16" s="6" t="s">
        <v>80</v>
      </c>
    </row>
    <row r="17" spans="1:12" ht="33" customHeight="1" x14ac:dyDescent="0.25">
      <c r="A17" s="6" t="s">
        <v>98</v>
      </c>
      <c r="B17" s="6" t="s">
        <v>14</v>
      </c>
      <c r="C17" s="6" t="s">
        <v>15</v>
      </c>
      <c r="D17" s="6" t="s">
        <v>81</v>
      </c>
      <c r="F17" s="6" t="s">
        <v>52</v>
      </c>
      <c r="G17" s="6" t="s">
        <v>53</v>
      </c>
      <c r="H17" s="11">
        <v>39075.08</v>
      </c>
      <c r="K17" s="6" t="s">
        <v>82</v>
      </c>
    </row>
    <row r="18" spans="1:12" x14ac:dyDescent="0.25">
      <c r="A18" s="12"/>
      <c r="B18" s="12"/>
      <c r="C18" s="12"/>
      <c r="D18" s="12" t="s">
        <v>83</v>
      </c>
      <c r="E18" s="12"/>
      <c r="F18" s="12"/>
      <c r="G18" s="12"/>
      <c r="H18" s="13">
        <f>SUM(H4:H17)</f>
        <v>421206.79000000004</v>
      </c>
      <c r="I18" s="12"/>
      <c r="J18" s="12"/>
      <c r="K18" s="12"/>
      <c r="L18" s="12"/>
    </row>
  </sheetData>
  <mergeCells count="2">
    <mergeCell ref="A2:F2"/>
    <mergeCell ref="G2:L2"/>
  </mergeCells>
  <pageMargins left="0.7" right="0" top="0.75" bottom="0.75" header="0.3" footer="0.3"/>
  <pageSetup paperSize="5" scale="6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877A-299A-4136-A89D-176BD9ECA77E}">
  <sheetPr>
    <pageSetUpPr fitToPage="1"/>
  </sheetPr>
  <dimension ref="A1:H31"/>
  <sheetViews>
    <sheetView workbookViewId="0">
      <selection activeCell="L34" sqref="L34"/>
    </sheetView>
  </sheetViews>
  <sheetFormatPr defaultRowHeight="15.75" x14ac:dyDescent="0.25"/>
  <cols>
    <col min="1" max="1" width="20.42578125" style="6" customWidth="1"/>
    <col min="2" max="2" width="10.7109375" style="6" customWidth="1"/>
    <col min="3" max="3" width="17.28515625" style="6" customWidth="1"/>
    <col min="4" max="4" width="18" style="6" customWidth="1"/>
    <col min="5" max="5" width="15.85546875" style="6" customWidth="1"/>
    <col min="6" max="7" width="15.140625" style="6" customWidth="1"/>
    <col min="8" max="8" width="19" style="6" customWidth="1"/>
    <col min="9" max="16384" width="9.140625" style="6"/>
  </cols>
  <sheetData>
    <row r="1" spans="1:8" x14ac:dyDescent="0.25">
      <c r="E1" s="7"/>
      <c r="H1" s="7">
        <v>45967.999988425923</v>
      </c>
    </row>
    <row r="2" spans="1:8" x14ac:dyDescent="0.25">
      <c r="A2" s="8" t="s">
        <v>0</v>
      </c>
      <c r="B2" s="8"/>
      <c r="C2" s="9"/>
      <c r="D2" s="9"/>
      <c r="E2" s="10" t="s">
        <v>84</v>
      </c>
      <c r="F2" s="9"/>
      <c r="G2" s="9"/>
      <c r="H2" s="9"/>
    </row>
    <row r="3" spans="1:8" x14ac:dyDescent="0.25">
      <c r="A3" s="6" t="s">
        <v>7</v>
      </c>
      <c r="B3" s="6" t="s">
        <v>100</v>
      </c>
      <c r="C3" s="6" t="s">
        <v>8</v>
      </c>
      <c r="D3" s="6" t="s">
        <v>85</v>
      </c>
      <c r="E3" s="6" t="s">
        <v>86</v>
      </c>
      <c r="F3" s="6" t="s">
        <v>87</v>
      </c>
      <c r="G3" s="6" t="s">
        <v>99</v>
      </c>
      <c r="H3" s="6" t="s">
        <v>88</v>
      </c>
    </row>
    <row r="4" spans="1:8" ht="24.95" customHeight="1" x14ac:dyDescent="0.25">
      <c r="A4" s="6" t="s">
        <v>36</v>
      </c>
      <c r="C4" s="6" t="s">
        <v>18</v>
      </c>
      <c r="D4" s="11">
        <v>150</v>
      </c>
      <c r="E4" s="11">
        <v>0</v>
      </c>
      <c r="F4" s="14">
        <v>8477.1299999999992</v>
      </c>
      <c r="G4" s="11"/>
      <c r="H4" s="11">
        <v>8552.1299999999992</v>
      </c>
    </row>
    <row r="5" spans="1:8" ht="24.95" customHeight="1" x14ac:dyDescent="0.25">
      <c r="D5" s="11"/>
      <c r="E5" s="11"/>
      <c r="F5" s="14"/>
      <c r="G5" s="11"/>
      <c r="H5" s="11"/>
    </row>
    <row r="6" spans="1:8" ht="24.95" customHeight="1" x14ac:dyDescent="0.25">
      <c r="A6" s="6" t="s">
        <v>32</v>
      </c>
      <c r="C6" s="6" t="s">
        <v>18</v>
      </c>
      <c r="D6" s="11">
        <v>1150</v>
      </c>
      <c r="E6" s="11">
        <v>0</v>
      </c>
      <c r="F6" s="14">
        <v>47519.88</v>
      </c>
      <c r="G6" s="11"/>
      <c r="H6" s="11">
        <v>47594.879999999997</v>
      </c>
    </row>
    <row r="7" spans="1:8" ht="24.95" customHeight="1" x14ac:dyDescent="0.25">
      <c r="D7" s="11"/>
      <c r="E7" s="11"/>
      <c r="F7" s="14"/>
      <c r="G7" s="11"/>
      <c r="H7" s="11"/>
    </row>
    <row r="8" spans="1:8" ht="24.95" customHeight="1" x14ac:dyDescent="0.25">
      <c r="A8" s="6" t="s">
        <v>74</v>
      </c>
      <c r="C8" s="6" t="s">
        <v>53</v>
      </c>
      <c r="D8" s="11">
        <v>850</v>
      </c>
      <c r="E8" s="11">
        <v>0</v>
      </c>
      <c r="F8" s="14">
        <v>32512.74</v>
      </c>
      <c r="G8" s="11"/>
      <c r="H8" s="11">
        <v>32587.74</v>
      </c>
    </row>
    <row r="9" spans="1:8" ht="24.95" customHeight="1" x14ac:dyDescent="0.25">
      <c r="D9" s="11"/>
      <c r="E9" s="11"/>
      <c r="F9" s="14"/>
      <c r="G9" s="11"/>
      <c r="H9" s="11"/>
    </row>
    <row r="10" spans="1:8" ht="24.95" customHeight="1" x14ac:dyDescent="0.25">
      <c r="A10" s="6" t="s">
        <v>70</v>
      </c>
      <c r="C10" s="6" t="s">
        <v>53</v>
      </c>
      <c r="D10" s="11">
        <v>750</v>
      </c>
      <c r="E10" s="11">
        <v>0</v>
      </c>
      <c r="F10" s="14">
        <v>25448.33</v>
      </c>
      <c r="G10" s="11"/>
      <c r="H10" s="11">
        <v>25523.33</v>
      </c>
    </row>
    <row r="11" spans="1:8" ht="24.95" customHeight="1" x14ac:dyDescent="0.25">
      <c r="D11" s="11"/>
      <c r="E11" s="11"/>
      <c r="F11" s="14"/>
      <c r="G11" s="11"/>
      <c r="H11" s="11"/>
    </row>
    <row r="12" spans="1:8" ht="24.95" customHeight="1" x14ac:dyDescent="0.25">
      <c r="A12" s="6" t="s">
        <v>17</v>
      </c>
      <c r="C12" s="6" t="s">
        <v>18</v>
      </c>
      <c r="D12" s="11">
        <v>950</v>
      </c>
      <c r="E12" s="11">
        <v>0</v>
      </c>
      <c r="F12" s="14">
        <v>35547.120000000003</v>
      </c>
      <c r="G12" s="11"/>
      <c r="H12" s="11">
        <v>35622.120000000003</v>
      </c>
    </row>
    <row r="13" spans="1:8" ht="24.95" customHeight="1" x14ac:dyDescent="0.25">
      <c r="D13" s="11"/>
      <c r="E13" s="11"/>
      <c r="F13" s="14"/>
      <c r="G13" s="11"/>
      <c r="H13" s="11"/>
    </row>
    <row r="14" spans="1:8" ht="24.95" customHeight="1" x14ac:dyDescent="0.25">
      <c r="A14" s="6" t="s">
        <v>78</v>
      </c>
      <c r="B14" s="15" t="s">
        <v>101</v>
      </c>
      <c r="C14" s="6" t="s">
        <v>53</v>
      </c>
      <c r="D14" s="11">
        <v>750</v>
      </c>
      <c r="E14" s="11">
        <v>0</v>
      </c>
      <c r="F14" s="14">
        <v>27686.13</v>
      </c>
      <c r="G14" s="11"/>
      <c r="H14" s="11">
        <v>27761.13</v>
      </c>
    </row>
    <row r="15" spans="1:8" ht="24.95" customHeight="1" x14ac:dyDescent="0.25">
      <c r="B15" s="15"/>
      <c r="D15" s="11"/>
      <c r="E15" s="11"/>
      <c r="F15" s="14"/>
      <c r="G15" s="11"/>
      <c r="H15" s="11"/>
    </row>
    <row r="16" spans="1:8" ht="24.95" customHeight="1" x14ac:dyDescent="0.25">
      <c r="A16" s="6" t="s">
        <v>61</v>
      </c>
      <c r="B16" s="15" t="s">
        <v>102</v>
      </c>
      <c r="C16" s="6" t="s">
        <v>53</v>
      </c>
      <c r="D16" s="11">
        <v>1150</v>
      </c>
      <c r="E16" s="11">
        <v>0</v>
      </c>
      <c r="F16" s="14">
        <v>45089.98</v>
      </c>
      <c r="G16" s="11"/>
      <c r="H16" s="11">
        <v>45164.98</v>
      </c>
    </row>
    <row r="17" spans="1:8" ht="24.95" customHeight="1" x14ac:dyDescent="0.25">
      <c r="D17" s="11"/>
      <c r="E17" s="11"/>
      <c r="F17" s="14"/>
      <c r="G17" s="11"/>
      <c r="H17" s="11"/>
    </row>
    <row r="18" spans="1:8" ht="24.95" customHeight="1" x14ac:dyDescent="0.25">
      <c r="A18" s="6" t="s">
        <v>65</v>
      </c>
      <c r="C18" s="6" t="s">
        <v>53</v>
      </c>
      <c r="D18" s="11">
        <v>500</v>
      </c>
      <c r="E18" s="11">
        <v>0</v>
      </c>
      <c r="F18" s="14">
        <v>16949.400000000001</v>
      </c>
      <c r="G18" s="11"/>
      <c r="H18" s="11">
        <v>17024.400000000001</v>
      </c>
    </row>
    <row r="19" spans="1:8" ht="24.95" customHeight="1" x14ac:dyDescent="0.25">
      <c r="D19" s="11"/>
      <c r="E19" s="11"/>
      <c r="F19" s="14"/>
      <c r="G19" s="11"/>
      <c r="H19" s="11"/>
    </row>
    <row r="20" spans="1:8" ht="24.95" customHeight="1" x14ac:dyDescent="0.25">
      <c r="A20" s="6" t="s">
        <v>58</v>
      </c>
      <c r="C20" s="6" t="s">
        <v>53</v>
      </c>
      <c r="D20" s="11">
        <v>950</v>
      </c>
      <c r="E20" s="11">
        <v>0</v>
      </c>
      <c r="F20" s="14">
        <v>36395.42</v>
      </c>
      <c r="G20" s="11"/>
      <c r="H20" s="11">
        <v>36470.42</v>
      </c>
    </row>
    <row r="21" spans="1:8" ht="24.95" customHeight="1" x14ac:dyDescent="0.25">
      <c r="D21" s="11"/>
      <c r="E21" s="11"/>
      <c r="F21" s="14"/>
      <c r="G21" s="11"/>
      <c r="H21" s="11"/>
    </row>
    <row r="22" spans="1:8" ht="24.95" customHeight="1" x14ac:dyDescent="0.25">
      <c r="A22" s="6" t="s">
        <v>25</v>
      </c>
      <c r="C22" s="6" t="s">
        <v>18</v>
      </c>
      <c r="D22" s="11">
        <v>500</v>
      </c>
      <c r="E22" s="11">
        <v>0</v>
      </c>
      <c r="F22" s="14">
        <v>18754.580000000002</v>
      </c>
      <c r="G22" s="11"/>
      <c r="H22" s="11">
        <v>18829.580000000002</v>
      </c>
    </row>
    <row r="23" spans="1:8" ht="24.95" customHeight="1" x14ac:dyDescent="0.25">
      <c r="D23" s="11"/>
      <c r="E23" s="11"/>
      <c r="F23" s="14"/>
      <c r="G23" s="11"/>
      <c r="H23" s="11"/>
    </row>
    <row r="24" spans="1:8" ht="24.95" customHeight="1" x14ac:dyDescent="0.25">
      <c r="A24" s="6" t="s">
        <v>46</v>
      </c>
      <c r="C24" s="6" t="s">
        <v>18</v>
      </c>
      <c r="D24" s="11">
        <v>750</v>
      </c>
      <c r="E24" s="11">
        <v>0</v>
      </c>
      <c r="F24" s="14">
        <v>28378.560000000001</v>
      </c>
      <c r="G24" s="11"/>
      <c r="H24" s="11">
        <v>28453.56</v>
      </c>
    </row>
    <row r="25" spans="1:8" ht="24.95" customHeight="1" x14ac:dyDescent="0.25">
      <c r="D25" s="11"/>
      <c r="E25" s="11"/>
      <c r="F25" s="14"/>
      <c r="G25" s="11"/>
      <c r="H25" s="11"/>
    </row>
    <row r="26" spans="1:8" ht="24.95" customHeight="1" x14ac:dyDescent="0.25">
      <c r="A26" s="6" t="s">
        <v>41</v>
      </c>
      <c r="C26" s="6" t="s">
        <v>18</v>
      </c>
      <c r="D26" s="11">
        <v>500</v>
      </c>
      <c r="E26" s="11">
        <v>0</v>
      </c>
      <c r="F26" s="14">
        <v>18984.93</v>
      </c>
      <c r="G26" s="11"/>
      <c r="H26" s="11">
        <v>19059.93</v>
      </c>
    </row>
    <row r="27" spans="1:8" ht="24.95" customHeight="1" x14ac:dyDescent="0.25">
      <c r="D27" s="11"/>
      <c r="E27" s="11"/>
      <c r="F27" s="11"/>
      <c r="G27" s="11"/>
      <c r="H27" s="11"/>
    </row>
    <row r="28" spans="1:8" ht="24.95" customHeight="1" x14ac:dyDescent="0.25">
      <c r="A28" s="6" t="s">
        <v>52</v>
      </c>
      <c r="C28" s="6" t="s">
        <v>53</v>
      </c>
      <c r="D28" s="11">
        <v>950</v>
      </c>
      <c r="E28" s="11">
        <v>0</v>
      </c>
      <c r="F28" s="11">
        <v>39412.51</v>
      </c>
      <c r="G28" s="11"/>
      <c r="H28" s="11">
        <v>39487.51</v>
      </c>
    </row>
    <row r="29" spans="1:8" ht="24.95" customHeight="1" x14ac:dyDescent="0.25">
      <c r="A29" s="6" t="s">
        <v>52</v>
      </c>
      <c r="C29" s="6" t="s">
        <v>53</v>
      </c>
      <c r="D29" s="11">
        <v>950</v>
      </c>
      <c r="E29" s="11">
        <v>0</v>
      </c>
      <c r="F29" s="11">
        <v>39000.080000000002</v>
      </c>
      <c r="G29" s="14">
        <f>SUM(F28:F29)</f>
        <v>78412.59</v>
      </c>
      <c r="H29" s="11">
        <v>39075.08</v>
      </c>
    </row>
    <row r="30" spans="1:8" x14ac:dyDescent="0.25">
      <c r="D30" s="11"/>
      <c r="E30" s="11"/>
      <c r="F30" s="11"/>
      <c r="G30" s="11"/>
      <c r="H30" s="11"/>
    </row>
    <row r="31" spans="1:8" x14ac:dyDescent="0.25">
      <c r="A31" s="12"/>
      <c r="B31" s="12"/>
      <c r="C31" s="12"/>
      <c r="D31" s="13">
        <f>SUM(D4:D29)</f>
        <v>10850</v>
      </c>
      <c r="E31" s="13">
        <f>SUM(E4:E29)</f>
        <v>0</v>
      </c>
      <c r="F31" s="13">
        <f>SUM(F4:F29)</f>
        <v>420156.79000000004</v>
      </c>
      <c r="G31" s="13"/>
      <c r="H31" s="13">
        <f>SUM(H4:H29)</f>
        <v>421206.79000000004</v>
      </c>
    </row>
  </sheetData>
  <mergeCells count="2">
    <mergeCell ref="A2:D2"/>
    <mergeCell ref="E2:H2"/>
  </mergeCells>
  <pageMargins left="0.7" right="0" top="0.75" bottom="0.5" header="0.3" footer="0.25"/>
  <pageSetup scale="91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F554-5C27-4CA6-9AED-4BD70CBDFC2B}">
  <sheetPr>
    <pageSetUpPr fitToPage="1"/>
  </sheetPr>
  <dimension ref="A1:E22"/>
  <sheetViews>
    <sheetView topLeftCell="A2" workbookViewId="0">
      <selection activeCell="J7" sqref="J7"/>
    </sheetView>
  </sheetViews>
  <sheetFormatPr defaultRowHeight="15" x14ac:dyDescent="0.25"/>
  <cols>
    <col min="1" max="1" width="14.42578125" customWidth="1"/>
    <col min="2" max="2" width="7.85546875" customWidth="1"/>
    <col min="3" max="3" width="23.28515625" customWidth="1"/>
    <col min="4" max="4" width="20.7109375" customWidth="1"/>
    <col min="5" max="5" width="29.28515625" customWidth="1"/>
  </cols>
  <sheetData>
    <row r="1" spans="1:5" ht="24.95" customHeight="1" x14ac:dyDescent="0.25">
      <c r="A1" t="s">
        <v>104</v>
      </c>
      <c r="D1" s="2"/>
      <c r="E1" s="2">
        <v>45967.999988425923</v>
      </c>
    </row>
    <row r="2" spans="1:5" ht="24.95" customHeight="1" x14ac:dyDescent="0.25">
      <c r="A2" s="3" t="s">
        <v>0</v>
      </c>
      <c r="B2" s="4"/>
      <c r="C2" s="4"/>
      <c r="D2" s="5" t="s">
        <v>89</v>
      </c>
      <c r="E2" s="4"/>
    </row>
    <row r="3" spans="1:5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</row>
    <row r="5" spans="1:5" ht="24.95" customHeight="1" x14ac:dyDescent="0.25">
      <c r="A5" t="s">
        <v>29</v>
      </c>
      <c r="B5" t="s">
        <v>22</v>
      </c>
      <c r="C5" t="s">
        <v>31</v>
      </c>
      <c r="E5" t="s">
        <v>32</v>
      </c>
    </row>
    <row r="6" spans="1:5" ht="24.95" customHeight="1" x14ac:dyDescent="0.25">
      <c r="A6" t="s">
        <v>39</v>
      </c>
      <c r="B6" t="s">
        <v>22</v>
      </c>
      <c r="C6" t="s">
        <v>40</v>
      </c>
      <c r="E6" t="s">
        <v>41</v>
      </c>
    </row>
    <row r="7" spans="1:5" ht="24.95" customHeight="1" x14ac:dyDescent="0.25">
      <c r="A7" t="s">
        <v>56</v>
      </c>
      <c r="B7" t="s">
        <v>22</v>
      </c>
      <c r="C7" t="s">
        <v>57</v>
      </c>
      <c r="E7" t="s">
        <v>58</v>
      </c>
    </row>
    <row r="8" spans="1:5" ht="24.95" customHeight="1" x14ac:dyDescent="0.25">
      <c r="A8" t="s">
        <v>67</v>
      </c>
      <c r="B8" t="s">
        <v>22</v>
      </c>
      <c r="C8" t="s">
        <v>68</v>
      </c>
      <c r="D8" t="s">
        <v>69</v>
      </c>
      <c r="E8" t="s">
        <v>70</v>
      </c>
    </row>
    <row r="9" spans="1:5" ht="24.95" customHeight="1" x14ac:dyDescent="0.25">
      <c r="A9" s="1"/>
      <c r="B9" s="1"/>
      <c r="C9" s="1" t="s">
        <v>103</v>
      </c>
      <c r="D9" s="1"/>
      <c r="E9" s="1"/>
    </row>
    <row r="14" spans="1:5" x14ac:dyDescent="0.25">
      <c r="A14" t="s">
        <v>105</v>
      </c>
      <c r="B14" s="16"/>
      <c r="C14" s="16"/>
      <c r="D14" s="16"/>
    </row>
    <row r="18" spans="1:4" x14ac:dyDescent="0.25">
      <c r="A18" t="s">
        <v>106</v>
      </c>
      <c r="B18" s="16"/>
      <c r="C18" s="16"/>
      <c r="D18" s="16"/>
    </row>
    <row r="22" spans="1:4" x14ac:dyDescent="0.25">
      <c r="A22" t="s">
        <v>107</v>
      </c>
      <c r="B22" s="16"/>
      <c r="C22" s="16"/>
    </row>
  </sheetData>
  <mergeCells count="2">
    <mergeCell ref="A2:C2"/>
    <mergeCell ref="D2:E2"/>
  </mergeCells>
  <pageMargins left="0.7" right="0.7" top="0.75" bottom="0.75" header="0.3" footer="0.3"/>
  <pageSetup scale="94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2025-11-06T20:40:13Z</cp:lastPrinted>
  <dcterms:created xsi:type="dcterms:W3CDTF">2025-11-06T19:37:06Z</dcterms:created>
  <dcterms:modified xsi:type="dcterms:W3CDTF">2025-11-06T20:40:45Z</dcterms:modified>
</cp:coreProperties>
</file>