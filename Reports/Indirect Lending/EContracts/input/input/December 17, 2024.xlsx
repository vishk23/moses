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029A5A7E-D460-4BDE-AAF8-3EA729403FA9}" xr6:coauthVersionLast="47" xr6:coauthVersionMax="47" xr10:uidLastSave="{00000000-0000-0000-0000-000000000000}"/>
  <bookViews>
    <workbookView xWindow="29535" yWindow="735" windowWidth="20295" windowHeight="14145" xr2:uid="{00000000-000D-0000-FFFF-FFFF00000000}"/>
  </bookViews>
  <sheets>
    <sheet name="Funding Worksheet - Folder Vers" sheetId="1" r:id="rId1"/>
    <sheet name="Funding Worksheet - ACH" sheetId="2" r:id="rId2"/>
    <sheet name="Original Note Log 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2" l="1"/>
  <c r="F18" i="2"/>
  <c r="E18" i="2"/>
  <c r="D18" i="2"/>
  <c r="H11" i="1"/>
</calcChain>
</file>

<file path=xl/sharedStrings.xml><?xml version="1.0" encoding="utf-8"?>
<sst xmlns="http://schemas.openxmlformats.org/spreadsheetml/2006/main" count="112" uniqueCount="70">
  <si>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</si>
  <si>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</si>
  <si>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</si>
  <si>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</si>
  <si>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</si>
  <si>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</si>
  <si>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</si>
  <si>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</si>
  <si>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</si>
  <si>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</si>
  <si>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</si>
  <si>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</si>
  <si>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</si>
  <si>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</si>
  <si>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Business Name</t>
  </si>
  <si>
    <t>DealerTrack</t>
  </si>
  <si>
    <t>E Contract</t>
  </si>
  <si>
    <t>ALMAGNO, JAMES</t>
  </si>
  <si>
    <t>Bald Hill Kia</t>
  </si>
  <si>
    <t>Rachel Gorham</t>
  </si>
  <si>
    <t>JALMAGNO85@GMAIL.COM</t>
  </si>
  <si>
    <t>MELLO</t>
  </si>
  <si>
    <t>BAULER, BETSY</t>
  </si>
  <si>
    <t>First Hyundai</t>
  </si>
  <si>
    <t>BETSYBAULER@GMAIL.COM</t>
  </si>
  <si>
    <t>PSYBYSKI</t>
  </si>
  <si>
    <t>Route One</t>
  </si>
  <si>
    <t>MENDELL, ROBERT</t>
  </si>
  <si>
    <t>Wareham Ford</t>
  </si>
  <si>
    <t>Neli Oliveira</t>
  </si>
  <si>
    <t>ritamm@comcast.net</t>
  </si>
  <si>
    <t>LEWIS</t>
  </si>
  <si>
    <t>CROY, THEODORE</t>
  </si>
  <si>
    <t>Bald Hill Dodge Chrysler</t>
  </si>
  <si>
    <t>TCroy1@cox.net</t>
  </si>
  <si>
    <t>FREESE</t>
  </si>
  <si>
    <t>REISNER, JILLIAN</t>
  </si>
  <si>
    <t>RAH FALL RIVER VW, LLC</t>
  </si>
  <si>
    <t>JILLIANREISNER2392@GMAIL.COM</t>
  </si>
  <si>
    <t>CULLEN</t>
  </si>
  <si>
    <t>FELICE, DANIELLE</t>
  </si>
  <si>
    <t>Grieco Toyota</t>
  </si>
  <si>
    <t>DUSO</t>
  </si>
  <si>
    <t>151128917</t>
  </si>
  <si>
    <t>Paper</t>
  </si>
  <si>
    <t>BORGES, EDUARDO</t>
  </si>
  <si>
    <t>NARSA AMC LLC d/b/a</t>
  </si>
  <si>
    <t>ANDRADE</t>
  </si>
  <si>
    <t># 7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</si>
  <si>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</si>
  <si>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</si>
  <si>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</si>
  <si>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</si>
  <si>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</si>
  <si>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</si>
  <si>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</si>
  <si>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Funding Worksheet - Signoff Version</t>
  </si>
  <si>
    <t># 1</t>
  </si>
  <si>
    <t>Original Notes Delivered</t>
  </si>
  <si>
    <t>Delivered by:</t>
  </si>
  <si>
    <t>Received by:</t>
  </si>
  <si>
    <t>Date Signed:</t>
  </si>
  <si>
    <t>auto mall-NARSA AMC LLC d/b/a</t>
  </si>
  <si>
    <t>2330-8209</t>
  </si>
  <si>
    <t>151128785 E</t>
  </si>
  <si>
    <t>151128800 E</t>
  </si>
  <si>
    <t>151128826 E</t>
  </si>
  <si>
    <t>151128842 E</t>
  </si>
  <si>
    <t>151128868 E</t>
  </si>
  <si>
    <t>151128892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</si>
</sst>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0" fillId="0" borderId="1" xfId="0" applyBorder="1"/>
    <xf numFmtId="0" fontId="2" fillId="0" borderId="0" xfId="0" applyFont="1"/>
    <xf numFmtId="14" fontId="3" fillId="0" borderId="0" xfId="0" applyNumberFormat="1" applyFont="1"/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right"/>
    </xf>
    <xf numFmtId="7" fontId="3" fillId="0" borderId="0" xfId="0" applyNumberFormat="1" applyFont="1"/>
    <xf numFmtId="0" fontId="4" fillId="0" borderId="0" xfId="0" applyFont="1"/>
    <xf numFmtId="7" fontId="4" fillId="0" borderId="0" xfId="0" applyNumberFormat="1" applyFont="1"/>
  </cellXfs>
  <cellStyles count="1">
    <cellStyle name="Normal" xfId="0" builtinId="0"/>
  </cellStyles>
  <dxfs count="17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M11" headerRowDxfId="2" dataDxfId="0" totalsRowDxfId="1">
  <tableColumns count="13">
    <tableColumn id="1" xr3:uid="{00000000-0010-0000-0000-000001000000}" name="Account Number" dataDxfId="15"/>
    <tableColumn id="2" xr3:uid="{00000000-0010-0000-0000-000002000000}" name="Portal" dataDxfId="14"/>
    <tableColumn id="3" xr3:uid="{00000000-0010-0000-0000-000003000000}" name="Contract Type" dataDxfId="13"/>
    <tableColumn id="4" xr3:uid="{00000000-0010-0000-0000-000004000000}" name="Applicant Name" dataDxfId="12"/>
    <tableColumn id="5" xr3:uid="{00000000-0010-0000-0000-000005000000}" name="Co-Applicant Name" dataDxfId="11"/>
    <tableColumn id="6" xr3:uid="{00000000-0010-0000-0000-000006000000}" name="Dealer Name" dataDxfId="10"/>
    <tableColumn id="7" xr3:uid="{00000000-0010-0000-0000-000007000000}" name="Funded by" dataDxfId="9"/>
    <tableColumn id="8" xr3:uid="{00000000-0010-0000-0000-000008000000}" name="Amount Financed" dataDxfId="8"/>
    <tableColumn id="9" xr3:uid="{00000000-0010-0000-0000-000009000000}" name="Applicant Email" dataDxfId="7"/>
    <tableColumn id="10" xr3:uid="{00000000-0010-0000-0000-00000A000000}" name="Co-Applicant Email" dataDxfId="6"/>
    <tableColumn id="11" xr3:uid="{00000000-0010-0000-0000-00000B000000}" name="App MMN" dataDxfId="5"/>
    <tableColumn id="12" xr3:uid="{00000000-0010-0000-0000-00000C000000}" name="Co-App MMN" dataDxfId="4"/>
    <tableColumn id="13" xr3:uid="{00000000-0010-0000-0000-00000D000000}" name="Business Name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D90BF1-5CC2-4E60-A4D4-1B90C6E569CE}" name="Table_14" displayName="Table_14" ref="A3:H18">
  <sortState xmlns:xlrd2="http://schemas.microsoft.com/office/spreadsheetml/2017/richdata2" ref="A4:H18">
    <sortCondition ref="A4:A18"/>
  </sortState>
  <tableColumns count="8">
    <tableColumn id="1" xr3:uid="{6778E573-A14A-49C1-BAE5-52E26C7CC58D}" name="Dealer Name"/>
    <tableColumn id="8" xr3:uid="{7F8FD1BA-218C-4765-9F16-2BAD094A3B2C}" name="Column2"/>
    <tableColumn id="2" xr3:uid="{8F3734B4-3BD2-4085-8D1B-EF125ACBBCDB}" name="Funded by"/>
    <tableColumn id="3" xr3:uid="{897E96D4-71C4-4726-B84D-5B883CFB8BDD}" name="Dealer Flat"/>
    <tableColumn id="4" xr3:uid="{257C312B-D2BE-4A37-AE81-E89E838C4057}" name="Dealer Split"/>
    <tableColumn id="5" xr3:uid="{A0998F2B-276D-46BB-8882-9829F7D040D4}" name="Net to Dealer"/>
    <tableColumn id="7" xr3:uid="{87AB107D-CFBF-4669-9596-6D36BE8A3491}" name="Column1" dataDxfId="16"/>
    <tableColumn id="6" xr3:uid="{F62FBE52-57DE-4C86-944D-3C2867086CD5}" name="Contracted Amount Finance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9372EA9-1783-4543-944B-B40532A0ACF9}" name="Table_16" displayName="Table_16" ref="A4:F6">
  <tableColumns count="6">
    <tableColumn id="1" xr3:uid="{FE8FC2C1-3F08-462C-8FAC-DF396E63C741}" name="Account Number"/>
    <tableColumn id="2" xr3:uid="{31909533-B2A2-4786-999C-3531C051C33F}" name="Contract Type"/>
    <tableColumn id="3" xr3:uid="{A94DBE61-128E-4077-B7F8-92D6F355A878}" name="Applicant Name"/>
    <tableColumn id="4" xr3:uid="{BC5B9C75-7731-4683-B21E-1FD78C0063BF}" name="Co-Applicant Name"/>
    <tableColumn id="5" xr3:uid="{59154AA7-367E-42B8-90B9-79E1F7F64C4B}" name="Dealer Name"/>
    <tableColumn id="6" xr3:uid="{8FA3A68E-98CA-48FE-A333-51588DEA0A91}" name="Business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"/>
  <sheetViews>
    <sheetView tabSelected="1" workbookViewId="0">
      <pane ySplit="3" topLeftCell="A4" activePane="bottomLeft" state="frozen"/>
      <selection pane="bottomLeft" activeCell="F1" sqref="F1"/>
    </sheetView>
  </sheetViews>
  <sheetFormatPr defaultRowHeight="15.75" x14ac:dyDescent="0.25"/>
  <cols>
    <col min="1" max="1" width="13.5703125" style="11" customWidth="1"/>
    <col min="2" max="2" width="12.140625" style="11" bestFit="1" customWidth="1"/>
    <col min="3" max="3" width="14" style="11" bestFit="1" customWidth="1"/>
    <col min="4" max="4" width="19.28515625" style="11" bestFit="1" customWidth="1"/>
    <col min="5" max="5" width="4.140625" style="11" customWidth="1"/>
    <col min="6" max="6" width="24.140625" style="11" bestFit="1" customWidth="1"/>
    <col min="7" max="7" width="15.140625" style="11" bestFit="1" customWidth="1"/>
    <col min="8" max="8" width="17.140625" style="11" bestFit="1" customWidth="1"/>
    <col min="9" max="9" width="28.7109375" style="11" customWidth="1"/>
    <col min="10" max="10" width="5.7109375" style="11" customWidth="1"/>
    <col min="11" max="11" width="19.28515625" style="11" bestFit="1" customWidth="1"/>
    <col min="12" max="12" width="12.85546875" style="11" hidden="1" customWidth="1"/>
    <col min="13" max="13" width="19.28515625" style="11" hidden="1" customWidth="1"/>
    <col min="14" max="16384" width="9.140625" style="11"/>
  </cols>
  <sheetData>
    <row r="1" spans="1:13" ht="23.25" customHeight="1" x14ac:dyDescent="0.25">
      <c r="A1" s="10">
        <v>45643</v>
      </c>
      <c r="K1" s="12">
        <v>45643.999988425923</v>
      </c>
    </row>
    <row r="2" spans="1:13" ht="30" customHeight="1" x14ac:dyDescent="0.25">
      <c r="A2" s="13" t="s">
        <v>0</v>
      </c>
      <c r="B2" s="14"/>
      <c r="C2" s="14"/>
      <c r="D2" s="14"/>
      <c r="E2" s="14"/>
      <c r="F2" s="14"/>
      <c r="G2" s="15" t="s">
        <v>1</v>
      </c>
      <c r="H2" s="14"/>
      <c r="I2" s="14"/>
      <c r="J2" s="14"/>
      <c r="K2" s="14"/>
      <c r="L2" s="14"/>
      <c r="M2" s="14"/>
    </row>
    <row r="3" spans="1:13" ht="30" customHeight="1" x14ac:dyDescent="0.25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  <c r="I3" s="11" t="s">
        <v>10</v>
      </c>
      <c r="J3" s="11" t="s">
        <v>11</v>
      </c>
      <c r="K3" s="11" t="s">
        <v>12</v>
      </c>
      <c r="L3" s="11" t="s">
        <v>13</v>
      </c>
      <c r="M3" s="11" t="s">
        <v>14</v>
      </c>
    </row>
    <row r="4" spans="1:13" ht="30" customHeight="1" x14ac:dyDescent="0.25">
      <c r="A4" s="11" t="s">
        <v>64</v>
      </c>
      <c r="B4" s="11" t="s">
        <v>15</v>
      </c>
      <c r="C4" s="11" t="s">
        <v>16</v>
      </c>
      <c r="D4" s="11" t="s">
        <v>17</v>
      </c>
      <c r="F4" s="11" t="s">
        <v>18</v>
      </c>
      <c r="G4" s="11" t="s">
        <v>19</v>
      </c>
      <c r="H4" s="16">
        <v>34371.160000000003</v>
      </c>
      <c r="I4" s="11" t="s">
        <v>20</v>
      </c>
      <c r="K4" s="11" t="s">
        <v>21</v>
      </c>
    </row>
    <row r="5" spans="1:13" ht="30" customHeight="1" x14ac:dyDescent="0.25">
      <c r="A5" s="11" t="s">
        <v>65</v>
      </c>
      <c r="B5" s="11" t="s">
        <v>15</v>
      </c>
      <c r="C5" s="11" t="s">
        <v>16</v>
      </c>
      <c r="D5" s="11" t="s">
        <v>22</v>
      </c>
      <c r="F5" s="11" t="s">
        <v>23</v>
      </c>
      <c r="G5" s="11" t="s">
        <v>19</v>
      </c>
      <c r="H5" s="16">
        <v>28079.5</v>
      </c>
      <c r="I5" s="11" t="s">
        <v>24</v>
      </c>
      <c r="K5" s="11" t="s">
        <v>25</v>
      </c>
    </row>
    <row r="6" spans="1:13" ht="30" customHeight="1" x14ac:dyDescent="0.25">
      <c r="A6" s="11" t="s">
        <v>66</v>
      </c>
      <c r="B6" s="11" t="s">
        <v>26</v>
      </c>
      <c r="C6" s="11" t="s">
        <v>16</v>
      </c>
      <c r="D6" s="11" t="s">
        <v>27</v>
      </c>
      <c r="F6" s="11" t="s">
        <v>28</v>
      </c>
      <c r="G6" s="11" t="s">
        <v>29</v>
      </c>
      <c r="H6" s="16">
        <v>21627.75</v>
      </c>
      <c r="I6" s="11" t="s">
        <v>30</v>
      </c>
      <c r="K6" s="11" t="s">
        <v>31</v>
      </c>
    </row>
    <row r="7" spans="1:13" ht="30" customHeight="1" x14ac:dyDescent="0.25">
      <c r="A7" s="11" t="s">
        <v>67</v>
      </c>
      <c r="B7" s="11" t="s">
        <v>26</v>
      </c>
      <c r="C7" s="11" t="s">
        <v>16</v>
      </c>
      <c r="D7" s="11" t="s">
        <v>32</v>
      </c>
      <c r="F7" s="11" t="s">
        <v>33</v>
      </c>
      <c r="G7" s="11" t="s">
        <v>29</v>
      </c>
      <c r="H7" s="16">
        <v>49866.2</v>
      </c>
      <c r="I7" s="11" t="s">
        <v>34</v>
      </c>
      <c r="K7" s="11" t="s">
        <v>35</v>
      </c>
    </row>
    <row r="8" spans="1:13" ht="30" customHeight="1" x14ac:dyDescent="0.25">
      <c r="A8" s="11" t="s">
        <v>68</v>
      </c>
      <c r="B8" s="11" t="s">
        <v>15</v>
      </c>
      <c r="C8" s="11" t="s">
        <v>16</v>
      </c>
      <c r="D8" s="11" t="s">
        <v>36</v>
      </c>
      <c r="F8" s="11" t="s">
        <v>37</v>
      </c>
      <c r="G8" s="11" t="s">
        <v>29</v>
      </c>
      <c r="H8" s="16">
        <v>35074</v>
      </c>
      <c r="I8" s="11" t="s">
        <v>38</v>
      </c>
      <c r="K8" s="11" t="s">
        <v>39</v>
      </c>
    </row>
    <row r="9" spans="1:13" ht="30" customHeight="1" x14ac:dyDescent="0.25">
      <c r="A9" s="11" t="s">
        <v>69</v>
      </c>
      <c r="B9" s="11" t="s">
        <v>26</v>
      </c>
      <c r="C9" s="11" t="s">
        <v>16</v>
      </c>
      <c r="D9" s="11" t="s">
        <v>40</v>
      </c>
      <c r="F9" s="11" t="s">
        <v>41</v>
      </c>
      <c r="G9" s="11" t="s">
        <v>29</v>
      </c>
      <c r="H9" s="16">
        <v>27746.25</v>
      </c>
      <c r="K9" s="11" t="s">
        <v>42</v>
      </c>
    </row>
    <row r="10" spans="1:13" ht="30" customHeight="1" x14ac:dyDescent="0.25">
      <c r="A10" s="11" t="s">
        <v>43</v>
      </c>
      <c r="B10" s="11" t="s">
        <v>15</v>
      </c>
      <c r="C10" s="11" t="s">
        <v>44</v>
      </c>
      <c r="D10" s="11" t="s">
        <v>45</v>
      </c>
      <c r="F10" s="11" t="s">
        <v>46</v>
      </c>
      <c r="G10" s="11" t="s">
        <v>29</v>
      </c>
      <c r="H10" s="16">
        <v>20601.650000000001</v>
      </c>
      <c r="K10" s="11" t="s">
        <v>47</v>
      </c>
    </row>
    <row r="11" spans="1:13" ht="30" customHeight="1" x14ac:dyDescent="0.25">
      <c r="A11" s="17"/>
      <c r="B11" s="17"/>
      <c r="C11" s="17"/>
      <c r="D11" s="17" t="s">
        <v>48</v>
      </c>
      <c r="E11" s="17"/>
      <c r="F11" s="17"/>
      <c r="G11" s="17"/>
      <c r="H11" s="18">
        <f>SUM(H4:H10)</f>
        <v>217366.50999999998</v>
      </c>
      <c r="I11" s="17"/>
      <c r="J11" s="17"/>
      <c r="K11" s="17"/>
      <c r="L11" s="17"/>
      <c r="M11" s="17"/>
    </row>
  </sheetData>
  <mergeCells count="2">
    <mergeCell ref="A2:F2"/>
    <mergeCell ref="G2:M2"/>
  </mergeCells>
  <pageMargins left="0.7" right="0.2" top="0.75" bottom="0.75" header="0.3" footer="0.3"/>
  <pageSetup paperSize="5" scale="96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9381E-2DF2-46E9-B270-54F882C4C5D0}">
  <sheetPr>
    <pageSetUpPr fitToPage="1"/>
  </sheetPr>
  <dimension ref="A1:H18"/>
  <sheetViews>
    <sheetView workbookViewId="0">
      <selection activeCell="J6" sqref="J6"/>
    </sheetView>
  </sheetViews>
  <sheetFormatPr defaultRowHeight="15" x14ac:dyDescent="0.25"/>
  <cols>
    <col min="1" max="1" width="21.28515625" customWidth="1"/>
    <col min="2" max="2" width="9.85546875" customWidth="1"/>
    <col min="3" max="3" width="14.28515625" customWidth="1"/>
    <col min="4" max="4" width="15" customWidth="1"/>
    <col min="5" max="5" width="14.140625" customWidth="1"/>
    <col min="6" max="6" width="16.28515625" customWidth="1"/>
    <col min="7" max="7" width="8.140625" customWidth="1"/>
    <col min="8" max="8" width="22.7109375" customWidth="1"/>
  </cols>
  <sheetData>
    <row r="1" spans="1:8" x14ac:dyDescent="0.25">
      <c r="E1" s="4"/>
      <c r="H1" s="4">
        <v>45643.999988425923</v>
      </c>
    </row>
    <row r="2" spans="1:8" x14ac:dyDescent="0.25">
      <c r="A2" s="5" t="s">
        <v>0</v>
      </c>
      <c r="B2" s="5"/>
      <c r="C2" s="6"/>
      <c r="D2" s="6"/>
      <c r="E2" s="7" t="s">
        <v>49</v>
      </c>
      <c r="F2" s="6"/>
      <c r="G2" s="6"/>
      <c r="H2" s="6"/>
    </row>
    <row r="3" spans="1:8" x14ac:dyDescent="0.25">
      <c r="A3" t="s">
        <v>7</v>
      </c>
      <c r="B3" t="s">
        <v>55</v>
      </c>
      <c r="C3" t="s">
        <v>8</v>
      </c>
      <c r="D3" t="s">
        <v>50</v>
      </c>
      <c r="E3" t="s">
        <v>51</v>
      </c>
      <c r="F3" t="s">
        <v>52</v>
      </c>
      <c r="G3" t="s">
        <v>54</v>
      </c>
      <c r="H3" t="s">
        <v>53</v>
      </c>
    </row>
    <row r="4" spans="1:8" ht="24.95" customHeight="1" x14ac:dyDescent="0.25">
      <c r="A4" t="s">
        <v>62</v>
      </c>
      <c r="C4" t="s">
        <v>29</v>
      </c>
      <c r="D4" s="2">
        <v>450</v>
      </c>
      <c r="E4" s="2">
        <v>0</v>
      </c>
      <c r="F4" s="2">
        <v>20526.650000000001</v>
      </c>
      <c r="G4" s="2"/>
      <c r="H4" s="2">
        <v>20601.650000000001</v>
      </c>
    </row>
    <row r="5" spans="1:8" ht="24.95" customHeight="1" x14ac:dyDescent="0.25">
      <c r="D5" s="2"/>
      <c r="E5" s="2"/>
      <c r="F5" s="2"/>
      <c r="G5" s="2"/>
      <c r="H5" s="2"/>
    </row>
    <row r="6" spans="1:8" ht="24.95" customHeight="1" x14ac:dyDescent="0.25">
      <c r="A6" t="s">
        <v>33</v>
      </c>
      <c r="C6" t="s">
        <v>29</v>
      </c>
      <c r="D6" s="2">
        <v>800</v>
      </c>
      <c r="E6" s="2">
        <v>0</v>
      </c>
      <c r="F6" s="2">
        <v>49791.199999999997</v>
      </c>
      <c r="G6" s="2"/>
      <c r="H6" s="2">
        <v>49866.2</v>
      </c>
    </row>
    <row r="7" spans="1:8" ht="24.95" customHeight="1" x14ac:dyDescent="0.25">
      <c r="D7" s="2"/>
      <c r="E7" s="2"/>
      <c r="F7" s="2"/>
      <c r="G7" s="2"/>
      <c r="H7" s="2"/>
    </row>
    <row r="8" spans="1:8" ht="24.95" customHeight="1" x14ac:dyDescent="0.25">
      <c r="A8" t="s">
        <v>18</v>
      </c>
      <c r="C8" t="s">
        <v>19</v>
      </c>
      <c r="D8" s="2">
        <v>600</v>
      </c>
      <c r="E8" s="2">
        <v>0</v>
      </c>
      <c r="F8" s="2">
        <v>34296.160000000003</v>
      </c>
      <c r="G8" s="2"/>
      <c r="H8" s="2">
        <v>34371.160000000003</v>
      </c>
    </row>
    <row r="9" spans="1:8" ht="24.95" customHeight="1" x14ac:dyDescent="0.25">
      <c r="D9" s="2"/>
      <c r="E9" s="2"/>
      <c r="F9" s="2"/>
      <c r="G9" s="2"/>
      <c r="H9" s="2"/>
    </row>
    <row r="10" spans="1:8" ht="24.95" customHeight="1" x14ac:dyDescent="0.25">
      <c r="A10" t="s">
        <v>23</v>
      </c>
      <c r="B10" s="9" t="s">
        <v>63</v>
      </c>
      <c r="C10" t="s">
        <v>19</v>
      </c>
      <c r="D10" s="2">
        <v>500</v>
      </c>
      <c r="E10" s="2">
        <v>0</v>
      </c>
      <c r="F10" s="2">
        <v>28004.5</v>
      </c>
      <c r="G10" s="2"/>
      <c r="H10" s="2">
        <v>28079.5</v>
      </c>
    </row>
    <row r="11" spans="1:8" ht="24.95" customHeight="1" x14ac:dyDescent="0.25">
      <c r="D11" s="2"/>
      <c r="E11" s="2"/>
      <c r="F11" s="2"/>
      <c r="G11" s="2"/>
      <c r="H11" s="2"/>
    </row>
    <row r="12" spans="1:8" ht="24.95" customHeight="1" x14ac:dyDescent="0.25">
      <c r="A12" t="s">
        <v>41</v>
      </c>
      <c r="C12" t="s">
        <v>29</v>
      </c>
      <c r="D12" s="2">
        <v>500</v>
      </c>
      <c r="E12" s="2">
        <v>0</v>
      </c>
      <c r="F12" s="2">
        <v>27671.25</v>
      </c>
      <c r="G12" s="2"/>
      <c r="H12" s="2">
        <v>27746.25</v>
      </c>
    </row>
    <row r="13" spans="1:8" ht="24.95" customHeight="1" x14ac:dyDescent="0.25">
      <c r="D13" s="2"/>
      <c r="E13" s="2"/>
      <c r="F13" s="2"/>
      <c r="G13" s="2"/>
      <c r="H13" s="2"/>
    </row>
    <row r="14" spans="1:8" ht="24.95" customHeight="1" x14ac:dyDescent="0.25">
      <c r="A14" t="s">
        <v>37</v>
      </c>
      <c r="C14" t="s">
        <v>29</v>
      </c>
      <c r="D14" s="2">
        <v>650</v>
      </c>
      <c r="E14" s="2">
        <v>0</v>
      </c>
      <c r="F14" s="2">
        <v>34999</v>
      </c>
      <c r="G14" s="2"/>
      <c r="H14" s="2">
        <v>35074</v>
      </c>
    </row>
    <row r="15" spans="1:8" ht="24.95" customHeight="1" x14ac:dyDescent="0.25">
      <c r="D15" s="2"/>
      <c r="E15" s="2"/>
      <c r="F15" s="2"/>
      <c r="G15" s="2"/>
      <c r="H15" s="2"/>
    </row>
    <row r="16" spans="1:8" ht="24.95" customHeight="1" x14ac:dyDescent="0.25">
      <c r="A16" t="s">
        <v>28</v>
      </c>
      <c r="C16" t="s">
        <v>29</v>
      </c>
      <c r="D16" s="2">
        <v>450</v>
      </c>
      <c r="E16" s="2">
        <v>0</v>
      </c>
      <c r="F16" s="2">
        <v>21552.75</v>
      </c>
      <c r="G16" s="2"/>
      <c r="H16" s="2">
        <v>21627.75</v>
      </c>
    </row>
    <row r="17" spans="1:8" ht="24.95" customHeight="1" x14ac:dyDescent="0.25">
      <c r="D17" s="2"/>
      <c r="E17" s="2"/>
      <c r="F17" s="2"/>
      <c r="G17" s="2"/>
      <c r="H17" s="2"/>
    </row>
    <row r="18" spans="1:8" ht="14.25" customHeight="1" x14ac:dyDescent="0.25">
      <c r="A18" s="1"/>
      <c r="B18" s="1"/>
      <c r="C18" s="1"/>
      <c r="D18" s="3">
        <f>SUM(D4:D16)</f>
        <v>3950</v>
      </c>
      <c r="E18" s="3">
        <f>SUM(E4:E16)</f>
        <v>0</v>
      </c>
      <c r="F18" s="3">
        <f>SUM(F4:F16)</f>
        <v>216841.51</v>
      </c>
      <c r="G18" s="3"/>
      <c r="H18" s="3">
        <f>SUM(H4:H16)</f>
        <v>217366.51</v>
      </c>
    </row>
  </sheetData>
  <mergeCells count="2">
    <mergeCell ref="A2:D2"/>
    <mergeCell ref="E2:H2"/>
  </mergeCells>
  <pageMargins left="0.7" right="0.2" top="0.75" bottom="0.75" header="0.3" footer="0.3"/>
  <pageSetup scale="97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7AC6C-29CE-49E6-A5C6-FCBACCED0140}">
  <dimension ref="A2:F21"/>
  <sheetViews>
    <sheetView workbookViewId="0">
      <selection activeCell="K12" sqref="K12"/>
    </sheetView>
  </sheetViews>
  <sheetFormatPr defaultRowHeight="15" x14ac:dyDescent="0.25"/>
  <cols>
    <col min="1" max="1" width="14.85546875" customWidth="1"/>
    <col min="2" max="2" width="12.5703125" customWidth="1"/>
    <col min="3" max="3" width="20" customWidth="1"/>
    <col min="4" max="4" width="8.7109375" customWidth="1"/>
    <col min="5" max="5" width="15.28515625" customWidth="1"/>
    <col min="6" max="6" width="17.140625" customWidth="1"/>
  </cols>
  <sheetData>
    <row r="2" spans="1:6" ht="24.95" customHeight="1" x14ac:dyDescent="0.25">
      <c r="A2" t="s">
        <v>58</v>
      </c>
      <c r="D2" s="4"/>
      <c r="F2" s="4">
        <v>45643.999988425923</v>
      </c>
    </row>
    <row r="3" spans="1:6" ht="24.95" customHeight="1" x14ac:dyDescent="0.25">
      <c r="A3" s="5" t="s">
        <v>0</v>
      </c>
      <c r="B3" s="6"/>
      <c r="C3" s="6"/>
      <c r="D3" s="7" t="s">
        <v>56</v>
      </c>
      <c r="E3" s="6"/>
      <c r="F3" s="6"/>
    </row>
    <row r="4" spans="1:6" ht="24.95" customHeight="1" x14ac:dyDescent="0.25">
      <c r="A4" t="s">
        <v>2</v>
      </c>
      <c r="B4" t="s">
        <v>4</v>
      </c>
      <c r="C4" t="s">
        <v>5</v>
      </c>
      <c r="D4" t="s">
        <v>6</v>
      </c>
      <c r="E4" t="s">
        <v>7</v>
      </c>
      <c r="F4" t="s">
        <v>14</v>
      </c>
    </row>
    <row r="5" spans="1:6" ht="34.5" customHeight="1" x14ac:dyDescent="0.25">
      <c r="A5" t="s">
        <v>43</v>
      </c>
      <c r="B5" t="s">
        <v>44</v>
      </c>
      <c r="C5" t="s">
        <v>45</v>
      </c>
      <c r="E5" t="s">
        <v>46</v>
      </c>
    </row>
    <row r="6" spans="1:6" ht="24.95" customHeight="1" x14ac:dyDescent="0.25">
      <c r="A6" s="1"/>
      <c r="B6" s="1"/>
      <c r="C6" s="1" t="s">
        <v>57</v>
      </c>
      <c r="D6" s="1"/>
      <c r="E6" s="1"/>
      <c r="F6" s="1"/>
    </row>
    <row r="12" spans="1:6" x14ac:dyDescent="0.25">
      <c r="A12" t="s">
        <v>59</v>
      </c>
      <c r="B12" s="8"/>
      <c r="C12" s="8"/>
      <c r="D12" s="8"/>
    </row>
    <row r="17" spans="1:4" x14ac:dyDescent="0.25">
      <c r="A17" t="s">
        <v>60</v>
      </c>
      <c r="B17" s="8"/>
      <c r="C17" s="8"/>
      <c r="D17" s="8"/>
    </row>
    <row r="21" spans="1:4" x14ac:dyDescent="0.25">
      <c r="A21" t="s">
        <v>61</v>
      </c>
      <c r="B21" s="8"/>
      <c r="C21" s="8"/>
    </row>
  </sheetData>
  <mergeCells count="2">
    <mergeCell ref="A3:C3"/>
    <mergeCell ref="D3:F3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2024-12-17T19:24:03Z</cp:lastPrinted>
  <dcterms:created xsi:type="dcterms:W3CDTF">2024-12-17T19:10:00Z</dcterms:created>
  <dcterms:modified xsi:type="dcterms:W3CDTF">2024-12-17T19:51:55Z</dcterms:modified>
</cp:coreProperties>
</file>