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992257BA-E865-4159-BE7B-10CBEAEAB7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F11" i="1"/>
  <c r="H14" i="1"/>
  <c r="E14" i="1"/>
  <c r="D14" i="1"/>
  <c r="C14" i="1"/>
</calcChain>
</file>

<file path=xl/sharedStrings.xml><?xml version="1.0" encoding="utf-8"?>
<sst xmlns="http://schemas.openxmlformats.org/spreadsheetml/2006/main" count="92" uniqueCount="61">
  <si>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</si>
  <si>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</si>
  <si>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</si>
  <si>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</si>
  <si>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</si>
  <si>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</si>
  <si>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</si>
  <si>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</si>
  <si>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</si>
  <si>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</si>
  <si>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</si>
  <si>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Marlene Braganca</t>
  </si>
  <si>
    <t>Herb Chambers Lexus of Hingham</t>
  </si>
  <si>
    <t>Patriot Auto Group Inc d/b/a</t>
  </si>
  <si>
    <t>Richard Lundgren, Inc. d/b/a</t>
  </si>
  <si>
    <t>Neli Oliveira</t>
  </si>
  <si>
    <t>Salvadore Chrysler</t>
  </si>
  <si>
    <t>Column1</t>
  </si>
  <si>
    <t>Column2</t>
  </si>
  <si>
    <t># 6</t>
  </si>
  <si>
    <t>Sawyer</t>
  </si>
  <si>
    <t>shane_eastman@yahoo.com</t>
  </si>
  <si>
    <t>Eastman, Shane</t>
  </si>
  <si>
    <t>E Contract</t>
  </si>
  <si>
    <t>Route One</t>
  </si>
  <si>
    <t>151153740e</t>
  </si>
  <si>
    <t>HAMPTON</t>
  </si>
  <si>
    <t>DHJJOHNSON@GMAIL.COM</t>
  </si>
  <si>
    <t>JOHNSON, DUSTIN</t>
  </si>
  <si>
    <t>DealerTrack</t>
  </si>
  <si>
    <t>151153659e</t>
  </si>
  <si>
    <t>CHAMPAGNE</t>
  </si>
  <si>
    <t>FLEMING</t>
  </si>
  <si>
    <t>ERICBFREDERICK@YAHOO.COM</t>
  </si>
  <si>
    <t>LOVEALLPEACE2ALL@GMAIL.COM</t>
  </si>
  <si>
    <t>FREDERICK, ERIC</t>
  </si>
  <si>
    <t>FREDERICK, JODI</t>
  </si>
  <si>
    <t>151153641e</t>
  </si>
  <si>
    <t>Jean</t>
  </si>
  <si>
    <t>wilkensjoseph76@gmail.com</t>
  </si>
  <si>
    <t>WILKENS, JOSEPH</t>
  </si>
  <si>
    <t>151153625e</t>
  </si>
  <si>
    <t>VITATERNA</t>
  </si>
  <si>
    <t>CHERYLAVENUE@HOTMAIL.COM</t>
  </si>
  <si>
    <t>FLETT, CHERYL</t>
  </si>
  <si>
    <t>151153617e</t>
  </si>
  <si>
    <t>Cooper</t>
  </si>
  <si>
    <t>HKERR27@GMAIL.COM</t>
  </si>
  <si>
    <t>KERR, HUNTER</t>
  </si>
  <si>
    <t>151153584e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</si>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</sst>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7C04AFC5-B817-4026-9242-55192360866D}"/>
  </cellStyles>
  <dxfs count="1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4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559A595A-F7DB-4AF8-96F1-E33D803B0FC6}" name="Column1" dataDxfId="15"/>
    <tableColumn id="8" xr3:uid="{A03985C8-2B50-45CC-8F23-5244AE90A615}" name="Column2" dataDxfId="16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B479CD-F3FC-4E46-80E0-CB03BBF8C1E9}" name="Table_13" displayName="Table_13" ref="A3:L10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"/>
  <sheetViews>
    <sheetView tabSelected="1" workbookViewId="0">
      <pane ySplit="3" topLeftCell="A4" activePane="bottomLeft" state="frozen"/>
      <selection pane="bottomLeft" activeCell="E13" sqref="E13"/>
    </sheetView>
  </sheetViews>
  <sheetFormatPr defaultRowHeight="15" x14ac:dyDescent="0.25"/>
  <cols>
    <col min="1" max="1" width="32.5703125" bestFit="1" customWidth="1"/>
    <col min="2" max="2" width="17.7109375" bestFit="1" customWidth="1"/>
    <col min="3" max="3" width="11.140625" bestFit="1" customWidth="1"/>
    <col min="4" max="4" width="14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45721</v>
      </c>
      <c r="E1" t="s">
        <v>2</v>
      </c>
      <c r="H1" s="4">
        <v>45721.999988425923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17</v>
      </c>
      <c r="G3" t="s">
        <v>18</v>
      </c>
      <c r="H3" t="s">
        <v>9</v>
      </c>
    </row>
    <row r="4" spans="1:8" x14ac:dyDescent="0.25">
      <c r="A4" t="s">
        <v>10</v>
      </c>
      <c r="B4" t="s">
        <v>11</v>
      </c>
      <c r="C4" s="2">
        <v>575</v>
      </c>
      <c r="D4" s="2">
        <v>0</v>
      </c>
      <c r="E4" s="2">
        <v>22587.69</v>
      </c>
      <c r="F4" s="2"/>
      <c r="G4" s="2"/>
      <c r="H4" s="2">
        <v>22662.69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750</v>
      </c>
      <c r="D6" s="2">
        <v>0</v>
      </c>
      <c r="E6" s="2">
        <v>33142.559999999998</v>
      </c>
      <c r="F6" s="2"/>
      <c r="G6" s="2"/>
      <c r="H6" s="2">
        <v>33217.56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11</v>
      </c>
      <c r="C8" s="2">
        <v>750</v>
      </c>
      <c r="D8" s="2">
        <v>0</v>
      </c>
      <c r="E8" s="2">
        <v>31698.880000000001</v>
      </c>
      <c r="F8" s="2"/>
      <c r="G8" s="2"/>
      <c r="H8" s="2">
        <v>31773.88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15</v>
      </c>
      <c r="C10" s="2">
        <v>1250</v>
      </c>
      <c r="D10" s="2">
        <v>0</v>
      </c>
      <c r="E10" s="2">
        <v>50701.63</v>
      </c>
      <c r="F10" s="2"/>
      <c r="G10" s="2"/>
      <c r="H10" s="2">
        <v>50776.63</v>
      </c>
    </row>
    <row r="11" spans="1:8" x14ac:dyDescent="0.25">
      <c r="A11" t="s">
        <v>14</v>
      </c>
      <c r="B11" t="s">
        <v>15</v>
      </c>
      <c r="C11" s="2">
        <v>250</v>
      </c>
      <c r="D11" s="2">
        <v>0</v>
      </c>
      <c r="E11" s="2">
        <v>13347.88</v>
      </c>
      <c r="F11" s="2">
        <f>SUM(E10:E11)</f>
        <v>64049.509999999995</v>
      </c>
      <c r="G11" s="2"/>
      <c r="H11" s="2">
        <v>13422.88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11</v>
      </c>
      <c r="C13" s="2">
        <v>825</v>
      </c>
      <c r="D13" s="2">
        <v>0</v>
      </c>
      <c r="E13" s="2">
        <v>39760.31</v>
      </c>
      <c r="F13" s="2"/>
      <c r="G13" s="2"/>
      <c r="H13" s="2">
        <v>39835.31</v>
      </c>
    </row>
    <row r="14" spans="1:8" x14ac:dyDescent="0.25">
      <c r="A14" s="1"/>
      <c r="B14" s="1"/>
      <c r="C14" s="3">
        <f>SUM(C4:C13)</f>
        <v>4400</v>
      </c>
      <c r="D14" s="3">
        <f>SUM(D4:D13)</f>
        <v>0</v>
      </c>
      <c r="E14" s="3">
        <f>SUM(E4:E13)</f>
        <v>191238.95</v>
      </c>
      <c r="F14" s="3"/>
      <c r="G14" s="3"/>
      <c r="H14" s="3">
        <f>SUM(H4:H13)</f>
        <v>191688.95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A4AB-F4B8-40D9-8FD5-3CFDBF8B44D6}">
  <sheetPr>
    <pageSetUpPr fitToPage="1"/>
  </sheetPr>
  <dimension ref="A1:M14"/>
  <sheetViews>
    <sheetView workbookViewId="0">
      <pane ySplit="3" topLeftCell="A4" activePane="bottomLeft" state="frozen"/>
      <selection pane="bottomLeft" activeCell="A4" sqref="A4:A9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17.85546875" style="8" bestFit="1" customWidth="1"/>
    <col min="5" max="5" width="18.7109375" style="8" bestFit="1" customWidth="1"/>
    <col min="6" max="6" width="32.5703125" style="8" bestFit="1" customWidth="1"/>
    <col min="7" max="7" width="17.7109375" style="8" bestFit="1" customWidth="1"/>
    <col min="8" max="8" width="17.140625" style="8" bestFit="1" customWidth="1"/>
    <col min="9" max="9" width="32.140625" style="8" bestFit="1" customWidth="1"/>
    <col min="10" max="10" width="30.28515625" style="8" bestFit="1" customWidth="1"/>
    <col min="11" max="11" width="14.285156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45721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60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59</v>
      </c>
      <c r="B3" s="9" t="s">
        <v>58</v>
      </c>
      <c r="C3" s="9" t="s">
        <v>57</v>
      </c>
      <c r="D3" s="9" t="s">
        <v>56</v>
      </c>
      <c r="E3" s="9" t="s">
        <v>55</v>
      </c>
      <c r="F3" s="9" t="s">
        <v>4</v>
      </c>
      <c r="G3" s="9" t="s">
        <v>5</v>
      </c>
      <c r="H3" s="9" t="s">
        <v>54</v>
      </c>
      <c r="I3" s="9" t="s">
        <v>53</v>
      </c>
      <c r="J3" s="9" t="s">
        <v>52</v>
      </c>
      <c r="K3" s="9" t="s">
        <v>51</v>
      </c>
      <c r="L3" s="9" t="s">
        <v>50</v>
      </c>
      <c r="M3" s="9"/>
    </row>
    <row r="4" spans="1:13" ht="35.1" customHeight="1" x14ac:dyDescent="0.25">
      <c r="A4" s="9" t="s">
        <v>49</v>
      </c>
      <c r="B4" s="9" t="s">
        <v>24</v>
      </c>
      <c r="C4" s="9" t="s">
        <v>23</v>
      </c>
      <c r="D4" s="9" t="s">
        <v>48</v>
      </c>
      <c r="E4" s="9"/>
      <c r="F4" s="9" t="s">
        <v>12</v>
      </c>
      <c r="G4" s="9" t="s">
        <v>11</v>
      </c>
      <c r="H4" s="14">
        <v>33217.56</v>
      </c>
      <c r="I4" s="9" t="s">
        <v>47</v>
      </c>
      <c r="J4" s="9"/>
      <c r="K4" s="9" t="s">
        <v>46</v>
      </c>
      <c r="L4" s="9"/>
      <c r="M4" s="9"/>
    </row>
    <row r="5" spans="1:13" ht="35.1" customHeight="1" x14ac:dyDescent="0.25">
      <c r="A5" s="9" t="s">
        <v>45</v>
      </c>
      <c r="B5" s="9" t="s">
        <v>24</v>
      </c>
      <c r="C5" s="9" t="s">
        <v>23</v>
      </c>
      <c r="D5" s="9" t="s">
        <v>44</v>
      </c>
      <c r="E5" s="9"/>
      <c r="F5" s="9" t="s">
        <v>10</v>
      </c>
      <c r="G5" s="9" t="s">
        <v>11</v>
      </c>
      <c r="H5" s="14">
        <v>22662.69</v>
      </c>
      <c r="I5" s="9" t="s">
        <v>43</v>
      </c>
      <c r="J5" s="9"/>
      <c r="K5" s="9" t="s">
        <v>42</v>
      </c>
      <c r="L5" s="9"/>
      <c r="M5" s="9"/>
    </row>
    <row r="6" spans="1:13" ht="35.1" customHeight="1" x14ac:dyDescent="0.25">
      <c r="A6" s="9" t="s">
        <v>41</v>
      </c>
      <c r="B6" s="9" t="s">
        <v>24</v>
      </c>
      <c r="C6" s="9" t="s">
        <v>23</v>
      </c>
      <c r="D6" s="9" t="s">
        <v>40</v>
      </c>
      <c r="E6" s="9"/>
      <c r="F6" s="9" t="s">
        <v>13</v>
      </c>
      <c r="G6" s="9" t="s">
        <v>11</v>
      </c>
      <c r="H6" s="14">
        <v>31773.88</v>
      </c>
      <c r="I6" s="9" t="s">
        <v>39</v>
      </c>
      <c r="J6" s="9"/>
      <c r="K6" s="9" t="s">
        <v>38</v>
      </c>
      <c r="L6" s="9"/>
      <c r="M6" s="9"/>
    </row>
    <row r="7" spans="1:13" ht="35.1" customHeight="1" x14ac:dyDescent="0.25">
      <c r="A7" s="9" t="s">
        <v>37</v>
      </c>
      <c r="B7" s="9" t="s">
        <v>29</v>
      </c>
      <c r="C7" s="9" t="s">
        <v>23</v>
      </c>
      <c r="D7" s="9" t="s">
        <v>36</v>
      </c>
      <c r="E7" s="9" t="s">
        <v>35</v>
      </c>
      <c r="F7" s="9" t="s">
        <v>14</v>
      </c>
      <c r="G7" s="9" t="s">
        <v>15</v>
      </c>
      <c r="H7" s="14">
        <v>13422.88</v>
      </c>
      <c r="I7" s="9" t="s">
        <v>34</v>
      </c>
      <c r="J7" s="9" t="s">
        <v>33</v>
      </c>
      <c r="K7" s="9" t="s">
        <v>32</v>
      </c>
      <c r="L7" s="9" t="s">
        <v>31</v>
      </c>
      <c r="M7" s="9"/>
    </row>
    <row r="8" spans="1:13" ht="35.1" customHeight="1" x14ac:dyDescent="0.25">
      <c r="A8" s="9" t="s">
        <v>30</v>
      </c>
      <c r="B8" s="9" t="s">
        <v>29</v>
      </c>
      <c r="C8" s="9" t="s">
        <v>23</v>
      </c>
      <c r="D8" s="9" t="s">
        <v>28</v>
      </c>
      <c r="E8" s="9"/>
      <c r="F8" s="9" t="s">
        <v>14</v>
      </c>
      <c r="G8" s="9" t="s">
        <v>15</v>
      </c>
      <c r="H8" s="14">
        <v>50776.63</v>
      </c>
      <c r="I8" s="9" t="s">
        <v>27</v>
      </c>
      <c r="J8" s="9"/>
      <c r="K8" s="9" t="s">
        <v>26</v>
      </c>
      <c r="L8" s="9"/>
      <c r="M8" s="9"/>
    </row>
    <row r="9" spans="1:13" ht="35.1" customHeight="1" x14ac:dyDescent="0.25">
      <c r="A9" s="9" t="s">
        <v>25</v>
      </c>
      <c r="B9" s="9" t="s">
        <v>24</v>
      </c>
      <c r="C9" s="9" t="s">
        <v>23</v>
      </c>
      <c r="D9" s="9" t="s">
        <v>22</v>
      </c>
      <c r="E9" s="9"/>
      <c r="F9" s="9" t="s">
        <v>16</v>
      </c>
      <c r="G9" s="9" t="s">
        <v>11</v>
      </c>
      <c r="H9" s="14">
        <v>39835.31</v>
      </c>
      <c r="I9" s="9" t="s">
        <v>21</v>
      </c>
      <c r="J9" s="9"/>
      <c r="K9" s="9" t="s">
        <v>20</v>
      </c>
      <c r="L9" s="9"/>
      <c r="M9" s="9"/>
    </row>
    <row r="10" spans="1:13" ht="35.1" customHeight="1" x14ac:dyDescent="0.25">
      <c r="A10" s="15"/>
      <c r="B10" s="15"/>
      <c r="C10" s="15"/>
      <c r="D10" s="15" t="s">
        <v>19</v>
      </c>
      <c r="E10" s="15"/>
      <c r="F10" s="15"/>
      <c r="G10" s="15"/>
      <c r="H10" s="16">
        <f>SUM(H4:H9)</f>
        <v>191688.95</v>
      </c>
      <c r="I10" s="15"/>
      <c r="J10" s="15"/>
      <c r="K10" s="15"/>
      <c r="L10" s="15"/>
      <c r="M10" s="9"/>
    </row>
    <row r="11" spans="1:13" ht="35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35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ht="35.1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ACH Version</vt:lpstr>
      <vt:lpstr>Funding Worksheet - Folder 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2025-03-05T19:19:21Z</cp:lastPrinted>
  <dcterms:created xsi:type="dcterms:W3CDTF">2025-03-05T19:14:06Z</dcterms:created>
  <dcterms:modified xsi:type="dcterms:W3CDTF">2025-03-05T19:25:50Z</dcterms:modified>
</cp:coreProperties>
</file>