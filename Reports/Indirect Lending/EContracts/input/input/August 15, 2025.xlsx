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2E53CF73-39B7-43D0-A127-60893D3546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21" i="1"/>
  <c r="H21" i="2"/>
  <c r="H32" i="1"/>
  <c r="E32" i="1"/>
  <c r="D32" i="1"/>
  <c r="C32" i="1"/>
</calcChain>
</file>

<file path=xl/sharedStrings.xml><?xml version="1.0" encoding="utf-8"?>
<sst xmlns="http://schemas.openxmlformats.org/spreadsheetml/2006/main" count="255" uniqueCount="125">
  <si>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</si>
  <si>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</si>
  <si>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</si>
  <si>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</si>
  <si>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</si>
  <si>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</si>
  <si>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</si>
  <si>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</si>
  <si>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</si>
  <si>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</si>
  <si>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</si>
  <si>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Rachel Gorham</t>
  </si>
  <si>
    <t>Battles Nissan, LLC</t>
  </si>
  <si>
    <t>Neli Oliveira</t>
  </si>
  <si>
    <t>Bourne Enterprises Inc</t>
  </si>
  <si>
    <t>First Chrysler Dodge Jeep</t>
  </si>
  <si>
    <t>Lucchettis Service Center Inc</t>
  </si>
  <si>
    <t>Mastria Mazda</t>
  </si>
  <si>
    <t>Planet Automotive Sales LLC</t>
  </si>
  <si>
    <t>Planet Subaru</t>
  </si>
  <si>
    <t>Richard Lundgren, Inc. d/b/a</t>
  </si>
  <si>
    <t>Sandy Motors, Inc</t>
  </si>
  <si>
    <t>T F Murphy Enterprises Inc</t>
  </si>
  <si>
    <t>Viti Mercedes</t>
  </si>
  <si>
    <t>Column1</t>
  </si>
  <si>
    <t>Column2</t>
  </si>
  <si>
    <t># 17</t>
  </si>
  <si>
    <t>TANURY</t>
  </si>
  <si>
    <t>COLARUSSO</t>
  </si>
  <si>
    <t>angelo@agroup.net</t>
  </si>
  <si>
    <t>GRILLI, ANGELO</t>
  </si>
  <si>
    <t>GRILLI, TINA</t>
  </si>
  <si>
    <t>Paper</t>
  </si>
  <si>
    <t>DealerTrack</t>
  </si>
  <si>
    <t>151213875</t>
  </si>
  <si>
    <t>PETRINO</t>
  </si>
  <si>
    <t>don@maceplace.com</t>
  </si>
  <si>
    <t>MACE, DONALD</t>
  </si>
  <si>
    <t>E Contract</t>
  </si>
  <si>
    <t>Route One</t>
  </si>
  <si>
    <t>151213867E</t>
  </si>
  <si>
    <t>DUMONT</t>
  </si>
  <si>
    <t>BRIANRIEN@GMAIL.COM</t>
  </si>
  <si>
    <t>RIENDEAU, BRIAN</t>
  </si>
  <si>
    <t>151213833E</t>
  </si>
  <si>
    <t>BAYNE</t>
  </si>
  <si>
    <t>BUSYBDRS@HOTMAIL.COM</t>
  </si>
  <si>
    <t>SPIGAROLO, ELLIOTT</t>
  </si>
  <si>
    <t>151213792</t>
  </si>
  <si>
    <t>MESSUNGER</t>
  </si>
  <si>
    <t>MAYR</t>
  </si>
  <si>
    <t>MESSINGER MICHAELS HOLTZMAN, DREW</t>
  </si>
  <si>
    <t>VILLEGAS, LAUREN</t>
  </si>
  <si>
    <t>151213776</t>
  </si>
  <si>
    <t>HEALY</t>
  </si>
  <si>
    <t>PAULK1200RS@HOTMAIL.COM</t>
  </si>
  <si>
    <t>PANNETON, PAUL</t>
  </si>
  <si>
    <t>151213768</t>
  </si>
  <si>
    <t>HOGUE</t>
  </si>
  <si>
    <t>MICHAELREILLY08@GMAIL.COM</t>
  </si>
  <si>
    <t>REILLY, MICHAEL</t>
  </si>
  <si>
    <t>151213750</t>
  </si>
  <si>
    <t>SEQUIERA</t>
  </si>
  <si>
    <t>CASALE, DAVID</t>
  </si>
  <si>
    <t>151213734</t>
  </si>
  <si>
    <t>COLLINS</t>
  </si>
  <si>
    <t>PLACE</t>
  </si>
  <si>
    <t>LDAVIDSON8@GMAIL.COM</t>
  </si>
  <si>
    <t>LDAVIDSON8@VERIZON.NET</t>
  </si>
  <si>
    <t>DAVIDSON, CHRISTOPHER</t>
  </si>
  <si>
    <t>DAVIDSON, LYN</t>
  </si>
  <si>
    <t>151213726E</t>
  </si>
  <si>
    <t>LONGENECKER</t>
  </si>
  <si>
    <t>PROBASCO</t>
  </si>
  <si>
    <t>LMN182@ICLOUD.COM</t>
  </si>
  <si>
    <t>CHIEFWOODY3@GMAIL.COM</t>
  </si>
  <si>
    <t>NIEMANN, LISA</t>
  </si>
  <si>
    <t>NIEMANN, CRAIG</t>
  </si>
  <si>
    <t>151213718E</t>
  </si>
  <si>
    <t>CLEMENS</t>
  </si>
  <si>
    <t>JAYNELHD@VERIZON.NET</t>
  </si>
  <si>
    <t>DARSCH, JAYNE</t>
  </si>
  <si>
    <t>151213685E</t>
  </si>
  <si>
    <t>THOMAS</t>
  </si>
  <si>
    <t>STACEYHOLMES31068@GMAIL.COM</t>
  </si>
  <si>
    <t>HOLMES, STACEYANN</t>
  </si>
  <si>
    <t>151213635E</t>
  </si>
  <si>
    <t>POWER</t>
  </si>
  <si>
    <t>N_HARKINS@MSN.COM</t>
  </si>
  <si>
    <t>HARKINS, NANCY</t>
  </si>
  <si>
    <t>151213627E</t>
  </si>
  <si>
    <t>BRYANT</t>
  </si>
  <si>
    <t>LINDPAIR@AOL.COM</t>
  </si>
  <si>
    <t>PAIR, DAVID</t>
  </si>
  <si>
    <t>151213594</t>
  </si>
  <si>
    <t>MIMOSO</t>
  </si>
  <si>
    <t>XXKRIS611XX@YAHOO.COM</t>
  </si>
  <si>
    <t>SANTOS, KRISTIAN</t>
  </si>
  <si>
    <t>151213586E</t>
  </si>
  <si>
    <t>O'BRIEN</t>
  </si>
  <si>
    <t>AZITOLI@TIVERTONSCHOOLS.ORG</t>
  </si>
  <si>
    <t>ZITOLI, ANDREW</t>
  </si>
  <si>
    <t>WALKER</t>
  </si>
  <si>
    <t>JOEORLANDO130@COMCAST.NET</t>
  </si>
  <si>
    <t>ORLANDO, JOSEPH</t>
  </si>
  <si>
    <t>151213437E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</si>
  <si>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</si>
  <si>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</si>
  <si>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</si>
  <si>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</si>
  <si>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</si>
  <si>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</si>
  <si>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</si>
  <si>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</si>
  <si>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</si>
  <si>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</si>
  <si>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</si>
  <si>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7436    2448</t>
  </si>
  <si>
    <t>5900    6390</t>
  </si>
  <si>
    <t>151213578</t>
  </si>
  <si>
    <t>Funding Worksheet - Signoff Version</t>
  </si>
  <si>
    <t># 8</t>
  </si>
  <si>
    <t>Delivered By________________________________________________________________________</t>
  </si>
  <si>
    <t>Received By_______________________________________________________________________</t>
  </si>
  <si>
    <t>Date Signed__________________________________________________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</si>
</sst>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5EE031D6-B296-4C37-9C0B-8846428D1A5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2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F4CEC8B-BB79-49DB-A213-C4130D3D47E3}" name="Column1" dataDxfId="24"/>
    <tableColumn id="8" xr3:uid="{18D921BC-47AC-47C8-B5AF-779E9977AC3E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2DC6B-E667-4875-92AF-ECE9D5F5C03F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BB7B92-0426-4251-ACC0-58CEEF4D756E}" name="Table_14" displayName="Table_14" ref="A3:E12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workbookViewId="0">
      <pane ySplit="3" topLeftCell="A4" activePane="bottomLeft" state="frozen"/>
      <selection pane="bottomLeft" activeCell="E31" sqref="E31"/>
    </sheetView>
  </sheetViews>
  <sheetFormatPr defaultRowHeight="15" x14ac:dyDescent="0.25"/>
  <cols>
    <col min="1" max="1" width="27.85546875" bestFit="1" customWidth="1"/>
    <col min="2" max="2" width="15.140625" bestFit="1" customWidth="1"/>
    <col min="3" max="3" width="11.140625" bestFit="1" customWidth="1"/>
    <col min="4" max="4" width="16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45884</v>
      </c>
      <c r="E1" t="s">
        <v>2</v>
      </c>
      <c r="H1" s="4">
        <v>45884.999988425923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ht="15.75" customHeight="1" x14ac:dyDescent="0.25">
      <c r="A4" t="s">
        <v>10</v>
      </c>
      <c r="B4" t="s">
        <v>11</v>
      </c>
      <c r="C4" s="2">
        <v>650</v>
      </c>
      <c r="D4" s="2">
        <v>0</v>
      </c>
      <c r="E4" s="2">
        <v>23255.19</v>
      </c>
      <c r="F4" s="2"/>
      <c r="G4" s="2"/>
      <c r="H4" s="2">
        <v>23330.19</v>
      </c>
    </row>
    <row r="5" spans="1:8" ht="15.75" customHeight="1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500</v>
      </c>
      <c r="D6" s="2">
        <v>0</v>
      </c>
      <c r="E6" s="2">
        <v>18718.38</v>
      </c>
      <c r="F6" s="2"/>
      <c r="G6" s="2"/>
      <c r="H6" s="2">
        <v>18793.38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500</v>
      </c>
      <c r="D8" s="2">
        <v>0</v>
      </c>
      <c r="E8" s="2">
        <v>19511.87</v>
      </c>
      <c r="F8" s="2"/>
      <c r="G8" s="2"/>
      <c r="H8" s="2">
        <v>19586.87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950</v>
      </c>
      <c r="D10" s="2">
        <v>0</v>
      </c>
      <c r="E10" s="2">
        <v>39583.870000000003</v>
      </c>
      <c r="F10" s="2"/>
      <c r="G10" s="2" t="s">
        <v>117</v>
      </c>
      <c r="H10" s="2">
        <v>39658.870000000003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850</v>
      </c>
      <c r="D12" s="2">
        <v>0</v>
      </c>
      <c r="E12" s="2">
        <v>30619.31</v>
      </c>
      <c r="F12" s="2"/>
      <c r="G12" s="2"/>
      <c r="H12" s="2">
        <v>30694.31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850</v>
      </c>
      <c r="D14" s="2">
        <v>0</v>
      </c>
      <c r="E14" s="2">
        <v>33220.36</v>
      </c>
      <c r="F14" s="2"/>
      <c r="G14" s="2" t="s">
        <v>118</v>
      </c>
      <c r="H14" s="2">
        <v>33295.360000000001</v>
      </c>
    </row>
    <row r="15" spans="1:8" x14ac:dyDescent="0.25">
      <c r="A15" t="s">
        <v>17</v>
      </c>
      <c r="B15" t="s">
        <v>13</v>
      </c>
      <c r="C15" s="2">
        <v>650</v>
      </c>
      <c r="D15" s="2">
        <v>0</v>
      </c>
      <c r="E15" s="2">
        <v>21251.98</v>
      </c>
      <c r="F15" s="2">
        <f>SUM(E14:E15)</f>
        <v>54472.34</v>
      </c>
      <c r="G15" s="2"/>
      <c r="H15" s="2">
        <v>21326.98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1350</v>
      </c>
      <c r="D17" s="2">
        <v>0</v>
      </c>
      <c r="E17" s="2">
        <v>52461.16</v>
      </c>
      <c r="F17" s="2"/>
      <c r="G17" s="2"/>
      <c r="H17" s="2">
        <v>52536.160000000003</v>
      </c>
    </row>
    <row r="18" spans="1:8" x14ac:dyDescent="0.25">
      <c r="A18" t="s">
        <v>18</v>
      </c>
      <c r="B18" t="s">
        <v>11</v>
      </c>
      <c r="C18" s="2">
        <v>1050</v>
      </c>
      <c r="D18" s="2">
        <v>0</v>
      </c>
      <c r="E18" s="2">
        <v>43266.65</v>
      </c>
      <c r="F18" s="2"/>
      <c r="G18" s="2"/>
      <c r="H18" s="2">
        <v>43341.65</v>
      </c>
    </row>
    <row r="19" spans="1:8" x14ac:dyDescent="0.25">
      <c r="A19" t="s">
        <v>18</v>
      </c>
      <c r="B19" t="s">
        <v>11</v>
      </c>
      <c r="C19" s="2">
        <v>300</v>
      </c>
      <c r="D19" s="2">
        <v>0</v>
      </c>
      <c r="E19" s="2">
        <v>10483.879999999999</v>
      </c>
      <c r="F19" s="2"/>
      <c r="G19" s="2"/>
      <c r="H19" s="2">
        <v>10558.88</v>
      </c>
    </row>
    <row r="20" spans="1:8" x14ac:dyDescent="0.25">
      <c r="A20" t="s">
        <v>18</v>
      </c>
      <c r="B20" t="s">
        <v>13</v>
      </c>
      <c r="C20" s="2">
        <v>750</v>
      </c>
      <c r="D20" s="2">
        <v>0</v>
      </c>
      <c r="E20" s="2">
        <v>25066.86</v>
      </c>
      <c r="F20" s="2"/>
      <c r="G20" s="2"/>
      <c r="H20" s="2">
        <v>25141.86</v>
      </c>
    </row>
    <row r="21" spans="1:8" x14ac:dyDescent="0.25">
      <c r="A21" t="s">
        <v>18</v>
      </c>
      <c r="B21" t="s">
        <v>13</v>
      </c>
      <c r="C21" s="2">
        <v>850</v>
      </c>
      <c r="D21" s="2">
        <v>0</v>
      </c>
      <c r="E21" s="2">
        <v>32350.14</v>
      </c>
      <c r="F21" s="2">
        <f>SUM(E17:E21)</f>
        <v>163628.69</v>
      </c>
      <c r="G21" s="2"/>
      <c r="H21" s="2">
        <v>32425.14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19</v>
      </c>
      <c r="B23" t="s">
        <v>11</v>
      </c>
      <c r="C23" s="2">
        <v>950</v>
      </c>
      <c r="D23" s="2">
        <v>0</v>
      </c>
      <c r="E23" s="2">
        <v>35683.69</v>
      </c>
      <c r="F23" s="2"/>
      <c r="G23" s="2"/>
      <c r="H23" s="2">
        <v>35758.69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20</v>
      </c>
      <c r="B25" t="s">
        <v>13</v>
      </c>
      <c r="C25" s="2">
        <v>850</v>
      </c>
      <c r="D25" s="2">
        <v>0</v>
      </c>
      <c r="E25" s="2">
        <v>34577</v>
      </c>
      <c r="F25" s="2"/>
      <c r="G25" s="2"/>
      <c r="H25" s="2">
        <v>34652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21</v>
      </c>
      <c r="B27" t="s">
        <v>13</v>
      </c>
      <c r="C27" s="2">
        <v>650</v>
      </c>
      <c r="D27" s="2">
        <v>0</v>
      </c>
      <c r="E27" s="2">
        <v>21889.93</v>
      </c>
      <c r="F27" s="2"/>
      <c r="G27" s="2"/>
      <c r="H27" s="2">
        <v>21964.93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22</v>
      </c>
      <c r="B29" t="s">
        <v>11</v>
      </c>
      <c r="C29" s="2">
        <v>1350</v>
      </c>
      <c r="D29" s="2">
        <v>0</v>
      </c>
      <c r="E29" s="2">
        <v>55611.81</v>
      </c>
      <c r="F29" s="2"/>
      <c r="G29" s="2"/>
      <c r="H29" s="2">
        <v>55686.81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23</v>
      </c>
      <c r="B31" t="s">
        <v>13</v>
      </c>
      <c r="C31" s="2">
        <v>850</v>
      </c>
      <c r="D31" s="2">
        <v>0</v>
      </c>
      <c r="E31" s="2">
        <v>34491.129999999997</v>
      </c>
      <c r="F31" s="2"/>
      <c r="G31" s="2"/>
      <c r="H31" s="2">
        <v>34566.129999999997</v>
      </c>
    </row>
    <row r="32" spans="1:8" x14ac:dyDescent="0.25">
      <c r="A32" s="1"/>
      <c r="B32" s="1"/>
      <c r="C32" s="3">
        <f>SUM(C4:C31)</f>
        <v>13900</v>
      </c>
      <c r="D32" s="3">
        <f>SUM(D4:D31)</f>
        <v>0</v>
      </c>
      <c r="E32" s="3">
        <f>SUM(E4:E31)</f>
        <v>532043.21</v>
      </c>
      <c r="F32" s="3"/>
      <c r="G32" s="3"/>
      <c r="H32" s="3">
        <f>SUM(H4:H31)</f>
        <v>533318.21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F121-C3D2-4154-B005-A2BAE0FD34AA}">
  <sheetPr>
    <pageSetUpPr fitToPage="1"/>
  </sheetPr>
  <dimension ref="A1:M23"/>
  <sheetViews>
    <sheetView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" style="8" bestFit="1" customWidth="1"/>
    <col min="5" max="5" width="39.7109375" style="8" bestFit="1" customWidth="1"/>
    <col min="6" max="6" width="27.85546875" style="8" bestFit="1" customWidth="1"/>
    <col min="7" max="7" width="15.140625" style="8" bestFit="1" customWidth="1"/>
    <col min="8" max="8" width="17.140625" style="8" bestFit="1" customWidth="1"/>
    <col min="9" max="9" width="34.28515625" style="8" bestFit="1" customWidth="1"/>
    <col min="10" max="10" width="25.5703125" style="8" bestFit="1" customWidth="1"/>
    <col min="11" max="11" width="16.140625" style="8" bestFit="1" customWidth="1"/>
    <col min="12" max="12" width="14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45884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116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115</v>
      </c>
      <c r="B3" s="9" t="s">
        <v>114</v>
      </c>
      <c r="C3" s="9" t="s">
        <v>113</v>
      </c>
      <c r="D3" s="9" t="s">
        <v>112</v>
      </c>
      <c r="E3" s="9" t="s">
        <v>111</v>
      </c>
      <c r="F3" s="9" t="s">
        <v>4</v>
      </c>
      <c r="G3" s="9" t="s">
        <v>5</v>
      </c>
      <c r="H3" s="9" t="s">
        <v>110</v>
      </c>
      <c r="I3" s="9" t="s">
        <v>109</v>
      </c>
      <c r="J3" s="9" t="s">
        <v>108</v>
      </c>
      <c r="K3" s="9" t="s">
        <v>107</v>
      </c>
      <c r="L3" s="9" t="s">
        <v>106</v>
      </c>
      <c r="M3" s="9"/>
    </row>
    <row r="4" spans="1:13" ht="35.1" customHeight="1" x14ac:dyDescent="0.25">
      <c r="A4" s="9" t="s">
        <v>105</v>
      </c>
      <c r="B4" s="9" t="s">
        <v>39</v>
      </c>
      <c r="C4" s="9" t="s">
        <v>38</v>
      </c>
      <c r="D4" s="9" t="s">
        <v>104</v>
      </c>
      <c r="E4" s="9"/>
      <c r="F4" s="9" t="s">
        <v>17</v>
      </c>
      <c r="G4" s="9" t="s">
        <v>11</v>
      </c>
      <c r="H4" s="14">
        <v>33295.360000000001</v>
      </c>
      <c r="I4" s="9" t="s">
        <v>103</v>
      </c>
      <c r="J4" s="9"/>
      <c r="K4" s="9" t="s">
        <v>102</v>
      </c>
      <c r="L4" s="9"/>
      <c r="M4" s="9"/>
    </row>
    <row r="5" spans="1:13" ht="35.1" customHeight="1" x14ac:dyDescent="0.25">
      <c r="A5" s="9">
        <v>151213578</v>
      </c>
      <c r="B5" s="9" t="s">
        <v>33</v>
      </c>
      <c r="C5" s="9" t="s">
        <v>32</v>
      </c>
      <c r="D5" s="9" t="s">
        <v>101</v>
      </c>
      <c r="E5" s="9"/>
      <c r="F5" s="9" t="s">
        <v>18</v>
      </c>
      <c r="G5" s="9" t="s">
        <v>11</v>
      </c>
      <c r="H5" s="14">
        <v>52536.160000000003</v>
      </c>
      <c r="I5" s="9" t="s">
        <v>100</v>
      </c>
      <c r="J5" s="9"/>
      <c r="K5" s="9" t="s">
        <v>99</v>
      </c>
      <c r="L5" s="9"/>
      <c r="M5" s="9"/>
    </row>
    <row r="6" spans="1:13" ht="35.1" customHeight="1" x14ac:dyDescent="0.25">
      <c r="A6" s="9" t="s">
        <v>98</v>
      </c>
      <c r="B6" s="9" t="s">
        <v>39</v>
      </c>
      <c r="C6" s="9" t="s">
        <v>38</v>
      </c>
      <c r="D6" s="9" t="s">
        <v>97</v>
      </c>
      <c r="E6" s="9"/>
      <c r="F6" s="9" t="s">
        <v>10</v>
      </c>
      <c r="G6" s="9" t="s">
        <v>11</v>
      </c>
      <c r="H6" s="14">
        <v>23330.19</v>
      </c>
      <c r="I6" s="9" t="s">
        <v>96</v>
      </c>
      <c r="J6" s="9"/>
      <c r="K6" s="9" t="s">
        <v>95</v>
      </c>
      <c r="L6" s="9"/>
      <c r="M6" s="9"/>
    </row>
    <row r="7" spans="1:13" ht="35.1" customHeight="1" x14ac:dyDescent="0.25">
      <c r="A7" s="9" t="s">
        <v>94</v>
      </c>
      <c r="B7" s="9" t="s">
        <v>33</v>
      </c>
      <c r="C7" s="9" t="s">
        <v>32</v>
      </c>
      <c r="D7" s="9" t="s">
        <v>93</v>
      </c>
      <c r="E7" s="9"/>
      <c r="F7" s="9" t="s">
        <v>14</v>
      </c>
      <c r="G7" s="9" t="s">
        <v>11</v>
      </c>
      <c r="H7" s="14">
        <v>19586.87</v>
      </c>
      <c r="I7" s="9" t="s">
        <v>92</v>
      </c>
      <c r="J7" s="9"/>
      <c r="K7" s="9" t="s">
        <v>91</v>
      </c>
      <c r="L7" s="9"/>
      <c r="M7" s="9"/>
    </row>
    <row r="8" spans="1:13" ht="35.1" customHeight="1" x14ac:dyDescent="0.25">
      <c r="A8" s="9" t="s">
        <v>90</v>
      </c>
      <c r="B8" s="9" t="s">
        <v>33</v>
      </c>
      <c r="C8" s="9" t="s">
        <v>38</v>
      </c>
      <c r="D8" s="9" t="s">
        <v>89</v>
      </c>
      <c r="E8" s="9"/>
      <c r="F8" s="9" t="s">
        <v>12</v>
      </c>
      <c r="G8" s="9" t="s">
        <v>13</v>
      </c>
      <c r="H8" s="14">
        <v>18793.38</v>
      </c>
      <c r="I8" s="9" t="s">
        <v>88</v>
      </c>
      <c r="J8" s="9"/>
      <c r="K8" s="9" t="s">
        <v>87</v>
      </c>
      <c r="L8" s="9"/>
      <c r="M8" s="9"/>
    </row>
    <row r="9" spans="1:13" ht="35.1" customHeight="1" x14ac:dyDescent="0.25">
      <c r="A9" s="9" t="s">
        <v>86</v>
      </c>
      <c r="B9" s="9" t="s">
        <v>39</v>
      </c>
      <c r="C9" s="9" t="s">
        <v>38</v>
      </c>
      <c r="D9" s="9" t="s">
        <v>85</v>
      </c>
      <c r="E9" s="9"/>
      <c r="F9" s="9" t="s">
        <v>16</v>
      </c>
      <c r="G9" s="9" t="s">
        <v>11</v>
      </c>
      <c r="H9" s="14">
        <v>30694.31</v>
      </c>
      <c r="I9" s="9" t="s">
        <v>84</v>
      </c>
      <c r="J9" s="9"/>
      <c r="K9" s="9" t="s">
        <v>83</v>
      </c>
      <c r="L9" s="9"/>
      <c r="M9" s="9"/>
    </row>
    <row r="10" spans="1:13" ht="35.1" customHeight="1" x14ac:dyDescent="0.25">
      <c r="A10" s="9" t="s">
        <v>82</v>
      </c>
      <c r="B10" s="9" t="s">
        <v>33</v>
      </c>
      <c r="C10" s="9" t="s">
        <v>38</v>
      </c>
      <c r="D10" s="9" t="s">
        <v>81</v>
      </c>
      <c r="E10" s="9"/>
      <c r="F10" s="9" t="s">
        <v>19</v>
      </c>
      <c r="G10" s="9" t="s">
        <v>11</v>
      </c>
      <c r="H10" s="14">
        <v>35758.69</v>
      </c>
      <c r="I10" s="9" t="s">
        <v>80</v>
      </c>
      <c r="J10" s="9"/>
      <c r="K10" s="9" t="s">
        <v>79</v>
      </c>
      <c r="L10" s="9"/>
      <c r="M10" s="9"/>
    </row>
    <row r="11" spans="1:13" ht="35.1" customHeight="1" x14ac:dyDescent="0.25">
      <c r="A11" s="9" t="s">
        <v>78</v>
      </c>
      <c r="B11" s="9" t="s">
        <v>39</v>
      </c>
      <c r="C11" s="9" t="s">
        <v>38</v>
      </c>
      <c r="D11" s="9" t="s">
        <v>77</v>
      </c>
      <c r="E11" s="9" t="s">
        <v>76</v>
      </c>
      <c r="F11" s="9" t="s">
        <v>17</v>
      </c>
      <c r="G11" s="9" t="s">
        <v>13</v>
      </c>
      <c r="H11" s="14">
        <v>21326.98</v>
      </c>
      <c r="I11" s="9" t="s">
        <v>75</v>
      </c>
      <c r="J11" s="9" t="s">
        <v>74</v>
      </c>
      <c r="K11" s="9" t="s">
        <v>73</v>
      </c>
      <c r="L11" s="9" t="s">
        <v>72</v>
      </c>
      <c r="M11" s="9"/>
    </row>
    <row r="12" spans="1:13" ht="35.1" customHeight="1" x14ac:dyDescent="0.25">
      <c r="A12" s="9" t="s">
        <v>71</v>
      </c>
      <c r="B12" s="9" t="s">
        <v>33</v>
      </c>
      <c r="C12" s="9" t="s">
        <v>38</v>
      </c>
      <c r="D12" s="9" t="s">
        <v>70</v>
      </c>
      <c r="E12" s="9" t="s">
        <v>69</v>
      </c>
      <c r="F12" s="9" t="s">
        <v>20</v>
      </c>
      <c r="G12" s="9" t="s">
        <v>13</v>
      </c>
      <c r="H12" s="14">
        <v>34652</v>
      </c>
      <c r="I12" s="9" t="s">
        <v>68</v>
      </c>
      <c r="J12" s="9" t="s">
        <v>67</v>
      </c>
      <c r="K12" s="9" t="s">
        <v>66</v>
      </c>
      <c r="L12" s="9" t="s">
        <v>65</v>
      </c>
      <c r="M12" s="9"/>
    </row>
    <row r="13" spans="1:13" ht="35.1" customHeight="1" x14ac:dyDescent="0.25">
      <c r="A13" s="9" t="s">
        <v>64</v>
      </c>
      <c r="B13" s="9" t="s">
        <v>33</v>
      </c>
      <c r="C13" s="9" t="s">
        <v>32</v>
      </c>
      <c r="D13" s="9" t="s">
        <v>63</v>
      </c>
      <c r="E13" s="9"/>
      <c r="F13" s="9" t="s">
        <v>21</v>
      </c>
      <c r="G13" s="9" t="s">
        <v>13</v>
      </c>
      <c r="H13" s="14">
        <v>21964.93</v>
      </c>
      <c r="I13" s="9"/>
      <c r="J13" s="9"/>
      <c r="K13" s="9" t="s">
        <v>62</v>
      </c>
      <c r="L13" s="9"/>
      <c r="M13" s="9"/>
    </row>
    <row r="14" spans="1:13" ht="35.1" customHeight="1" x14ac:dyDescent="0.25">
      <c r="A14" s="9" t="s">
        <v>61</v>
      </c>
      <c r="B14" s="9" t="s">
        <v>33</v>
      </c>
      <c r="C14" s="9" t="s">
        <v>32</v>
      </c>
      <c r="D14" s="9" t="s">
        <v>60</v>
      </c>
      <c r="E14" s="9"/>
      <c r="F14" s="9" t="s">
        <v>15</v>
      </c>
      <c r="G14" s="9" t="s">
        <v>13</v>
      </c>
      <c r="H14" s="14">
        <v>39658.870000000003</v>
      </c>
      <c r="I14" s="9" t="s">
        <v>59</v>
      </c>
      <c r="J14" s="9"/>
      <c r="K14" s="9" t="s">
        <v>58</v>
      </c>
      <c r="L14" s="9"/>
      <c r="M14" s="9"/>
    </row>
    <row r="15" spans="1:13" ht="35.1" customHeight="1" x14ac:dyDescent="0.25">
      <c r="A15" s="9" t="s">
        <v>57</v>
      </c>
      <c r="B15" s="9" t="s">
        <v>33</v>
      </c>
      <c r="C15" s="9" t="s">
        <v>32</v>
      </c>
      <c r="D15" s="9" t="s">
        <v>56</v>
      </c>
      <c r="E15" s="9"/>
      <c r="F15" s="9" t="s">
        <v>18</v>
      </c>
      <c r="G15" s="9" t="s">
        <v>11</v>
      </c>
      <c r="H15" s="14">
        <v>10558.88</v>
      </c>
      <c r="I15" s="9" t="s">
        <v>55</v>
      </c>
      <c r="J15" s="9"/>
      <c r="K15" s="9" t="s">
        <v>54</v>
      </c>
      <c r="L15" s="9"/>
      <c r="M15" s="9"/>
    </row>
    <row r="16" spans="1:13" ht="35.1" customHeight="1" x14ac:dyDescent="0.25">
      <c r="A16" s="9" t="s">
        <v>53</v>
      </c>
      <c r="B16" s="9" t="s">
        <v>33</v>
      </c>
      <c r="C16" s="9" t="s">
        <v>32</v>
      </c>
      <c r="D16" s="9" t="s">
        <v>52</v>
      </c>
      <c r="E16" s="9" t="s">
        <v>51</v>
      </c>
      <c r="F16" s="9" t="s">
        <v>18</v>
      </c>
      <c r="G16" s="9" t="s">
        <v>13</v>
      </c>
      <c r="H16" s="14">
        <v>25141.86</v>
      </c>
      <c r="I16" s="9"/>
      <c r="J16" s="9"/>
      <c r="K16" s="9" t="s">
        <v>50</v>
      </c>
      <c r="L16" s="9" t="s">
        <v>49</v>
      </c>
      <c r="M16" s="9"/>
    </row>
    <row r="17" spans="1:13" ht="35.1" customHeight="1" x14ac:dyDescent="0.25">
      <c r="A17" s="9" t="s">
        <v>48</v>
      </c>
      <c r="B17" s="9" t="s">
        <v>33</v>
      </c>
      <c r="C17" s="9" t="s">
        <v>32</v>
      </c>
      <c r="D17" s="9" t="s">
        <v>47</v>
      </c>
      <c r="E17" s="9"/>
      <c r="F17" s="9" t="s">
        <v>18</v>
      </c>
      <c r="G17" s="9" t="s">
        <v>11</v>
      </c>
      <c r="H17" s="14">
        <v>43341.65</v>
      </c>
      <c r="I17" s="9" t="s">
        <v>46</v>
      </c>
      <c r="J17" s="9"/>
      <c r="K17" s="9" t="s">
        <v>45</v>
      </c>
      <c r="L17" s="9"/>
      <c r="M17" s="9"/>
    </row>
    <row r="18" spans="1:13" ht="35.1" customHeight="1" x14ac:dyDescent="0.25">
      <c r="A18" s="9" t="s">
        <v>44</v>
      </c>
      <c r="B18" s="9" t="s">
        <v>33</v>
      </c>
      <c r="C18" s="9" t="s">
        <v>38</v>
      </c>
      <c r="D18" s="9" t="s">
        <v>43</v>
      </c>
      <c r="E18" s="9"/>
      <c r="F18" s="9" t="s">
        <v>23</v>
      </c>
      <c r="G18" s="9" t="s">
        <v>13</v>
      </c>
      <c r="H18" s="14">
        <v>34566.129999999997</v>
      </c>
      <c r="I18" s="9" t="s">
        <v>42</v>
      </c>
      <c r="J18" s="9"/>
      <c r="K18" s="9" t="s">
        <v>41</v>
      </c>
      <c r="L18" s="9"/>
      <c r="M18" s="9"/>
    </row>
    <row r="19" spans="1:13" ht="35.1" customHeight="1" x14ac:dyDescent="0.25">
      <c r="A19" s="9" t="s">
        <v>40</v>
      </c>
      <c r="B19" s="9" t="s">
        <v>39</v>
      </c>
      <c r="C19" s="9" t="s">
        <v>38</v>
      </c>
      <c r="D19" s="9" t="s">
        <v>37</v>
      </c>
      <c r="E19" s="9"/>
      <c r="F19" s="9" t="s">
        <v>22</v>
      </c>
      <c r="G19" s="9" t="s">
        <v>11</v>
      </c>
      <c r="H19" s="14">
        <v>55686.81</v>
      </c>
      <c r="I19" s="9" t="s">
        <v>36</v>
      </c>
      <c r="J19" s="9"/>
      <c r="K19" s="9" t="s">
        <v>35</v>
      </c>
      <c r="L19" s="9"/>
      <c r="M19" s="9"/>
    </row>
    <row r="20" spans="1:13" ht="35.1" customHeight="1" x14ac:dyDescent="0.25">
      <c r="A20" s="9" t="s">
        <v>34</v>
      </c>
      <c r="B20" s="9" t="s">
        <v>33</v>
      </c>
      <c r="C20" s="9" t="s">
        <v>32</v>
      </c>
      <c r="D20" s="9" t="s">
        <v>31</v>
      </c>
      <c r="E20" s="9" t="s">
        <v>30</v>
      </c>
      <c r="F20" s="9" t="s">
        <v>18</v>
      </c>
      <c r="G20" s="9" t="s">
        <v>13</v>
      </c>
      <c r="H20" s="14">
        <v>32425.14</v>
      </c>
      <c r="I20" s="9" t="s">
        <v>29</v>
      </c>
      <c r="J20" s="9"/>
      <c r="K20" s="9" t="s">
        <v>28</v>
      </c>
      <c r="L20" s="9" t="s">
        <v>27</v>
      </c>
      <c r="M20" s="9"/>
    </row>
    <row r="21" spans="1:13" ht="35.1" customHeight="1" x14ac:dyDescent="0.25">
      <c r="A21" s="15"/>
      <c r="B21" s="15"/>
      <c r="C21" s="15"/>
      <c r="D21" s="15" t="s">
        <v>26</v>
      </c>
      <c r="E21" s="15"/>
      <c r="F21" s="15"/>
      <c r="G21" s="15"/>
      <c r="H21" s="16">
        <f>SUM(H4:H20)</f>
        <v>533318.21</v>
      </c>
      <c r="I21" s="15"/>
      <c r="J21" s="15"/>
      <c r="K21" s="15"/>
      <c r="L21" s="15"/>
      <c r="M21" s="9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2BCC-C1DA-464A-9EBA-DEBAA1C85929}">
  <sheetPr>
    <pageSetUpPr fitToPage="1"/>
  </sheetPr>
  <dimension ref="A1:E22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" style="8" bestFit="1" customWidth="1"/>
    <col min="4" max="4" width="39.7109375" style="8" bestFit="1" customWidth="1"/>
    <col min="5" max="5" width="27.855468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45884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120</v>
      </c>
      <c r="E2" s="12"/>
    </row>
    <row r="3" spans="1:5" x14ac:dyDescent="0.25">
      <c r="A3" s="9" t="s">
        <v>115</v>
      </c>
      <c r="B3" s="9" t="s">
        <v>113</v>
      </c>
      <c r="C3" s="9" t="s">
        <v>112</v>
      </c>
      <c r="D3" s="9" t="s">
        <v>111</v>
      </c>
      <c r="E3" s="9" t="s">
        <v>4</v>
      </c>
    </row>
    <row r="4" spans="1:5" x14ac:dyDescent="0.25">
      <c r="A4" s="9" t="s">
        <v>119</v>
      </c>
      <c r="B4" s="9" t="s">
        <v>32</v>
      </c>
      <c r="C4" s="9" t="s">
        <v>101</v>
      </c>
      <c r="D4" s="9"/>
      <c r="E4" s="9" t="s">
        <v>18</v>
      </c>
    </row>
    <row r="5" spans="1:5" x14ac:dyDescent="0.25">
      <c r="A5" s="9" t="s">
        <v>94</v>
      </c>
      <c r="B5" s="9" t="s">
        <v>32</v>
      </c>
      <c r="C5" s="9" t="s">
        <v>93</v>
      </c>
      <c r="D5" s="9"/>
      <c r="E5" s="9" t="s">
        <v>14</v>
      </c>
    </row>
    <row r="6" spans="1:5" x14ac:dyDescent="0.25">
      <c r="A6" s="9" t="s">
        <v>64</v>
      </c>
      <c r="B6" s="9" t="s">
        <v>32</v>
      </c>
      <c r="C6" s="9" t="s">
        <v>63</v>
      </c>
      <c r="D6" s="9"/>
      <c r="E6" s="9" t="s">
        <v>21</v>
      </c>
    </row>
    <row r="7" spans="1:5" x14ac:dyDescent="0.25">
      <c r="A7" s="9" t="s">
        <v>61</v>
      </c>
      <c r="B7" s="9" t="s">
        <v>32</v>
      </c>
      <c r="C7" s="9" t="s">
        <v>60</v>
      </c>
      <c r="D7" s="9"/>
      <c r="E7" s="9" t="s">
        <v>15</v>
      </c>
    </row>
    <row r="8" spans="1:5" x14ac:dyDescent="0.25">
      <c r="A8" s="9" t="s">
        <v>57</v>
      </c>
      <c r="B8" s="9" t="s">
        <v>32</v>
      </c>
      <c r="C8" s="9" t="s">
        <v>56</v>
      </c>
      <c r="D8" s="9"/>
      <c r="E8" s="9" t="s">
        <v>18</v>
      </c>
    </row>
    <row r="9" spans="1:5" x14ac:dyDescent="0.25">
      <c r="A9" s="9" t="s">
        <v>53</v>
      </c>
      <c r="B9" s="9" t="s">
        <v>32</v>
      </c>
      <c r="C9" s="9" t="s">
        <v>52</v>
      </c>
      <c r="D9" s="9" t="s">
        <v>51</v>
      </c>
      <c r="E9" s="9" t="s">
        <v>18</v>
      </c>
    </row>
    <row r="10" spans="1:5" x14ac:dyDescent="0.25">
      <c r="A10" s="9" t="s">
        <v>48</v>
      </c>
      <c r="B10" s="9" t="s">
        <v>32</v>
      </c>
      <c r="C10" s="9" t="s">
        <v>47</v>
      </c>
      <c r="D10" s="9"/>
      <c r="E10" s="9" t="s">
        <v>18</v>
      </c>
    </row>
    <row r="11" spans="1:5" x14ac:dyDescent="0.25">
      <c r="A11" s="9" t="s">
        <v>34</v>
      </c>
      <c r="B11" s="9" t="s">
        <v>32</v>
      </c>
      <c r="C11" s="9" t="s">
        <v>31</v>
      </c>
      <c r="D11" s="9" t="s">
        <v>30</v>
      </c>
      <c r="E11" s="9" t="s">
        <v>18</v>
      </c>
    </row>
    <row r="12" spans="1:5" x14ac:dyDescent="0.25">
      <c r="A12" s="15"/>
      <c r="B12" s="15"/>
      <c r="C12" s="15" t="s">
        <v>121</v>
      </c>
      <c r="D12" s="15"/>
      <c r="E12" s="15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122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123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 t="s">
        <v>124</v>
      </c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</sheetData>
  <mergeCells count="2">
    <mergeCell ref="A2:C2"/>
    <mergeCell ref="D2:E2"/>
  </mergeCells>
  <pageMargins left="0.7" right="0.7" top="0.75" bottom="0.75" header="0.3" footer="0.3"/>
  <pageSetup scale="7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2025-08-15T18:25:22Z</cp:lastPrinted>
  <dcterms:created xsi:type="dcterms:W3CDTF">2025-08-15T18:16:07Z</dcterms:created>
  <dcterms:modified xsi:type="dcterms:W3CDTF">2025-08-15T18:36:53Z</dcterms:modified>
</cp:coreProperties>
</file>