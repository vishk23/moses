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7373A168-3538-4E0D-AE2D-8966E9FD5312}" xr6:coauthVersionLast="47" xr6:coauthVersionMax="47" xr10:uidLastSave="{00000000-0000-0000-0000-000000000000}"/>
  <bookViews>
    <workbookView xWindow="30630" yWindow="225" windowWidth="22245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21" i="2"/>
  <c r="F21" i="2"/>
  <c r="E21" i="2"/>
  <c r="D21" i="2"/>
  <c r="H13" i="1" l="1"/>
</calcChain>
</file>

<file path=xl/sharedStrings.xml><?xml version="1.0" encoding="utf-8"?>
<sst xmlns="http://schemas.openxmlformats.org/spreadsheetml/2006/main" count="144" uniqueCount="82">
  <si>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</si>
  <si>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</si>
  <si>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</si>
  <si>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</si>
  <si>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</si>
  <si>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</si>
  <si>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</si>
  <si>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</si>
  <si>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</si>
  <si>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</si>
  <si>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</si>
  <si>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</si>
  <si>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</si>
  <si>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</si>
  <si>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</si>
  <si>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151238675</t>
  </si>
  <si>
    <t>Route One</t>
  </si>
  <si>
    <t>Paper</t>
  </si>
  <si>
    <t>JENNINGS, CATHERINE</t>
  </si>
  <si>
    <t>Flood Mazda</t>
  </si>
  <si>
    <t>Rachel Gorham</t>
  </si>
  <si>
    <t>ALEXANDER</t>
  </si>
  <si>
    <t>DealerTrack</t>
  </si>
  <si>
    <t>E Contract</t>
  </si>
  <si>
    <t>RAINEY, JENNIFER</t>
  </si>
  <si>
    <t>Battles Nissan, LLC</t>
  </si>
  <si>
    <t>Marlene Braganca</t>
  </si>
  <si>
    <t>SYDENSTRICKERGLASS@GMAIL.COM</t>
  </si>
  <si>
    <t>VAUGHAN</t>
  </si>
  <si>
    <t>KAILHER, CHRISTOPHER</t>
  </si>
  <si>
    <t>Bourne Enterprises Inc</t>
  </si>
  <si>
    <t>KAILHERC@GMAIL.COM</t>
  </si>
  <si>
    <t>SACCO</t>
  </si>
  <si>
    <t>LUCIL, BRENDA</t>
  </si>
  <si>
    <t>Alden Mazda</t>
  </si>
  <si>
    <t>BLUCIL27@GMAIL.COM</t>
  </si>
  <si>
    <t>GRENIER</t>
  </si>
  <si>
    <t>MACCORMACK, AMY</t>
  </si>
  <si>
    <t>LULUQMAC@VERIZON.NET</t>
  </si>
  <si>
    <t>CAPELESS</t>
  </si>
  <si>
    <t>VINITSKY, JOHN</t>
  </si>
  <si>
    <t>Mastria Buick Pontiac</t>
  </si>
  <si>
    <t>johnvinitsky@gmail.com</t>
  </si>
  <si>
    <t>Sokolowski</t>
  </si>
  <si>
    <t>DEVINE, DAVID</t>
  </si>
  <si>
    <t>AutoMax Preowned(Framingham)</t>
  </si>
  <si>
    <t>ZIMERMAN</t>
  </si>
  <si>
    <t>151238782</t>
  </si>
  <si>
    <t>STEWART, RACHEL</t>
  </si>
  <si>
    <t>Bald Hill Dodge Chrysler</t>
  </si>
  <si>
    <t>rachel.stewart@att.net</t>
  </si>
  <si>
    <t>Claveau</t>
  </si>
  <si>
    <t>GREENWICH SAFETY, INC.</t>
  </si>
  <si>
    <t>151238815</t>
  </si>
  <si>
    <t>MACKINNON, MICHAEL</t>
  </si>
  <si>
    <t>MACKINNON, MARY ANNE</t>
  </si>
  <si>
    <t>T F Murphy Enterprises Inc</t>
  </si>
  <si>
    <t>MAMACKINNON19@GMAIL.COM</t>
  </si>
  <si>
    <t>POMELLA</t>
  </si>
  <si>
    <t>CLEARY</t>
  </si>
  <si>
    <t># 9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</si>
  <si>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</si>
  <si>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</si>
  <si>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</si>
  <si>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</si>
  <si>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</si>
  <si>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</si>
  <si>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</si>
  <si>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 AutoMax Preowned(Framingham)</t>
  </si>
  <si>
    <t>4453-2150</t>
  </si>
  <si>
    <t>151238683 E</t>
  </si>
  <si>
    <t>151238708 E</t>
  </si>
  <si>
    <t>151238716 E</t>
  </si>
  <si>
    <t>151238724 E</t>
  </si>
  <si>
    <t>151238740 E</t>
  </si>
  <si>
    <t>151238758 E</t>
  </si>
  <si>
    <t>Funding Worksheet - Signoff Version</t>
  </si>
  <si>
    <t># 3</t>
  </si>
  <si>
    <t>Original Notes Delivered</t>
  </si>
  <si>
    <t>Delivered by:</t>
  </si>
  <si>
    <t>Received by:</t>
  </si>
  <si>
    <t xml:space="preserve">Date Signed: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</si>
</sst>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0" fontId="4" fillId="0" borderId="0" xfId="0" applyFont="1" applyAlignment="1">
      <alignment horizontal="center"/>
    </xf>
    <xf numFmtId="7" fontId="3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14" fontId="1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3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71765-3F5F-4A93-B849-C794AA2AC215}" name="Table_14" displayName="Table_14" ref="A3:H21" headerRowDxfId="26" dataDxfId="24" totalsRowDxfId="25">
  <sortState xmlns:xlrd2="http://schemas.microsoft.com/office/spreadsheetml/2017/richdata2" ref="A4:H21">
    <sortCondition ref="A4:A21"/>
  </sortState>
  <tableColumns count="8">
    <tableColumn id="1" xr3:uid="{20A4B978-FEF1-4BFF-AFB0-518F46F284DF}" name="Dealer Name" dataDxfId="34"/>
    <tableColumn id="8" xr3:uid="{602E79A6-602E-4E96-ABE2-F3B67990BB85}" name="Column2" dataDxfId="33"/>
    <tableColumn id="2" xr3:uid="{84071A00-50A7-4421-AD84-FD4CEC2F80B6}" name="Funded by" dataDxfId="32"/>
    <tableColumn id="3" xr3:uid="{6040454B-EF78-4859-98B7-F5519815C99E}" name="Dealer Flat" dataDxfId="31"/>
    <tableColumn id="4" xr3:uid="{AB554907-EEDF-4D2F-B08C-CED991979B80}" name="Dealer Split" dataDxfId="30"/>
    <tableColumn id="5" xr3:uid="{362DA23E-9173-496D-9CF0-10B4FDA0873C}" name="Net to Dealer" dataDxfId="29"/>
    <tableColumn id="7" xr3:uid="{F2B5A87A-15E4-494E-BE0B-533E3FEE82B8}" name="Column1" dataDxfId="28"/>
    <tableColumn id="6" xr3:uid="{44E95C91-07E4-457B-A399-E40FC0DD76A5}" name="Contracted Amount Financed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F9BE89-AF41-47B0-907D-DC150BC269E7}" name="Table_16" displayName="Table_16" ref="A3:E7" headerRowDxfId="2" dataDxfId="0" totalsRowDxfId="1">
  <tableColumns count="5">
    <tableColumn id="1" xr3:uid="{28D7B964-DCE1-4B61-A83A-474F7FD52BDE}" name="Account Number" dataDxfId="7"/>
    <tableColumn id="2" xr3:uid="{4E3B3847-1966-4E5D-8AAD-FB2C9AE09F18}" name="Contract Type" dataDxfId="6"/>
    <tableColumn id="3" xr3:uid="{A9FD80EF-B900-423F-B720-6C5943467386}" name="Applicant Name" dataDxfId="5"/>
    <tableColumn id="4" xr3:uid="{DD779764-3B42-47EA-A982-374B24B75F7A}" name="Co-Applicant Name" dataDxfId="4"/>
    <tableColumn id="5" xr3:uid="{EAAD9EC0-0218-491E-BB2A-87BEF4B55008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"/>
  <sheetViews>
    <sheetView tabSelected="1" workbookViewId="0">
      <pane ySplit="3" topLeftCell="A4" activePane="bottomLeft" state="frozen"/>
      <selection pane="bottomLeft" activeCell="F18" sqref="F18"/>
    </sheetView>
  </sheetViews>
  <sheetFormatPr defaultRowHeight="15.75" x14ac:dyDescent="0.25"/>
  <cols>
    <col min="1" max="1" width="13.7109375" style="1" customWidth="1"/>
    <col min="2" max="2" width="12.140625" style="1" bestFit="1" customWidth="1"/>
    <col min="3" max="3" width="14" style="1" bestFit="1" customWidth="1"/>
    <col min="4" max="4" width="23.140625" style="1" bestFit="1" customWidth="1"/>
    <col min="5" max="5" width="24.5703125" style="1" bestFit="1" customWidth="1"/>
    <col min="6" max="6" width="27.85546875" style="1" customWidth="1"/>
    <col min="7" max="7" width="17.7109375" style="1" bestFit="1" customWidth="1"/>
    <col min="8" max="8" width="17.140625" style="1" bestFit="1" customWidth="1"/>
    <col min="9" max="9" width="29.140625" style="1" customWidth="1"/>
    <col min="10" max="10" width="30.140625" style="1" bestFit="1" customWidth="1"/>
    <col min="11" max="11" width="17.140625" style="1" bestFit="1" customWidth="1"/>
    <col min="12" max="12" width="12.85546875" style="1" bestFit="1" customWidth="1"/>
    <col min="13" max="13" width="24.85546875" style="1" hidden="1" customWidth="1"/>
    <col min="14" max="16384" width="9.140625" style="1"/>
  </cols>
  <sheetData>
    <row r="1" spans="1:13" x14ac:dyDescent="0.25">
      <c r="K1" s="11"/>
      <c r="L1" s="12"/>
      <c r="M1" s="2">
        <v>45952.999988425923</v>
      </c>
    </row>
    <row r="2" spans="1:13" x14ac:dyDescent="0.25">
      <c r="A2" s="3" t="s">
        <v>0</v>
      </c>
      <c r="B2" s="4"/>
      <c r="C2" s="4"/>
      <c r="D2" s="4"/>
      <c r="E2" s="4"/>
      <c r="F2" s="4"/>
      <c r="G2" s="5" t="s">
        <v>1</v>
      </c>
      <c r="H2" s="4"/>
      <c r="I2" s="4"/>
      <c r="J2" s="4"/>
      <c r="K2" s="4"/>
      <c r="L2" s="4"/>
      <c r="M2" s="4"/>
    </row>
    <row r="3" spans="1:13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30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F4" s="1" t="s">
        <v>19</v>
      </c>
      <c r="G4" s="1" t="s">
        <v>20</v>
      </c>
      <c r="H4" s="6">
        <v>17999.830000000002</v>
      </c>
      <c r="K4" s="1" t="s">
        <v>21</v>
      </c>
    </row>
    <row r="5" spans="1:13" ht="30" customHeight="1" x14ac:dyDescent="0.25">
      <c r="A5" s="1" t="s">
        <v>70</v>
      </c>
      <c r="B5" s="1" t="s">
        <v>22</v>
      </c>
      <c r="C5" s="1" t="s">
        <v>23</v>
      </c>
      <c r="D5" s="1" t="s">
        <v>24</v>
      </c>
      <c r="F5" s="1" t="s">
        <v>25</v>
      </c>
      <c r="G5" s="1" t="s">
        <v>26</v>
      </c>
      <c r="H5" s="6">
        <v>22663.88</v>
      </c>
      <c r="I5" s="1" t="s">
        <v>27</v>
      </c>
      <c r="K5" s="1" t="s">
        <v>28</v>
      </c>
    </row>
    <row r="6" spans="1:13" ht="30" customHeight="1" x14ac:dyDescent="0.25">
      <c r="A6" s="1" t="s">
        <v>71</v>
      </c>
      <c r="B6" s="1" t="s">
        <v>22</v>
      </c>
      <c r="C6" s="1" t="s">
        <v>23</v>
      </c>
      <c r="D6" s="1" t="s">
        <v>29</v>
      </c>
      <c r="F6" s="1" t="s">
        <v>30</v>
      </c>
      <c r="G6" s="1" t="s">
        <v>26</v>
      </c>
      <c r="H6" s="6">
        <v>24265.68</v>
      </c>
      <c r="I6" s="1" t="s">
        <v>31</v>
      </c>
      <c r="K6" s="1" t="s">
        <v>32</v>
      </c>
    </row>
    <row r="7" spans="1:13" ht="30" customHeight="1" x14ac:dyDescent="0.25">
      <c r="A7" s="1" t="s">
        <v>72</v>
      </c>
      <c r="B7" s="1" t="s">
        <v>16</v>
      </c>
      <c r="C7" s="1" t="s">
        <v>23</v>
      </c>
      <c r="D7" s="1" t="s">
        <v>33</v>
      </c>
      <c r="F7" s="1" t="s">
        <v>34</v>
      </c>
      <c r="G7" s="1" t="s">
        <v>26</v>
      </c>
      <c r="H7" s="6">
        <v>28211.439999999999</v>
      </c>
      <c r="I7" s="1" t="s">
        <v>35</v>
      </c>
      <c r="K7" s="1" t="s">
        <v>36</v>
      </c>
    </row>
    <row r="8" spans="1:13" ht="30" customHeight="1" x14ac:dyDescent="0.25">
      <c r="A8" s="1" t="s">
        <v>73</v>
      </c>
      <c r="B8" s="1" t="s">
        <v>22</v>
      </c>
      <c r="C8" s="1" t="s">
        <v>23</v>
      </c>
      <c r="D8" s="1" t="s">
        <v>37</v>
      </c>
      <c r="F8" s="1" t="s">
        <v>30</v>
      </c>
      <c r="G8" s="1" t="s">
        <v>26</v>
      </c>
      <c r="H8" s="6">
        <v>25758.880000000001</v>
      </c>
      <c r="I8" s="1" t="s">
        <v>38</v>
      </c>
      <c r="K8" s="1" t="s">
        <v>39</v>
      </c>
    </row>
    <row r="9" spans="1:13" ht="30" customHeight="1" x14ac:dyDescent="0.25">
      <c r="A9" s="1" t="s">
        <v>74</v>
      </c>
      <c r="B9" s="1" t="s">
        <v>16</v>
      </c>
      <c r="C9" s="1" t="s">
        <v>23</v>
      </c>
      <c r="D9" s="1" t="s">
        <v>40</v>
      </c>
      <c r="F9" s="1" t="s">
        <v>41</v>
      </c>
      <c r="G9" s="1" t="s">
        <v>26</v>
      </c>
      <c r="H9" s="6">
        <v>52333.48</v>
      </c>
      <c r="I9" s="1" t="s">
        <v>42</v>
      </c>
      <c r="K9" s="1" t="s">
        <v>43</v>
      </c>
    </row>
    <row r="10" spans="1:13" ht="30" customHeight="1" x14ac:dyDescent="0.25">
      <c r="A10" s="1" t="s">
        <v>75</v>
      </c>
      <c r="B10" s="1" t="s">
        <v>22</v>
      </c>
      <c r="C10" s="1" t="s">
        <v>23</v>
      </c>
      <c r="D10" s="1" t="s">
        <v>44</v>
      </c>
      <c r="F10" s="1" t="s">
        <v>45</v>
      </c>
      <c r="G10" s="1" t="s">
        <v>20</v>
      </c>
      <c r="H10" s="6">
        <v>38377.19</v>
      </c>
      <c r="K10" s="1" t="s">
        <v>46</v>
      </c>
    </row>
    <row r="11" spans="1:13" ht="30" customHeight="1" x14ac:dyDescent="0.25">
      <c r="A11" s="1" t="s">
        <v>47</v>
      </c>
      <c r="B11" s="1" t="s">
        <v>16</v>
      </c>
      <c r="C11" s="1" t="s">
        <v>17</v>
      </c>
      <c r="D11" s="1" t="s">
        <v>48</v>
      </c>
      <c r="E11" s="1" t="s">
        <v>52</v>
      </c>
      <c r="F11" s="1" t="s">
        <v>49</v>
      </c>
      <c r="G11" s="1" t="s">
        <v>26</v>
      </c>
      <c r="H11" s="6">
        <v>38015.75</v>
      </c>
      <c r="I11" s="1" t="s">
        <v>50</v>
      </c>
      <c r="K11" s="1" t="s">
        <v>51</v>
      </c>
    </row>
    <row r="12" spans="1:13" ht="30" customHeight="1" x14ac:dyDescent="0.25">
      <c r="A12" s="1" t="s">
        <v>53</v>
      </c>
      <c r="B12" s="1" t="s">
        <v>16</v>
      </c>
      <c r="C12" s="1" t="s">
        <v>17</v>
      </c>
      <c r="D12" s="1" t="s">
        <v>54</v>
      </c>
      <c r="E12" s="1" t="s">
        <v>55</v>
      </c>
      <c r="F12" s="1" t="s">
        <v>56</v>
      </c>
      <c r="G12" s="1" t="s">
        <v>20</v>
      </c>
      <c r="H12" s="6">
        <v>38817.19</v>
      </c>
      <c r="J12" s="1" t="s">
        <v>57</v>
      </c>
      <c r="K12" s="1" t="s">
        <v>58</v>
      </c>
      <c r="L12" s="1" t="s">
        <v>59</v>
      </c>
    </row>
    <row r="13" spans="1:13" x14ac:dyDescent="0.25">
      <c r="A13" s="7"/>
      <c r="B13" s="7"/>
      <c r="C13" s="7"/>
      <c r="D13" s="7" t="s">
        <v>60</v>
      </c>
      <c r="E13" s="7"/>
      <c r="F13" s="7"/>
      <c r="G13" s="7"/>
      <c r="H13" s="8">
        <f>SUM(H4:H12)</f>
        <v>286443.32</v>
      </c>
      <c r="I13" s="7"/>
      <c r="J13" s="7"/>
      <c r="K13" s="7"/>
      <c r="L13" s="7"/>
      <c r="M13" s="7"/>
    </row>
  </sheetData>
  <mergeCells count="3">
    <mergeCell ref="A2:F2"/>
    <mergeCell ref="G2:M2"/>
    <mergeCell ref="K1:L1"/>
  </mergeCells>
  <pageMargins left="0.7" right="0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C596-5A2D-4F08-ADAB-665F66456379}">
  <sheetPr>
    <pageSetUpPr fitToPage="1"/>
  </sheetPr>
  <dimension ref="A1:H21"/>
  <sheetViews>
    <sheetView workbookViewId="0">
      <selection activeCell="J11" sqref="J11"/>
    </sheetView>
  </sheetViews>
  <sheetFormatPr defaultRowHeight="15.75" x14ac:dyDescent="0.25"/>
  <cols>
    <col min="1" max="1" width="22.7109375" style="1" customWidth="1"/>
    <col min="2" max="2" width="15" style="1" customWidth="1"/>
    <col min="3" max="3" width="17.85546875" style="1" customWidth="1"/>
    <col min="4" max="4" width="12.5703125" style="1" customWidth="1"/>
    <col min="5" max="5" width="10.5703125" style="1" customWidth="1"/>
    <col min="6" max="6" width="15.85546875" style="1" customWidth="1"/>
    <col min="7" max="7" width="16" style="1" customWidth="1"/>
    <col min="8" max="8" width="18.85546875" style="1" customWidth="1"/>
    <col min="9" max="16384" width="9.140625" style="1"/>
  </cols>
  <sheetData>
    <row r="1" spans="1:8" x14ac:dyDescent="0.25">
      <c r="E1" s="2"/>
      <c r="H1" s="2">
        <v>45952.999988425923</v>
      </c>
    </row>
    <row r="2" spans="1:8" x14ac:dyDescent="0.25">
      <c r="A2" s="3" t="s">
        <v>0</v>
      </c>
      <c r="B2" s="3"/>
      <c r="C2" s="4"/>
      <c r="D2" s="4"/>
      <c r="E2" s="5" t="s">
        <v>61</v>
      </c>
      <c r="F2" s="4"/>
      <c r="G2" s="4"/>
      <c r="H2" s="4"/>
    </row>
    <row r="3" spans="1:8" x14ac:dyDescent="0.25">
      <c r="A3" s="1" t="s">
        <v>7</v>
      </c>
      <c r="B3" s="1" t="s">
        <v>67</v>
      </c>
      <c r="C3" s="1" t="s">
        <v>8</v>
      </c>
      <c r="D3" s="1" t="s">
        <v>62</v>
      </c>
      <c r="E3" s="1" t="s">
        <v>63</v>
      </c>
      <c r="F3" s="1" t="s">
        <v>64</v>
      </c>
      <c r="G3" s="1" t="s">
        <v>66</v>
      </c>
      <c r="H3" s="1" t="s">
        <v>65</v>
      </c>
    </row>
    <row r="4" spans="1:8" ht="27" customHeight="1" x14ac:dyDescent="0.25">
      <c r="A4" s="1" t="s">
        <v>34</v>
      </c>
      <c r="C4" s="1" t="s">
        <v>26</v>
      </c>
      <c r="D4" s="6">
        <v>750</v>
      </c>
      <c r="E4" s="6">
        <v>0</v>
      </c>
      <c r="F4" s="10">
        <v>28136.44</v>
      </c>
      <c r="G4" s="6"/>
      <c r="H4" s="6">
        <v>28211.439999999999</v>
      </c>
    </row>
    <row r="5" spans="1:8" ht="27" customHeight="1" x14ac:dyDescent="0.25">
      <c r="D5" s="6"/>
      <c r="E5" s="6"/>
      <c r="F5" s="10"/>
      <c r="G5" s="6"/>
      <c r="H5" s="6"/>
    </row>
    <row r="6" spans="1:8" ht="27" customHeight="1" x14ac:dyDescent="0.25">
      <c r="A6" s="1" t="s">
        <v>49</v>
      </c>
      <c r="C6" s="1" t="s">
        <v>26</v>
      </c>
      <c r="D6" s="6">
        <v>950</v>
      </c>
      <c r="E6" s="6">
        <v>0</v>
      </c>
      <c r="F6" s="10">
        <v>37940.75</v>
      </c>
      <c r="G6" s="6"/>
      <c r="H6" s="6">
        <v>38015.75</v>
      </c>
    </row>
    <row r="7" spans="1:8" ht="27" customHeight="1" x14ac:dyDescent="0.25">
      <c r="D7" s="6"/>
      <c r="E7" s="6"/>
      <c r="F7" s="10"/>
      <c r="G7" s="6"/>
      <c r="H7" s="6"/>
    </row>
    <row r="8" spans="1:8" ht="27" customHeight="1" x14ac:dyDescent="0.25">
      <c r="A8" s="1" t="s">
        <v>25</v>
      </c>
      <c r="C8" s="1" t="s">
        <v>26</v>
      </c>
      <c r="D8" s="6">
        <v>650</v>
      </c>
      <c r="E8" s="6">
        <v>0</v>
      </c>
      <c r="F8" s="10">
        <v>22588.880000000001</v>
      </c>
      <c r="G8" s="6"/>
      <c r="H8" s="6">
        <v>22663.88</v>
      </c>
    </row>
    <row r="9" spans="1:8" ht="27" customHeight="1" x14ac:dyDescent="0.25">
      <c r="D9" s="6"/>
      <c r="E9" s="6"/>
      <c r="F9" s="6"/>
      <c r="G9" s="6"/>
      <c r="H9" s="6"/>
    </row>
    <row r="10" spans="1:8" ht="27" customHeight="1" x14ac:dyDescent="0.25">
      <c r="A10" s="1" t="s">
        <v>30</v>
      </c>
      <c r="C10" s="1" t="s">
        <v>26</v>
      </c>
      <c r="D10" s="6">
        <v>750</v>
      </c>
      <c r="E10" s="6">
        <v>0</v>
      </c>
      <c r="F10" s="6">
        <v>25683.88</v>
      </c>
      <c r="G10" s="6"/>
      <c r="H10" s="6">
        <v>25758.880000000001</v>
      </c>
    </row>
    <row r="11" spans="1:8" ht="27" customHeight="1" x14ac:dyDescent="0.25">
      <c r="A11" s="1" t="s">
        <v>30</v>
      </c>
      <c r="C11" s="1" t="s">
        <v>26</v>
      </c>
      <c r="D11" s="6">
        <v>650</v>
      </c>
      <c r="E11" s="6">
        <v>0</v>
      </c>
      <c r="F11" s="6">
        <v>24190.68</v>
      </c>
      <c r="G11" s="10">
        <f>SUM(F10:F11)</f>
        <v>49874.559999999998</v>
      </c>
      <c r="H11" s="6">
        <v>24265.68</v>
      </c>
    </row>
    <row r="12" spans="1:8" ht="27" customHeight="1" x14ac:dyDescent="0.25">
      <c r="D12" s="6"/>
      <c r="E12" s="6"/>
      <c r="F12" s="6"/>
      <c r="G12" s="6"/>
      <c r="H12" s="6"/>
    </row>
    <row r="13" spans="1:8" ht="27" customHeight="1" x14ac:dyDescent="0.25">
      <c r="A13" s="1" t="s">
        <v>19</v>
      </c>
      <c r="C13" s="1" t="s">
        <v>20</v>
      </c>
      <c r="D13" s="6">
        <v>500</v>
      </c>
      <c r="E13" s="6">
        <v>0</v>
      </c>
      <c r="F13" s="10">
        <v>17924.830000000002</v>
      </c>
      <c r="G13" s="6"/>
      <c r="H13" s="6">
        <v>17999.830000000002</v>
      </c>
    </row>
    <row r="14" spans="1:8" ht="27" customHeight="1" x14ac:dyDescent="0.25">
      <c r="D14" s="6"/>
      <c r="E14" s="6"/>
      <c r="F14" s="10"/>
      <c r="G14" s="6"/>
      <c r="H14" s="6"/>
    </row>
    <row r="15" spans="1:8" ht="27" customHeight="1" x14ac:dyDescent="0.25">
      <c r="A15" s="1" t="s">
        <v>41</v>
      </c>
      <c r="B15" s="9" t="s">
        <v>69</v>
      </c>
      <c r="C15" s="1" t="s">
        <v>26</v>
      </c>
      <c r="D15" s="6">
        <v>1350</v>
      </c>
      <c r="E15" s="6">
        <v>0</v>
      </c>
      <c r="F15" s="10">
        <v>52258.48</v>
      </c>
      <c r="G15" s="6"/>
      <c r="H15" s="6">
        <v>52333.48</v>
      </c>
    </row>
    <row r="16" spans="1:8" ht="27" customHeight="1" x14ac:dyDescent="0.25">
      <c r="D16" s="6"/>
      <c r="E16" s="6"/>
      <c r="F16" s="10"/>
      <c r="G16" s="6"/>
      <c r="H16" s="6"/>
    </row>
    <row r="17" spans="1:8" ht="27" customHeight="1" x14ac:dyDescent="0.25">
      <c r="A17" s="1" t="s">
        <v>68</v>
      </c>
      <c r="C17" s="1" t="s">
        <v>20</v>
      </c>
      <c r="D17" s="6">
        <v>950</v>
      </c>
      <c r="E17" s="6">
        <v>0</v>
      </c>
      <c r="F17" s="10">
        <v>38302.19</v>
      </c>
      <c r="G17" s="6"/>
      <c r="H17" s="6">
        <v>38377.19</v>
      </c>
    </row>
    <row r="18" spans="1:8" ht="27" customHeight="1" x14ac:dyDescent="0.25">
      <c r="D18" s="6"/>
      <c r="E18" s="6"/>
      <c r="F18" s="10"/>
      <c r="G18" s="6"/>
      <c r="H18" s="6"/>
    </row>
    <row r="19" spans="1:8" ht="27" customHeight="1" x14ac:dyDescent="0.25">
      <c r="A19" s="1" t="s">
        <v>56</v>
      </c>
      <c r="C19" s="1" t="s">
        <v>20</v>
      </c>
      <c r="D19" s="6">
        <v>950</v>
      </c>
      <c r="E19" s="6">
        <v>0</v>
      </c>
      <c r="F19" s="10">
        <v>38742.19</v>
      </c>
      <c r="G19" s="6"/>
      <c r="H19" s="6">
        <v>38817.19</v>
      </c>
    </row>
    <row r="20" spans="1:8" x14ac:dyDescent="0.25">
      <c r="D20" s="6"/>
      <c r="E20" s="6"/>
      <c r="F20" s="6"/>
      <c r="G20" s="6"/>
      <c r="H20" s="6"/>
    </row>
    <row r="21" spans="1:8" x14ac:dyDescent="0.25">
      <c r="A21" s="7"/>
      <c r="B21" s="7"/>
      <c r="C21" s="7"/>
      <c r="D21" s="8">
        <f>SUM(D4:D19)</f>
        <v>7500</v>
      </c>
      <c r="E21" s="8">
        <f>SUM(E4:E19)</f>
        <v>0</v>
      </c>
      <c r="F21" s="8">
        <f>SUM(F4:F19)</f>
        <v>285768.32000000007</v>
      </c>
      <c r="G21" s="8"/>
      <c r="H21" s="8">
        <f>SUM(H4:H19)</f>
        <v>286443.32000000007</v>
      </c>
    </row>
  </sheetData>
  <mergeCells count="2">
    <mergeCell ref="A2:D2"/>
    <mergeCell ref="E2:H2"/>
  </mergeCells>
  <pageMargins left="0.7" right="0.7" top="0.75" bottom="0.75" header="0.3" footer="0.3"/>
  <pageSetup scale="8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32B5-669E-4235-8D77-B6C67529942C}">
  <sheetPr>
    <pageSetUpPr fitToPage="1"/>
  </sheetPr>
  <dimension ref="A1:E22"/>
  <sheetViews>
    <sheetView workbookViewId="0">
      <selection activeCell="E13" sqref="E13"/>
    </sheetView>
  </sheetViews>
  <sheetFormatPr defaultRowHeight="15.75" x14ac:dyDescent="0.25"/>
  <cols>
    <col min="1" max="1" width="13.140625" style="1" customWidth="1"/>
    <col min="2" max="2" width="13.5703125" style="1" customWidth="1"/>
    <col min="3" max="3" width="19" style="1" customWidth="1"/>
    <col min="4" max="4" width="13.5703125" style="1" customWidth="1"/>
    <col min="5" max="5" width="30" style="1" customWidth="1"/>
    <col min="6" max="16384" width="9.140625" style="1"/>
  </cols>
  <sheetData>
    <row r="1" spans="1:5" ht="24.95" customHeight="1" x14ac:dyDescent="0.25">
      <c r="A1" s="1" t="s">
        <v>78</v>
      </c>
      <c r="D1" s="2"/>
      <c r="E1" s="13">
        <v>45952</v>
      </c>
    </row>
    <row r="2" spans="1:5" ht="24.95" customHeight="1" x14ac:dyDescent="0.25">
      <c r="A2" s="3" t="s">
        <v>0</v>
      </c>
      <c r="B2" s="4"/>
      <c r="C2" s="4"/>
      <c r="D2" s="5" t="s">
        <v>76</v>
      </c>
      <c r="E2" s="4"/>
    </row>
    <row r="3" spans="1:5" ht="24.95" customHeight="1" x14ac:dyDescent="0.25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ht="24.95" customHeight="1" x14ac:dyDescent="0.25">
      <c r="A4" s="1" t="s">
        <v>15</v>
      </c>
      <c r="B4" s="1" t="s">
        <v>17</v>
      </c>
      <c r="C4" s="1" t="s">
        <v>18</v>
      </c>
      <c r="E4" s="1" t="s">
        <v>19</v>
      </c>
    </row>
    <row r="5" spans="1:5" ht="24.95" customHeight="1" x14ac:dyDescent="0.25">
      <c r="A5" s="1" t="s">
        <v>47</v>
      </c>
      <c r="B5" s="1" t="s">
        <v>17</v>
      </c>
      <c r="C5" s="1" t="s">
        <v>48</v>
      </c>
      <c r="D5" s="1" t="s">
        <v>52</v>
      </c>
      <c r="E5" s="1" t="s">
        <v>49</v>
      </c>
    </row>
    <row r="6" spans="1:5" ht="24.95" customHeight="1" x14ac:dyDescent="0.25">
      <c r="A6" s="1" t="s">
        <v>53</v>
      </c>
      <c r="B6" s="1" t="s">
        <v>17</v>
      </c>
      <c r="C6" s="1" t="s">
        <v>54</v>
      </c>
      <c r="D6" s="1" t="s">
        <v>55</v>
      </c>
      <c r="E6" s="1" t="s">
        <v>56</v>
      </c>
    </row>
    <row r="7" spans="1:5" ht="24.95" customHeight="1" x14ac:dyDescent="0.25">
      <c r="A7" s="7"/>
      <c r="B7" s="7"/>
      <c r="C7" s="7" t="s">
        <v>77</v>
      </c>
      <c r="D7" s="7"/>
      <c r="E7" s="7"/>
    </row>
    <row r="12" spans="1:5" x14ac:dyDescent="0.25">
      <c r="A12" s="1" t="s">
        <v>79</v>
      </c>
      <c r="B12" s="14"/>
      <c r="C12" s="14"/>
      <c r="D12" s="14"/>
    </row>
    <row r="17" spans="1:4" x14ac:dyDescent="0.25">
      <c r="A17" s="1" t="s">
        <v>80</v>
      </c>
      <c r="B17" s="14"/>
      <c r="C17" s="14"/>
      <c r="D17" s="14"/>
    </row>
    <row r="22" spans="1:4" x14ac:dyDescent="0.25">
      <c r="A22" s="1" t="s">
        <v>81</v>
      </c>
      <c r="B22" s="14"/>
      <c r="C22" s="14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2025-10-22T18:33:33Z</cp:lastPrinted>
  <dcterms:created xsi:type="dcterms:W3CDTF">2025-10-22T18:15:51Z</dcterms:created>
  <dcterms:modified xsi:type="dcterms:W3CDTF">2025-10-22T19:23:38Z</dcterms:modified>
</cp:coreProperties>
</file>