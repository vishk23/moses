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459E6A3-0347-4A69-B892-0133EFC9CE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F16" i="1"/>
  <c r="F5" i="1"/>
  <c r="H19" i="1"/>
  <c r="E19" i="1"/>
  <c r="D19" i="1"/>
  <c r="C19" i="1"/>
</calcChain>
</file>

<file path=xl/sharedStrings.xml><?xml version="1.0" encoding="utf-8"?>
<sst xmlns="http://schemas.openxmlformats.org/spreadsheetml/2006/main" count="148" uniqueCount="78">
  <si>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</si>
  <si>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</si>
  <si>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</si>
  <si>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</si>
  <si>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</si>
  <si>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</si>
  <si>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</si>
  <si>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</si>
  <si>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</si>
  <si>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</si>
  <si>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Bourne Enterprises Inc</t>
  </si>
  <si>
    <t>Rachel Gorham</t>
  </si>
  <si>
    <t>Coastal Volkswagon</t>
  </si>
  <si>
    <t>Lucchettis Service Center Inc</t>
  </si>
  <si>
    <t>Neli Oliveira</t>
  </si>
  <si>
    <t>Mathieu Ford Sales, Inc</t>
  </si>
  <si>
    <t>Metro Honda</t>
  </si>
  <si>
    <t>Patriot Auto Group Inc d/b/a</t>
  </si>
  <si>
    <t>Planet Automotive Sales LLC</t>
  </si>
  <si>
    <t>Column1</t>
  </si>
  <si>
    <t>Column2</t>
  </si>
  <si>
    <t># 9</t>
  </si>
  <si>
    <t>CARROLL</t>
  </si>
  <si>
    <t>CJS29262@VERIZON.NET</t>
  </si>
  <si>
    <t>SOUZA, CHRISTOPHER</t>
  </si>
  <si>
    <t>Paper</t>
  </si>
  <si>
    <t>DealerTrack</t>
  </si>
  <si>
    <t>151139394</t>
  </si>
  <si>
    <t>MARINO</t>
  </si>
  <si>
    <t>MBACHARZ@HOTMAIL.COM</t>
  </si>
  <si>
    <t>BACHARZ, MICHAEL</t>
  </si>
  <si>
    <t>E Contract</t>
  </si>
  <si>
    <t>Route One</t>
  </si>
  <si>
    <t>151139344e</t>
  </si>
  <si>
    <t>IZZO</t>
  </si>
  <si>
    <t>mara.glatzel@gmail.com</t>
  </si>
  <si>
    <t>GLATZEL, MARA</t>
  </si>
  <si>
    <t>151139245e</t>
  </si>
  <si>
    <t>KOPITSKY</t>
  </si>
  <si>
    <t>PEARCEJ123@GMAIL.COM</t>
  </si>
  <si>
    <t>PEARCE, JOSEPH</t>
  </si>
  <si>
    <t>151139196</t>
  </si>
  <si>
    <t>JASBIR KAUR SETHI</t>
  </si>
  <si>
    <t>NIDAHUSSAIN@OUTLOOK.COM</t>
  </si>
  <si>
    <t>HUSSAIN, NIDA</t>
  </si>
  <si>
    <t>151139146</t>
  </si>
  <si>
    <t>GORMAN</t>
  </si>
  <si>
    <t>REILLY, JOHN</t>
  </si>
  <si>
    <t>151139055e</t>
  </si>
  <si>
    <t>GIORGI</t>
  </si>
  <si>
    <t>DEANAA776@GMAIL.COM</t>
  </si>
  <si>
    <t>HENEBURY, DEANA</t>
  </si>
  <si>
    <t>151138990e</t>
  </si>
  <si>
    <t>BURKE</t>
  </si>
  <si>
    <t>CZORMAN212@YAHOO.COM</t>
  </si>
  <si>
    <t>RAULSTON, CHRISTA</t>
  </si>
  <si>
    <t>151138958</t>
  </si>
  <si>
    <t>RUSKAY</t>
  </si>
  <si>
    <t>JULIEMORSE17@GMAIL.COM</t>
  </si>
  <si>
    <t>MORSE, JULIE</t>
  </si>
  <si>
    <t>151138940e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</si>
  <si>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</si>
  <si>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</si>
  <si>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</si>
  <si>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</si>
  <si>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</si>
  <si>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</si>
  <si>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</si>
  <si>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</si>
  <si>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</si>
  <si>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</si>
  <si>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</si>
  <si>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</si>
  <si>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</t>
  </si>
  <si>
    <t>Received By_______________________________________________________________________</t>
  </si>
  <si>
    <t>Delivered By________________________________________________________________________</t>
  </si>
  <si>
    <t># 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</si>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</sst>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1C773F2F-BE91-4434-9667-4BA9FB912CFE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DCC69E9-EC42-4C76-9741-9B9E566FCF56}" name="Column1" dataDxfId="24"/>
    <tableColumn id="8" xr3:uid="{D946AF62-1C5C-457A-AB3E-5BE65D4DD130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4ABD9-E751-4990-998B-2E19027B78B0}" name="Table_13" displayName="Table_13" ref="A3:M13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28DB0-5DAA-4761-87E2-0B0A5A95E2BE}" name="Table_134" displayName="Table_13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3" topLeftCell="A4" activePane="bottomLeft" state="frozen"/>
      <selection pane="bottomLeft" activeCell="L26" sqref="L26"/>
    </sheetView>
  </sheetViews>
  <sheetFormatPr defaultRowHeight="15" x14ac:dyDescent="0.25"/>
  <cols>
    <col min="1" max="1" width="27.85546875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45674</v>
      </c>
      <c r="E1" t="s">
        <v>2</v>
      </c>
      <c r="H1" s="4">
        <v>45674.999988425923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x14ac:dyDescent="0.25">
      <c r="A4" t="s">
        <v>10</v>
      </c>
      <c r="B4" t="s">
        <v>11</v>
      </c>
      <c r="C4" s="2">
        <v>450</v>
      </c>
      <c r="D4" s="2">
        <v>0</v>
      </c>
      <c r="E4" s="2">
        <v>20874</v>
      </c>
      <c r="F4" s="2"/>
      <c r="G4" s="2"/>
      <c r="H4" s="2">
        <v>20949</v>
      </c>
    </row>
    <row r="5" spans="1:8" x14ac:dyDescent="0.25">
      <c r="A5" t="s">
        <v>10</v>
      </c>
      <c r="B5" t="s">
        <v>11</v>
      </c>
      <c r="C5" s="2">
        <v>450</v>
      </c>
      <c r="D5" s="2">
        <v>0</v>
      </c>
      <c r="E5" s="2">
        <v>22616.13</v>
      </c>
      <c r="F5" s="2">
        <f>SUM(E4:E5)</f>
        <v>43490.130000000005</v>
      </c>
      <c r="G5" s="2"/>
      <c r="H5" s="2">
        <v>22691.13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12</v>
      </c>
      <c r="B7" t="s">
        <v>11</v>
      </c>
      <c r="C7" s="2">
        <v>1000</v>
      </c>
      <c r="D7" s="2">
        <v>0</v>
      </c>
      <c r="E7" s="2">
        <v>53451.57</v>
      </c>
      <c r="F7" s="2"/>
      <c r="G7" s="2"/>
      <c r="H7" s="2">
        <v>53526.57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13</v>
      </c>
      <c r="B9" t="s">
        <v>14</v>
      </c>
      <c r="C9" s="2">
        <v>500</v>
      </c>
      <c r="D9" s="2">
        <v>0</v>
      </c>
      <c r="E9" s="2">
        <v>25288.31</v>
      </c>
      <c r="F9" s="2"/>
      <c r="G9" s="2"/>
      <c r="H9" s="2">
        <v>25363.31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14</v>
      </c>
      <c r="C11" s="2">
        <v>700</v>
      </c>
      <c r="D11" s="2">
        <v>0</v>
      </c>
      <c r="E11" s="2">
        <v>42426.69</v>
      </c>
      <c r="F11" s="2"/>
      <c r="G11" s="2"/>
      <c r="H11" s="2">
        <v>42501.69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14</v>
      </c>
      <c r="C13" s="2">
        <v>700</v>
      </c>
      <c r="D13" s="2">
        <v>0</v>
      </c>
      <c r="E13" s="2">
        <v>41012.910000000003</v>
      </c>
      <c r="F13" s="2"/>
      <c r="G13" s="2"/>
      <c r="H13" s="2">
        <v>41087.910000000003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500</v>
      </c>
      <c r="D15" s="2">
        <v>0</v>
      </c>
      <c r="E15" s="2">
        <v>28757.88</v>
      </c>
      <c r="F15" s="2"/>
      <c r="G15" s="2"/>
      <c r="H15" s="2">
        <v>28832.880000000001</v>
      </c>
    </row>
    <row r="16" spans="1:8" x14ac:dyDescent="0.25">
      <c r="A16" t="s">
        <v>17</v>
      </c>
      <c r="B16" t="s">
        <v>14</v>
      </c>
      <c r="C16" s="2">
        <v>650</v>
      </c>
      <c r="D16" s="2">
        <v>0</v>
      </c>
      <c r="E16" s="2">
        <v>39267.629999999997</v>
      </c>
      <c r="F16" s="2">
        <f>SUM(E15:E16)</f>
        <v>68025.509999999995</v>
      </c>
      <c r="G16" s="2"/>
      <c r="H16" s="2">
        <v>39342.629999999997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11</v>
      </c>
      <c r="C18" s="2">
        <v>700</v>
      </c>
      <c r="D18" s="2">
        <v>0</v>
      </c>
      <c r="E18" s="2">
        <v>41928.74</v>
      </c>
      <c r="F18" s="2"/>
      <c r="G18" s="2"/>
      <c r="H18" s="2">
        <v>42003.74</v>
      </c>
    </row>
    <row r="19" spans="1:8" x14ac:dyDescent="0.25">
      <c r="A19" s="1"/>
      <c r="B19" s="1"/>
      <c r="C19" s="3">
        <f>SUM(C4:C18)</f>
        <v>5650</v>
      </c>
      <c r="D19" s="3">
        <f>SUM(D4:D18)</f>
        <v>0</v>
      </c>
      <c r="E19" s="3">
        <f>SUM(E4:E18)</f>
        <v>315623.86</v>
      </c>
      <c r="F19" s="3"/>
      <c r="G19" s="3"/>
      <c r="H19" s="3">
        <f>SUM(H4:H18)</f>
        <v>316298.86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54C3-118D-4BF6-BCE9-8FA85386C43A}">
  <sheetPr>
    <pageSetUpPr fitToPage="1"/>
  </sheetPr>
  <dimension ref="A1:O15"/>
  <sheetViews>
    <sheetView workbookViewId="0">
      <pane ySplit="3" topLeftCell="A4" activePane="bottomLeft" state="frozen"/>
      <selection pane="bottomLeft" activeCell="A4" sqref="A4:A1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7109375" style="8" bestFit="1" customWidth="1"/>
    <col min="5" max="5" width="18.7109375" style="8" bestFit="1" customWidth="1"/>
    <col min="6" max="6" width="27.85546875" style="8" bestFit="1" customWidth="1"/>
    <col min="7" max="7" width="15.140625" style="8" bestFit="1" customWidth="1"/>
    <col min="8" max="8" width="17.140625" style="8" bestFit="1" customWidth="1"/>
    <col min="9" max="9" width="29.5703125" style="8" bestFit="1" customWidth="1"/>
    <col min="10" max="10" width="18.42578125" style="8" bestFit="1" customWidth="1"/>
    <col min="11" max="11" width="18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5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45674</v>
      </c>
      <c r="L1" s="9" t="s">
        <v>2</v>
      </c>
      <c r="M1" s="10">
        <v>45674.999988425923</v>
      </c>
      <c r="N1" s="9"/>
      <c r="O1" s="9"/>
    </row>
    <row r="2" spans="1:15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72</v>
      </c>
      <c r="H2" s="12"/>
      <c r="I2" s="12"/>
      <c r="J2" s="12"/>
      <c r="K2" s="12"/>
      <c r="L2" s="12"/>
      <c r="M2" s="12"/>
      <c r="N2" s="9"/>
      <c r="O2" s="9"/>
    </row>
    <row r="3" spans="1:15" ht="39.950000000000003" customHeight="1" x14ac:dyDescent="0.25">
      <c r="A3" s="9" t="s">
        <v>71</v>
      </c>
      <c r="B3" s="9" t="s">
        <v>70</v>
      </c>
      <c r="C3" s="9" t="s">
        <v>69</v>
      </c>
      <c r="D3" s="9" t="s">
        <v>68</v>
      </c>
      <c r="E3" s="9" t="s">
        <v>67</v>
      </c>
      <c r="F3" s="9" t="s">
        <v>4</v>
      </c>
      <c r="G3" s="9" t="s">
        <v>5</v>
      </c>
      <c r="H3" s="9" t="s">
        <v>66</v>
      </c>
      <c r="I3" s="9" t="s">
        <v>65</v>
      </c>
      <c r="J3" s="9" t="s">
        <v>64</v>
      </c>
      <c r="K3" s="9" t="s">
        <v>63</v>
      </c>
      <c r="L3" s="9" t="s">
        <v>62</v>
      </c>
      <c r="M3" s="9" t="s">
        <v>61</v>
      </c>
      <c r="N3" s="9"/>
      <c r="O3" s="9"/>
    </row>
    <row r="4" spans="1:15" ht="39.950000000000003" customHeight="1" x14ac:dyDescent="0.25">
      <c r="A4" s="9" t="s">
        <v>60</v>
      </c>
      <c r="B4" s="9" t="s">
        <v>26</v>
      </c>
      <c r="C4" s="9" t="s">
        <v>31</v>
      </c>
      <c r="D4" s="9" t="s">
        <v>59</v>
      </c>
      <c r="E4" s="9"/>
      <c r="F4" s="9" t="s">
        <v>12</v>
      </c>
      <c r="G4" s="9" t="s">
        <v>11</v>
      </c>
      <c r="H4" s="14">
        <v>53526.57</v>
      </c>
      <c r="I4" s="9" t="s">
        <v>58</v>
      </c>
      <c r="J4" s="9"/>
      <c r="K4" s="9" t="s">
        <v>57</v>
      </c>
      <c r="L4" s="9"/>
      <c r="M4" s="9"/>
      <c r="N4" s="9"/>
      <c r="O4" s="9"/>
    </row>
    <row r="5" spans="1:15" ht="39.950000000000003" customHeight="1" x14ac:dyDescent="0.25">
      <c r="A5" s="9" t="s">
        <v>56</v>
      </c>
      <c r="B5" s="9" t="s">
        <v>26</v>
      </c>
      <c r="C5" s="9" t="s">
        <v>25</v>
      </c>
      <c r="D5" s="9" t="s">
        <v>55</v>
      </c>
      <c r="E5" s="9"/>
      <c r="F5" s="9" t="s">
        <v>10</v>
      </c>
      <c r="G5" s="9" t="s">
        <v>11</v>
      </c>
      <c r="H5" s="14">
        <v>22691.13</v>
      </c>
      <c r="I5" s="9" t="s">
        <v>54</v>
      </c>
      <c r="J5" s="9"/>
      <c r="K5" s="9" t="s">
        <v>53</v>
      </c>
      <c r="L5" s="9"/>
      <c r="M5" s="9"/>
      <c r="N5" s="9"/>
      <c r="O5" s="9"/>
    </row>
    <row r="6" spans="1:15" ht="39.950000000000003" customHeight="1" x14ac:dyDescent="0.25">
      <c r="A6" s="9" t="s">
        <v>52</v>
      </c>
      <c r="B6" s="9" t="s">
        <v>26</v>
      </c>
      <c r="C6" s="9" t="s">
        <v>31</v>
      </c>
      <c r="D6" s="9" t="s">
        <v>51</v>
      </c>
      <c r="E6" s="9"/>
      <c r="F6" s="9" t="s">
        <v>16</v>
      </c>
      <c r="G6" s="9" t="s">
        <v>14</v>
      </c>
      <c r="H6" s="14">
        <v>41087.910000000003</v>
      </c>
      <c r="I6" s="9" t="s">
        <v>50</v>
      </c>
      <c r="J6" s="9"/>
      <c r="K6" s="9" t="s">
        <v>49</v>
      </c>
      <c r="L6" s="9"/>
      <c r="M6" s="9"/>
      <c r="N6" s="9"/>
      <c r="O6" s="9"/>
    </row>
    <row r="7" spans="1:15" ht="39.950000000000003" customHeight="1" x14ac:dyDescent="0.25">
      <c r="A7" s="9" t="s">
        <v>48</v>
      </c>
      <c r="B7" s="9" t="s">
        <v>32</v>
      </c>
      <c r="C7" s="9" t="s">
        <v>31</v>
      </c>
      <c r="D7" s="9" t="s">
        <v>47</v>
      </c>
      <c r="E7" s="9"/>
      <c r="F7" s="9" t="s">
        <v>15</v>
      </c>
      <c r="G7" s="9" t="s">
        <v>14</v>
      </c>
      <c r="H7" s="14">
        <v>42501.69</v>
      </c>
      <c r="I7" s="9"/>
      <c r="J7" s="9"/>
      <c r="K7" s="9" t="s">
        <v>46</v>
      </c>
      <c r="L7" s="9"/>
      <c r="M7" s="9"/>
      <c r="N7" s="9"/>
      <c r="O7" s="9"/>
    </row>
    <row r="8" spans="1:15" ht="39.950000000000003" customHeight="1" x14ac:dyDescent="0.25">
      <c r="A8" s="9" t="s">
        <v>45</v>
      </c>
      <c r="B8" s="9" t="s">
        <v>26</v>
      </c>
      <c r="C8" s="9" t="s">
        <v>25</v>
      </c>
      <c r="D8" s="9" t="s">
        <v>44</v>
      </c>
      <c r="E8" s="9"/>
      <c r="F8" s="9" t="s">
        <v>10</v>
      </c>
      <c r="G8" s="9" t="s">
        <v>11</v>
      </c>
      <c r="H8" s="14">
        <v>20949</v>
      </c>
      <c r="I8" s="9" t="s">
        <v>43</v>
      </c>
      <c r="J8" s="9"/>
      <c r="K8" s="9" t="s">
        <v>42</v>
      </c>
      <c r="L8" s="9"/>
      <c r="M8" s="9"/>
      <c r="N8" s="9"/>
      <c r="O8" s="9"/>
    </row>
    <row r="9" spans="1:15" ht="39.950000000000003" customHeight="1" x14ac:dyDescent="0.25">
      <c r="A9" s="9" t="s">
        <v>41</v>
      </c>
      <c r="B9" s="9" t="s">
        <v>32</v>
      </c>
      <c r="C9" s="9" t="s">
        <v>25</v>
      </c>
      <c r="D9" s="9" t="s">
        <v>40</v>
      </c>
      <c r="E9" s="9"/>
      <c r="F9" s="9" t="s">
        <v>13</v>
      </c>
      <c r="G9" s="9" t="s">
        <v>14</v>
      </c>
      <c r="H9" s="14">
        <v>25363.31</v>
      </c>
      <c r="I9" s="9" t="s">
        <v>39</v>
      </c>
      <c r="J9" s="9"/>
      <c r="K9" s="9" t="s">
        <v>38</v>
      </c>
      <c r="L9" s="9"/>
      <c r="M9" s="9"/>
      <c r="N9" s="9"/>
      <c r="O9" s="9"/>
    </row>
    <row r="10" spans="1:15" ht="39.950000000000003" customHeight="1" x14ac:dyDescent="0.25">
      <c r="A10" s="9" t="s">
        <v>37</v>
      </c>
      <c r="B10" s="9" t="s">
        <v>32</v>
      </c>
      <c r="C10" s="9" t="s">
        <v>31</v>
      </c>
      <c r="D10" s="9" t="s">
        <v>36</v>
      </c>
      <c r="E10" s="9"/>
      <c r="F10" s="9" t="s">
        <v>17</v>
      </c>
      <c r="G10" s="9" t="s">
        <v>14</v>
      </c>
      <c r="H10" s="14">
        <v>39342.629999999997</v>
      </c>
      <c r="I10" s="9" t="s">
        <v>35</v>
      </c>
      <c r="J10" s="9"/>
      <c r="K10" s="9" t="s">
        <v>34</v>
      </c>
      <c r="L10" s="9"/>
      <c r="M10" s="9"/>
      <c r="N10" s="9"/>
      <c r="O10" s="9"/>
    </row>
    <row r="11" spans="1:15" ht="39.950000000000003" customHeight="1" x14ac:dyDescent="0.25">
      <c r="A11" s="9" t="s">
        <v>33</v>
      </c>
      <c r="B11" s="9" t="s">
        <v>32</v>
      </c>
      <c r="C11" s="9" t="s">
        <v>31</v>
      </c>
      <c r="D11" s="9" t="s">
        <v>30</v>
      </c>
      <c r="E11" s="9"/>
      <c r="F11" s="9" t="s">
        <v>17</v>
      </c>
      <c r="G11" s="9" t="s">
        <v>11</v>
      </c>
      <c r="H11" s="14">
        <v>28832.880000000001</v>
      </c>
      <c r="I11" s="9" t="s">
        <v>29</v>
      </c>
      <c r="J11" s="9"/>
      <c r="K11" s="9" t="s">
        <v>28</v>
      </c>
      <c r="L11" s="9"/>
      <c r="M11" s="9"/>
      <c r="N11" s="9"/>
      <c r="O11" s="9"/>
    </row>
    <row r="12" spans="1:15" ht="39.950000000000003" customHeight="1" x14ac:dyDescent="0.25">
      <c r="A12" s="9" t="s">
        <v>27</v>
      </c>
      <c r="B12" s="9" t="s">
        <v>26</v>
      </c>
      <c r="C12" s="9" t="s">
        <v>25</v>
      </c>
      <c r="D12" s="9" t="s">
        <v>24</v>
      </c>
      <c r="E12" s="9"/>
      <c r="F12" s="9" t="s">
        <v>18</v>
      </c>
      <c r="G12" s="9" t="s">
        <v>11</v>
      </c>
      <c r="H12" s="14">
        <v>42003.74</v>
      </c>
      <c r="I12" s="9" t="s">
        <v>23</v>
      </c>
      <c r="J12" s="9"/>
      <c r="K12" s="9" t="s">
        <v>22</v>
      </c>
      <c r="L12" s="9"/>
      <c r="M12" s="9"/>
      <c r="N12" s="9"/>
      <c r="O12" s="9"/>
    </row>
    <row r="13" spans="1:15" ht="39.950000000000003" customHeight="1" x14ac:dyDescent="0.25">
      <c r="A13" s="15"/>
      <c r="B13" s="15"/>
      <c r="C13" s="15"/>
      <c r="D13" s="15" t="s">
        <v>21</v>
      </c>
      <c r="E13" s="15"/>
      <c r="F13" s="15"/>
      <c r="G13" s="15"/>
      <c r="H13" s="16">
        <f>SUM(H4:H12)</f>
        <v>316298.86</v>
      </c>
      <c r="I13" s="15"/>
      <c r="J13" s="15"/>
      <c r="K13" s="15"/>
      <c r="L13" s="15"/>
      <c r="M13" s="15"/>
      <c r="N13" s="9"/>
      <c r="O13" s="9"/>
    </row>
    <row r="14" spans="1:15" ht="39.950000000000003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3BDE-DA75-4E3E-B66D-8959FC8A67A2}">
  <sheetPr>
    <pageSetUpPr fitToPage="1"/>
  </sheetPr>
  <dimension ref="A1:E18"/>
  <sheetViews>
    <sheetView workbookViewId="0">
      <pane ySplit="3" topLeftCell="A4" activePane="bottomLeft" state="frozen"/>
      <selection pane="bottomLeft" activeCell="D36" sqref="D3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7109375" style="8" bestFit="1" customWidth="1"/>
    <col min="4" max="4" width="18.7109375" style="8" bestFit="1" customWidth="1"/>
    <col min="5" max="5" width="27.855468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45674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77</v>
      </c>
      <c r="E2" s="12"/>
    </row>
    <row r="3" spans="1:5" x14ac:dyDescent="0.25">
      <c r="A3" s="9" t="s">
        <v>71</v>
      </c>
      <c r="B3" s="9" t="s">
        <v>69</v>
      </c>
      <c r="C3" s="9" t="s">
        <v>68</v>
      </c>
      <c r="D3" s="9" t="s">
        <v>67</v>
      </c>
      <c r="E3" s="9" t="s">
        <v>4</v>
      </c>
    </row>
    <row r="4" spans="1:5" x14ac:dyDescent="0.25">
      <c r="A4" s="9" t="s">
        <v>56</v>
      </c>
      <c r="B4" s="9" t="s">
        <v>25</v>
      </c>
      <c r="C4" s="9" t="s">
        <v>55</v>
      </c>
      <c r="D4" s="9"/>
      <c r="E4" s="9" t="s">
        <v>10</v>
      </c>
    </row>
    <row r="5" spans="1:5" x14ac:dyDescent="0.25">
      <c r="A5" s="9" t="s">
        <v>45</v>
      </c>
      <c r="B5" s="9" t="s">
        <v>25</v>
      </c>
      <c r="C5" s="9" t="s">
        <v>44</v>
      </c>
      <c r="D5" s="9"/>
      <c r="E5" s="9" t="s">
        <v>10</v>
      </c>
    </row>
    <row r="6" spans="1:5" x14ac:dyDescent="0.25">
      <c r="A6" s="9" t="s">
        <v>41</v>
      </c>
      <c r="B6" s="9" t="s">
        <v>25</v>
      </c>
      <c r="C6" s="9" t="s">
        <v>40</v>
      </c>
      <c r="D6" s="9"/>
      <c r="E6" s="9" t="s">
        <v>13</v>
      </c>
    </row>
    <row r="7" spans="1:5" x14ac:dyDescent="0.25">
      <c r="A7" s="9" t="s">
        <v>27</v>
      </c>
      <c r="B7" s="9" t="s">
        <v>25</v>
      </c>
      <c r="C7" s="9" t="s">
        <v>24</v>
      </c>
      <c r="D7" s="9"/>
      <c r="E7" s="9" t="s">
        <v>18</v>
      </c>
    </row>
    <row r="8" spans="1:5" x14ac:dyDescent="0.25">
      <c r="A8" s="15"/>
      <c r="B8" s="15"/>
      <c r="C8" s="15" t="s">
        <v>76</v>
      </c>
      <c r="D8" s="15"/>
      <c r="E8" s="15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75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74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73</v>
      </c>
      <c r="B18" s="9"/>
      <c r="C18" s="9"/>
      <c r="D18" s="9"/>
      <c r="E18" s="9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2025-01-17T19:05:23Z</cp:lastPrinted>
  <dcterms:created xsi:type="dcterms:W3CDTF">2025-01-17T18:50:39Z</dcterms:created>
  <dcterms:modified xsi:type="dcterms:W3CDTF">2025-01-17T19:08:25Z</dcterms:modified>
</cp:coreProperties>
</file>