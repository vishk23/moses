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1D62C089-B7FD-45F4-8816-1D99567721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2" l="1"/>
  <c r="F6" i="1"/>
  <c r="H15" i="1"/>
  <c r="E15" i="1"/>
  <c r="D15" i="1"/>
  <c r="C15" i="1"/>
</calcChain>
</file>

<file path=xl/sharedStrings.xml><?xml version="1.0" encoding="utf-8"?>
<sst xmlns="http://schemas.openxmlformats.org/spreadsheetml/2006/main" count="118" uniqueCount="69">
  <si>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</si>
  <si>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</si>
  <si>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</si>
  <si>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</si>
  <si>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</si>
  <si>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</si>
  <si>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</si>
  <si>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</si>
  <si>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</si>
  <si>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</si>
  <si>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Mathieu Ford Sales, Inc</t>
  </si>
  <si>
    <t>Neli Oliveira</t>
  </si>
  <si>
    <t>Planet Subaru</t>
  </si>
  <si>
    <t>Robertson's GMC Truck, Inc</t>
  </si>
  <si>
    <t>S&amp;E Auto Services and Sales Inc</t>
  </si>
  <si>
    <t>Viti Mercedes</t>
  </si>
  <si>
    <t>Column1</t>
  </si>
  <si>
    <t>Column2</t>
  </si>
  <si>
    <t># 7</t>
  </si>
  <si>
    <t>BEAUPRE</t>
  </si>
  <si>
    <t>HAGGIS, KYLIE</t>
  </si>
  <si>
    <t>Paper</t>
  </si>
  <si>
    <t>DealerTrack</t>
  </si>
  <si>
    <t>151130780</t>
  </si>
  <si>
    <t>SEARLES</t>
  </si>
  <si>
    <t>Ilikejrts@gmail.com</t>
  </si>
  <si>
    <t>Thibault, Lionel</t>
  </si>
  <si>
    <t>E Contract</t>
  </si>
  <si>
    <t>Route One</t>
  </si>
  <si>
    <t>CARRON</t>
  </si>
  <si>
    <t>CDEBROSSE1542@GMAIL.COM</t>
  </si>
  <si>
    <t>DEBROSSE, CHANDLER</t>
  </si>
  <si>
    <t>JORDAN</t>
  </si>
  <si>
    <t>ELIZABETHMCEACHEN@GMAIL.COM</t>
  </si>
  <si>
    <t>MCEACHEN, ELIZABETH</t>
  </si>
  <si>
    <t>PARKER</t>
  </si>
  <si>
    <t>abrooks03@hotmail.com</t>
  </si>
  <si>
    <t>Brooks, Annette</t>
  </si>
  <si>
    <t>ST GEORGE</t>
  </si>
  <si>
    <t>lamicadylan1@gmail.com</t>
  </si>
  <si>
    <t>LAMICA, DYLAN</t>
  </si>
  <si>
    <t>WELCH</t>
  </si>
  <si>
    <t>HUBLER</t>
  </si>
  <si>
    <t>JUDYELLIS1969@GMAIL.COM</t>
  </si>
  <si>
    <t>ELLIS, RICHARD</t>
  </si>
  <si>
    <t>ELLIS, JUDITH</t>
  </si>
  <si>
    <t>Business Name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</si>
  <si>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</si>
  <si>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</si>
  <si>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</si>
  <si>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</si>
  <si>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</si>
  <si>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</si>
  <si>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</si>
  <si>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</si>
  <si>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</si>
  <si>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</si>
  <si>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</si>
  <si>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Signed____________________________________________________</t>
  </si>
  <si>
    <t>Received by__________________________________________________________________</t>
  </si>
  <si>
    <t>Delivered by_________________________________________________________________</t>
  </si>
  <si>
    <t># 1</t>
  </si>
  <si>
    <t>Funding Worksheet - Signoff Version</t>
  </si>
  <si>
    <t>151130681e</t>
  </si>
  <si>
    <t>151130699e</t>
  </si>
  <si>
    <t>151130706e</t>
  </si>
  <si>
    <t>151130714e</t>
  </si>
  <si>
    <t>151130730e</t>
  </si>
  <si>
    <t>151130764e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</si>
</sst>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68EE5954-41A8-4DEC-A7DF-35C71CFA5172}"/>
  </cellStyles>
  <dxfs count="26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15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BADCEF5C-C0B4-4D2D-85A2-6CF2D8290759}" name="Column1" dataDxfId="24"/>
    <tableColumn id="8" xr3:uid="{461D024E-02EC-4CB8-8AC2-FFFDE39F4057}" name="Column2" dataDxfId="25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86CE83-32B9-4FC4-AA53-FB7659B46A7F}" name="Table_13" displayName="Table_13" ref="A3:M11" headerRowDxfId="10" dataDxfId="8" totalsRowDxfId="9">
  <tableColumns count="13">
    <tableColumn id="1" xr3:uid="{00000000-0010-0000-0000-000001000000}" name="Account Number" dataDxfId="23"/>
    <tableColumn id="2" xr3:uid="{00000000-0010-0000-0000-000002000000}" name="Portal" dataDxfId="22"/>
    <tableColumn id="3" xr3:uid="{00000000-0010-0000-0000-000003000000}" name="Contract Type" dataDxfId="21"/>
    <tableColumn id="4" xr3:uid="{00000000-0010-0000-0000-000004000000}" name="Applicant Name" dataDxfId="20"/>
    <tableColumn id="5" xr3:uid="{00000000-0010-0000-0000-000005000000}" name="Co-Applicant Name" dataDxfId="19"/>
    <tableColumn id="6" xr3:uid="{00000000-0010-0000-0000-000006000000}" name="Dealer Name" dataDxfId="18"/>
    <tableColumn id="7" xr3:uid="{00000000-0010-0000-0000-000007000000}" name="Funded by" dataDxfId="17"/>
    <tableColumn id="8" xr3:uid="{00000000-0010-0000-0000-000008000000}" name="Amount Financed" dataDxfId="16"/>
    <tableColumn id="9" xr3:uid="{00000000-0010-0000-0000-000009000000}" name="Applicant Email" dataDxfId="15"/>
    <tableColumn id="10" xr3:uid="{00000000-0010-0000-0000-00000A000000}" name="Co-Applicant Email" dataDxfId="14"/>
    <tableColumn id="11" xr3:uid="{00000000-0010-0000-0000-00000B000000}" name="App MMN" dataDxfId="13"/>
    <tableColumn id="12" xr3:uid="{00000000-0010-0000-0000-00000C000000}" name="Co-App MMN" dataDxfId="12"/>
    <tableColumn id="13" xr3:uid="{00000000-0010-0000-0000-00000D000000}" name="Business Name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15A3A4-A1FB-42C8-A0CC-4DC37B81143C}" name="Table_14" displayName="Table_14" ref="A3:E5" headerRowDxfId="2" dataDxfId="0" totalsRowDxfId="1">
  <tableColumns count="5">
    <tableColumn id="1" xr3:uid="{00000000-0010-0000-0000-000001000000}" name="Account Number" dataDxfId="7"/>
    <tableColumn id="2" xr3:uid="{00000000-0010-0000-0000-000002000000}" name="Contract Type" dataDxfId="6"/>
    <tableColumn id="3" xr3:uid="{00000000-0010-0000-0000-000003000000}" name="Applicant Name" dataDxfId="5"/>
    <tableColumn id="4" xr3:uid="{00000000-0010-0000-0000-000004000000}" name="Co-Applicant Name" dataDxfId="4"/>
    <tableColumn id="5" xr3:uid="{00000000-0010-0000-0000-000005000000}" name="Dealer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5"/>
  <sheetViews>
    <sheetView tabSelected="1" workbookViewId="0">
      <pane ySplit="3" topLeftCell="A4" activePane="bottomLeft" state="frozen"/>
      <selection pane="bottomLeft" activeCell="E14" sqref="E14"/>
    </sheetView>
  </sheetViews>
  <sheetFormatPr defaultRowHeight="15" x14ac:dyDescent="0.25"/>
  <cols>
    <col min="1" max="1" width="30.7109375" bestFit="1" customWidth="1"/>
    <col min="2" max="2" width="12.140625" bestFit="1" customWidth="1"/>
    <col min="3" max="3" width="11.140625" bestFit="1" customWidth="1"/>
    <col min="4" max="4" width="19.2851562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45649</v>
      </c>
      <c r="E1" t="s">
        <v>2</v>
      </c>
      <c r="H1" s="4">
        <v>45649.999988425923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16</v>
      </c>
      <c r="G3" t="s">
        <v>17</v>
      </c>
      <c r="H3" t="s">
        <v>9</v>
      </c>
    </row>
    <row r="4" spans="1:8" x14ac:dyDescent="0.25">
      <c r="A4" t="s">
        <v>10</v>
      </c>
      <c r="B4" t="s">
        <v>11</v>
      </c>
      <c r="C4" s="2">
        <v>800</v>
      </c>
      <c r="D4" s="2">
        <v>0</v>
      </c>
      <c r="E4" s="2">
        <v>48431</v>
      </c>
      <c r="F4" s="2"/>
      <c r="G4" s="2"/>
      <c r="H4" s="2">
        <v>48506</v>
      </c>
    </row>
    <row r="5" spans="1:8" x14ac:dyDescent="0.25">
      <c r="A5" t="s">
        <v>10</v>
      </c>
      <c r="B5" t="s">
        <v>11</v>
      </c>
      <c r="C5" s="2">
        <v>650</v>
      </c>
      <c r="D5" s="2">
        <v>0</v>
      </c>
      <c r="E5" s="2">
        <v>37831.129999999997</v>
      </c>
      <c r="F5" s="2"/>
      <c r="G5" s="2"/>
      <c r="H5" s="2">
        <v>37906.129999999997</v>
      </c>
    </row>
    <row r="6" spans="1:8" x14ac:dyDescent="0.25">
      <c r="A6" t="s">
        <v>10</v>
      </c>
      <c r="B6" t="s">
        <v>11</v>
      </c>
      <c r="C6" s="2">
        <v>1000</v>
      </c>
      <c r="D6" s="2">
        <v>0</v>
      </c>
      <c r="E6" s="2">
        <v>66505.13</v>
      </c>
      <c r="F6" s="2">
        <f>SUM(E4:E6)</f>
        <v>152767.26</v>
      </c>
      <c r="G6" s="2"/>
      <c r="H6" s="2">
        <v>66580.13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12</v>
      </c>
      <c r="B8" t="s">
        <v>11</v>
      </c>
      <c r="C8" s="2">
        <v>600</v>
      </c>
      <c r="D8" s="2">
        <v>0</v>
      </c>
      <c r="E8" s="2">
        <v>30666</v>
      </c>
      <c r="F8" s="2"/>
      <c r="G8" s="2"/>
      <c r="H8" s="2">
        <v>30741</v>
      </c>
    </row>
    <row r="9" spans="1:8" x14ac:dyDescent="0.25">
      <c r="C9" s="2"/>
      <c r="D9" s="2"/>
      <c r="E9" s="2"/>
      <c r="F9" s="2"/>
      <c r="G9" s="2"/>
      <c r="H9" s="2"/>
    </row>
    <row r="10" spans="1:8" x14ac:dyDescent="0.25">
      <c r="A10" t="s">
        <v>13</v>
      </c>
      <c r="B10" t="s">
        <v>11</v>
      </c>
      <c r="C10" s="2">
        <v>200</v>
      </c>
      <c r="D10" s="2">
        <v>0</v>
      </c>
      <c r="E10" s="2">
        <v>10282.69</v>
      </c>
      <c r="F10" s="2"/>
      <c r="G10" s="2"/>
      <c r="H10" s="2">
        <v>10357.69</v>
      </c>
    </row>
    <row r="11" spans="1:8" x14ac:dyDescent="0.25">
      <c r="C11" s="2"/>
      <c r="D11" s="2"/>
      <c r="E11" s="2"/>
      <c r="F11" s="2"/>
      <c r="G11" s="2"/>
      <c r="H11" s="2"/>
    </row>
    <row r="12" spans="1:8" x14ac:dyDescent="0.25">
      <c r="A12" t="s">
        <v>14</v>
      </c>
      <c r="B12" t="s">
        <v>11</v>
      </c>
      <c r="C12" s="2">
        <v>350</v>
      </c>
      <c r="D12" s="2">
        <v>0</v>
      </c>
      <c r="E12" s="2">
        <v>19144.560000000001</v>
      </c>
      <c r="F12" s="2"/>
      <c r="G12" s="2"/>
      <c r="H12" s="2">
        <v>19219.560000000001</v>
      </c>
    </row>
    <row r="13" spans="1:8" x14ac:dyDescent="0.25">
      <c r="C13" s="2"/>
      <c r="D13" s="2"/>
      <c r="E13" s="2"/>
      <c r="F13" s="2"/>
      <c r="G13" s="2"/>
      <c r="H13" s="2"/>
    </row>
    <row r="14" spans="1:8" x14ac:dyDescent="0.25">
      <c r="A14" t="s">
        <v>15</v>
      </c>
      <c r="B14" t="s">
        <v>11</v>
      </c>
      <c r="C14" s="2">
        <v>200</v>
      </c>
      <c r="D14" s="2">
        <v>0</v>
      </c>
      <c r="E14" s="2">
        <v>14440.33</v>
      </c>
      <c r="F14" s="2"/>
      <c r="G14" s="2"/>
      <c r="H14" s="2">
        <v>14515.33</v>
      </c>
    </row>
    <row r="15" spans="1:8" x14ac:dyDescent="0.25">
      <c r="A15" s="1"/>
      <c r="B15" s="1"/>
      <c r="C15" s="3">
        <f>SUM(C4:C14)</f>
        <v>3800</v>
      </c>
      <c r="D15" s="3">
        <f>SUM(D4:D14)</f>
        <v>0</v>
      </c>
      <c r="E15" s="3">
        <f>SUM(E4:E14)</f>
        <v>227300.84</v>
      </c>
      <c r="F15" s="3"/>
      <c r="G15" s="3"/>
      <c r="H15" s="3">
        <f>SUM(H4:H14)</f>
        <v>227825.84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56B8E-1C38-415C-BA9E-CAF1F86057C4}">
  <sheetPr>
    <pageSetUpPr fitToPage="1"/>
  </sheetPr>
  <dimension ref="A1:N14"/>
  <sheetViews>
    <sheetView workbookViewId="0">
      <pane ySplit="3" topLeftCell="A4" activePane="bottomLeft" state="frozen"/>
      <selection pane="bottomLeft" activeCell="A4" sqref="A4:A10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2.85546875" style="8" bestFit="1" customWidth="1"/>
    <col min="5" max="5" width="18.7109375" style="8" bestFit="1" customWidth="1"/>
    <col min="6" max="6" width="30.7109375" style="8" bestFit="1" customWidth="1"/>
    <col min="7" max="7" width="12.140625" style="8" bestFit="1" customWidth="1"/>
    <col min="8" max="8" width="17.140625" style="8" bestFit="1" customWidth="1"/>
    <col min="9" max="9" width="34.140625" style="8" bestFit="1" customWidth="1"/>
    <col min="10" max="10" width="18.42578125" style="8" bestFit="1" customWidth="1"/>
    <col min="11" max="11" width="19.28515625" style="8" bestFit="1" customWidth="1"/>
    <col min="12" max="12" width="12.85546875" style="8" bestFit="1" customWidth="1"/>
    <col min="13" max="13" width="19.28515625" style="8" bestFit="1" customWidth="1"/>
    <col min="14" max="16384" width="9.140625" style="8"/>
  </cols>
  <sheetData>
    <row r="1" spans="1:14" ht="39.950000000000003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45649</v>
      </c>
      <c r="L1" s="9" t="s">
        <v>2</v>
      </c>
      <c r="M1" s="10">
        <v>45649.999988425923</v>
      </c>
      <c r="N1" s="9"/>
    </row>
    <row r="2" spans="1:14" ht="39.950000000000003" customHeight="1" x14ac:dyDescent="0.25">
      <c r="A2" s="11" t="s">
        <v>0</v>
      </c>
      <c r="B2" s="12"/>
      <c r="C2" s="12"/>
      <c r="D2" s="12"/>
      <c r="E2" s="12"/>
      <c r="F2" s="12"/>
      <c r="G2" s="13" t="s">
        <v>57</v>
      </c>
      <c r="H2" s="12"/>
      <c r="I2" s="12"/>
      <c r="J2" s="12"/>
      <c r="K2" s="12"/>
      <c r="L2" s="12"/>
      <c r="M2" s="12"/>
      <c r="N2" s="9"/>
    </row>
    <row r="3" spans="1:14" ht="39.950000000000003" customHeight="1" x14ac:dyDescent="0.25">
      <c r="A3" s="9" t="s">
        <v>56</v>
      </c>
      <c r="B3" s="9" t="s">
        <v>55</v>
      </c>
      <c r="C3" s="9" t="s">
        <v>54</v>
      </c>
      <c r="D3" s="9" t="s">
        <v>53</v>
      </c>
      <c r="E3" s="9" t="s">
        <v>52</v>
      </c>
      <c r="F3" s="9" t="s">
        <v>4</v>
      </c>
      <c r="G3" s="9" t="s">
        <v>5</v>
      </c>
      <c r="H3" s="9" t="s">
        <v>51</v>
      </c>
      <c r="I3" s="9" t="s">
        <v>50</v>
      </c>
      <c r="J3" s="9" t="s">
        <v>49</v>
      </c>
      <c r="K3" s="9" t="s">
        <v>48</v>
      </c>
      <c r="L3" s="9" t="s">
        <v>47</v>
      </c>
      <c r="M3" s="9" t="s">
        <v>46</v>
      </c>
      <c r="N3" s="9"/>
    </row>
    <row r="4" spans="1:14" ht="39.950000000000003" customHeight="1" x14ac:dyDescent="0.25">
      <c r="A4" s="9" t="s">
        <v>63</v>
      </c>
      <c r="B4" s="9" t="s">
        <v>22</v>
      </c>
      <c r="C4" s="9" t="s">
        <v>27</v>
      </c>
      <c r="D4" s="9" t="s">
        <v>45</v>
      </c>
      <c r="E4" s="9" t="s">
        <v>44</v>
      </c>
      <c r="F4" s="9" t="s">
        <v>13</v>
      </c>
      <c r="G4" s="9" t="s">
        <v>11</v>
      </c>
      <c r="H4" s="14">
        <v>10357.69</v>
      </c>
      <c r="I4" s="9" t="s">
        <v>43</v>
      </c>
      <c r="J4" s="9"/>
      <c r="K4" s="9" t="s">
        <v>42</v>
      </c>
      <c r="L4" s="9" t="s">
        <v>41</v>
      </c>
      <c r="M4" s="9"/>
      <c r="N4" s="9"/>
    </row>
    <row r="5" spans="1:14" ht="39.950000000000003" customHeight="1" x14ac:dyDescent="0.25">
      <c r="A5" s="9" t="s">
        <v>64</v>
      </c>
      <c r="B5" s="9" t="s">
        <v>28</v>
      </c>
      <c r="C5" s="9" t="s">
        <v>27</v>
      </c>
      <c r="D5" s="9" t="s">
        <v>40</v>
      </c>
      <c r="E5" s="9"/>
      <c r="F5" s="9" t="s">
        <v>10</v>
      </c>
      <c r="G5" s="9" t="s">
        <v>11</v>
      </c>
      <c r="H5" s="14">
        <v>66580.13</v>
      </c>
      <c r="I5" s="9" t="s">
        <v>39</v>
      </c>
      <c r="J5" s="9"/>
      <c r="K5" s="9" t="s">
        <v>38</v>
      </c>
      <c r="L5" s="9"/>
      <c r="M5" s="9"/>
      <c r="N5" s="9"/>
    </row>
    <row r="6" spans="1:14" ht="39.950000000000003" customHeight="1" x14ac:dyDescent="0.25">
      <c r="A6" s="9" t="s">
        <v>65</v>
      </c>
      <c r="B6" s="9" t="s">
        <v>28</v>
      </c>
      <c r="C6" s="9" t="s">
        <v>27</v>
      </c>
      <c r="D6" s="9" t="s">
        <v>37</v>
      </c>
      <c r="E6" s="9"/>
      <c r="F6" s="9" t="s">
        <v>10</v>
      </c>
      <c r="G6" s="9" t="s">
        <v>11</v>
      </c>
      <c r="H6" s="14">
        <v>37906.129999999997</v>
      </c>
      <c r="I6" s="9" t="s">
        <v>36</v>
      </c>
      <c r="J6" s="9"/>
      <c r="K6" s="9" t="s">
        <v>35</v>
      </c>
      <c r="L6" s="9"/>
      <c r="M6" s="9"/>
      <c r="N6" s="9"/>
    </row>
    <row r="7" spans="1:14" ht="39.950000000000003" customHeight="1" x14ac:dyDescent="0.25">
      <c r="A7" s="9" t="s">
        <v>66</v>
      </c>
      <c r="B7" s="9" t="s">
        <v>22</v>
      </c>
      <c r="C7" s="9" t="s">
        <v>27</v>
      </c>
      <c r="D7" s="9" t="s">
        <v>34</v>
      </c>
      <c r="E7" s="9"/>
      <c r="F7" s="9" t="s">
        <v>12</v>
      </c>
      <c r="G7" s="9" t="s">
        <v>11</v>
      </c>
      <c r="H7" s="14">
        <v>30741</v>
      </c>
      <c r="I7" s="9" t="s">
        <v>33</v>
      </c>
      <c r="J7" s="9"/>
      <c r="K7" s="9" t="s">
        <v>32</v>
      </c>
      <c r="L7" s="9"/>
      <c r="M7" s="9"/>
      <c r="N7" s="9"/>
    </row>
    <row r="8" spans="1:14" ht="39.950000000000003" customHeight="1" x14ac:dyDescent="0.25">
      <c r="A8" s="9" t="s">
        <v>67</v>
      </c>
      <c r="B8" s="9" t="s">
        <v>22</v>
      </c>
      <c r="C8" s="9" t="s">
        <v>27</v>
      </c>
      <c r="D8" s="9" t="s">
        <v>31</v>
      </c>
      <c r="E8" s="9"/>
      <c r="F8" s="9" t="s">
        <v>15</v>
      </c>
      <c r="G8" s="9" t="s">
        <v>11</v>
      </c>
      <c r="H8" s="14">
        <v>14515.33</v>
      </c>
      <c r="I8" s="9" t="s">
        <v>30</v>
      </c>
      <c r="J8" s="9"/>
      <c r="K8" s="9" t="s">
        <v>29</v>
      </c>
      <c r="L8" s="9"/>
      <c r="M8" s="9"/>
      <c r="N8" s="9"/>
    </row>
    <row r="9" spans="1:14" ht="39.950000000000003" customHeight="1" x14ac:dyDescent="0.25">
      <c r="A9" s="9" t="s">
        <v>68</v>
      </c>
      <c r="B9" s="9" t="s">
        <v>28</v>
      </c>
      <c r="C9" s="9" t="s">
        <v>27</v>
      </c>
      <c r="D9" s="9" t="s">
        <v>26</v>
      </c>
      <c r="E9" s="9"/>
      <c r="F9" s="9" t="s">
        <v>10</v>
      </c>
      <c r="G9" s="9" t="s">
        <v>11</v>
      </c>
      <c r="H9" s="14">
        <v>48506</v>
      </c>
      <c r="I9" s="9" t="s">
        <v>25</v>
      </c>
      <c r="J9" s="9"/>
      <c r="K9" s="9" t="s">
        <v>24</v>
      </c>
      <c r="L9" s="9"/>
      <c r="M9" s="9"/>
      <c r="N9" s="9"/>
    </row>
    <row r="10" spans="1:14" ht="39.950000000000003" customHeight="1" x14ac:dyDescent="0.25">
      <c r="A10" s="9" t="s">
        <v>23</v>
      </c>
      <c r="B10" s="9" t="s">
        <v>22</v>
      </c>
      <c r="C10" s="9" t="s">
        <v>21</v>
      </c>
      <c r="D10" s="9" t="s">
        <v>20</v>
      </c>
      <c r="E10" s="9"/>
      <c r="F10" s="9" t="s">
        <v>14</v>
      </c>
      <c r="G10" s="9" t="s">
        <v>11</v>
      </c>
      <c r="H10" s="14">
        <v>19219.560000000001</v>
      </c>
      <c r="I10" s="9"/>
      <c r="J10" s="9"/>
      <c r="K10" s="9" t="s">
        <v>19</v>
      </c>
      <c r="L10" s="9"/>
      <c r="M10" s="9"/>
      <c r="N10" s="9"/>
    </row>
    <row r="11" spans="1:14" ht="39.950000000000003" customHeight="1" x14ac:dyDescent="0.25">
      <c r="A11" s="15"/>
      <c r="B11" s="15"/>
      <c r="C11" s="15"/>
      <c r="D11" s="15" t="s">
        <v>18</v>
      </c>
      <c r="E11" s="15"/>
      <c r="F11" s="15"/>
      <c r="G11" s="15"/>
      <c r="H11" s="16">
        <f>SUM(H4:H10)</f>
        <v>227825.84</v>
      </c>
      <c r="I11" s="15"/>
      <c r="J11" s="15"/>
      <c r="K11" s="15"/>
      <c r="L11" s="15"/>
      <c r="M11" s="15"/>
      <c r="N11" s="9"/>
    </row>
    <row r="12" spans="1:14" ht="39.950000000000003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spans="1:14" ht="39.950000000000003" customHeight="1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spans="1:14" ht="39.950000000000003" customHeight="1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</sheetData>
  <mergeCells count="2">
    <mergeCell ref="A2:F2"/>
    <mergeCell ref="G2:M2"/>
  </mergeCells>
  <pageMargins left="0.7" right="0.7" top="0.75" bottom="0.75" header="0.3" footer="0.3"/>
  <pageSetup paperSize="5" scale="64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9B157-FC17-4E2B-89F4-D7267DD89B13}">
  <sheetPr>
    <pageSetUpPr fitToPage="1"/>
  </sheetPr>
  <dimension ref="A1:I32"/>
  <sheetViews>
    <sheetView workbookViewId="0">
      <pane ySplit="3" topLeftCell="A4" activePane="bottomLeft" state="frozen"/>
      <selection pane="bottomLeft" activeCell="I32" sqref="A1:I32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22.85546875" style="8" bestFit="1" customWidth="1"/>
    <col min="4" max="4" width="19.28515625" style="8" bestFit="1" customWidth="1"/>
    <col min="5" max="5" width="30.7109375" style="8" bestFit="1" customWidth="1"/>
    <col min="6" max="16384" width="9.140625" style="8"/>
  </cols>
  <sheetData>
    <row r="1" spans="1:9" x14ac:dyDescent="0.25">
      <c r="A1" s="9"/>
      <c r="B1" s="9"/>
      <c r="C1" s="9" t="s">
        <v>3</v>
      </c>
      <c r="D1" s="10">
        <v>45649</v>
      </c>
      <c r="E1" s="9" t="s">
        <v>2</v>
      </c>
      <c r="F1" s="9"/>
      <c r="G1" s="9"/>
      <c r="H1" s="9"/>
      <c r="I1" s="9"/>
    </row>
    <row r="2" spans="1:9" x14ac:dyDescent="0.25">
      <c r="A2" s="11" t="s">
        <v>0</v>
      </c>
      <c r="B2" s="12"/>
      <c r="C2" s="12"/>
      <c r="D2" s="13" t="s">
        <v>62</v>
      </c>
      <c r="E2" s="12"/>
      <c r="F2" s="9"/>
      <c r="G2" s="9"/>
      <c r="H2" s="9"/>
      <c r="I2" s="9"/>
    </row>
    <row r="3" spans="1:9" x14ac:dyDescent="0.25">
      <c r="A3" s="9" t="s">
        <v>56</v>
      </c>
      <c r="B3" s="9" t="s">
        <v>54</v>
      </c>
      <c r="C3" s="9" t="s">
        <v>53</v>
      </c>
      <c r="D3" s="9" t="s">
        <v>52</v>
      </c>
      <c r="E3" s="9" t="s">
        <v>4</v>
      </c>
      <c r="F3" s="9"/>
      <c r="G3" s="9"/>
      <c r="H3" s="9"/>
      <c r="I3" s="9"/>
    </row>
    <row r="4" spans="1:9" x14ac:dyDescent="0.25">
      <c r="A4" s="9" t="s">
        <v>23</v>
      </c>
      <c r="B4" s="9" t="s">
        <v>21</v>
      </c>
      <c r="C4" s="9" t="s">
        <v>20</v>
      </c>
      <c r="D4" s="9"/>
      <c r="E4" s="9" t="s">
        <v>14</v>
      </c>
      <c r="F4" s="9"/>
      <c r="G4" s="9"/>
      <c r="H4" s="9"/>
      <c r="I4" s="9"/>
    </row>
    <row r="5" spans="1:9" x14ac:dyDescent="0.25">
      <c r="A5" s="15"/>
      <c r="B5" s="15"/>
      <c r="C5" s="15" t="s">
        <v>61</v>
      </c>
      <c r="D5" s="15"/>
      <c r="E5" s="15"/>
      <c r="F5" s="9"/>
      <c r="G5" s="9"/>
      <c r="H5" s="9"/>
      <c r="I5" s="9"/>
    </row>
    <row r="6" spans="1:9" x14ac:dyDescent="0.25">
      <c r="A6" s="9"/>
      <c r="B6" s="9"/>
      <c r="C6" s="9"/>
      <c r="D6" s="9"/>
      <c r="E6" s="9"/>
      <c r="F6" s="9"/>
      <c r="G6" s="9"/>
      <c r="H6" s="9"/>
      <c r="I6" s="9"/>
    </row>
    <row r="7" spans="1:9" x14ac:dyDescent="0.25">
      <c r="A7" s="9"/>
      <c r="B7" s="9"/>
      <c r="C7" s="9"/>
      <c r="D7" s="9"/>
      <c r="E7" s="9"/>
      <c r="F7" s="9"/>
      <c r="G7" s="9"/>
      <c r="H7" s="9"/>
      <c r="I7" s="9"/>
    </row>
    <row r="8" spans="1:9" x14ac:dyDescent="0.25">
      <c r="A8" s="9" t="s">
        <v>60</v>
      </c>
      <c r="B8" s="9"/>
      <c r="C8" s="9"/>
      <c r="D8" s="9"/>
      <c r="E8" s="9"/>
      <c r="F8" s="9"/>
      <c r="G8" s="9"/>
      <c r="H8" s="9"/>
      <c r="I8" s="9"/>
    </row>
    <row r="9" spans="1:9" x14ac:dyDescent="0.25">
      <c r="A9" s="9"/>
      <c r="B9" s="9"/>
      <c r="C9" s="9"/>
      <c r="D9" s="9"/>
      <c r="E9" s="9"/>
      <c r="F9" s="9"/>
      <c r="G9" s="9"/>
      <c r="H9" s="9"/>
      <c r="I9" s="9"/>
    </row>
    <row r="10" spans="1:9" x14ac:dyDescent="0.25">
      <c r="A10" s="9"/>
      <c r="B10" s="9"/>
      <c r="C10" s="9"/>
      <c r="D10" s="9"/>
      <c r="E10" s="9"/>
      <c r="F10" s="9"/>
      <c r="G10" s="9"/>
      <c r="H10" s="9"/>
      <c r="I10" s="9"/>
    </row>
    <row r="11" spans="1:9" x14ac:dyDescent="0.25">
      <c r="A11" s="9"/>
      <c r="B11" s="9"/>
      <c r="C11" s="9"/>
      <c r="D11" s="9"/>
      <c r="E11" s="9"/>
      <c r="F11" s="9"/>
      <c r="G11" s="9"/>
      <c r="H11" s="9"/>
      <c r="I11" s="9"/>
    </row>
    <row r="12" spans="1:9" x14ac:dyDescent="0.25">
      <c r="A12" s="9" t="s">
        <v>59</v>
      </c>
      <c r="B12" s="9"/>
      <c r="C12" s="9"/>
      <c r="D12" s="9"/>
      <c r="E12" s="9"/>
      <c r="F12" s="9"/>
      <c r="G12" s="9"/>
      <c r="H12" s="9"/>
      <c r="I12" s="9"/>
    </row>
    <row r="13" spans="1:9" x14ac:dyDescent="0.25">
      <c r="A13" s="9"/>
      <c r="B13" s="9"/>
      <c r="C13" s="9"/>
      <c r="D13" s="9"/>
      <c r="E13" s="9"/>
      <c r="F13" s="9"/>
      <c r="G13" s="9"/>
      <c r="H13" s="9"/>
      <c r="I13" s="9"/>
    </row>
    <row r="14" spans="1:9" x14ac:dyDescent="0.25">
      <c r="A14" s="9"/>
      <c r="B14" s="9"/>
      <c r="C14" s="9"/>
      <c r="D14" s="9"/>
      <c r="E14" s="9"/>
      <c r="F14" s="9"/>
      <c r="G14" s="9"/>
      <c r="H14" s="9"/>
      <c r="I14" s="9"/>
    </row>
    <row r="15" spans="1:9" x14ac:dyDescent="0.25">
      <c r="A15" s="9"/>
      <c r="B15" s="9"/>
      <c r="C15" s="9"/>
      <c r="D15" s="9"/>
      <c r="E15" s="9"/>
      <c r="F15" s="9"/>
      <c r="G15" s="9"/>
      <c r="H15" s="9"/>
      <c r="I15" s="9"/>
    </row>
    <row r="16" spans="1:9" x14ac:dyDescent="0.25">
      <c r="A16" s="9" t="s">
        <v>58</v>
      </c>
      <c r="B16" s="9"/>
      <c r="C16" s="9"/>
      <c r="D16" s="9"/>
      <c r="E16" s="9"/>
      <c r="F16" s="9"/>
      <c r="G16" s="9"/>
      <c r="H16" s="9"/>
      <c r="I16" s="9"/>
    </row>
    <row r="17" spans="1:9" x14ac:dyDescent="0.25">
      <c r="A17" s="9"/>
      <c r="B17" s="9"/>
      <c r="C17" s="9"/>
      <c r="D17" s="9"/>
      <c r="E17" s="9"/>
      <c r="F17" s="9"/>
      <c r="G17" s="9"/>
      <c r="H17" s="9"/>
      <c r="I17" s="9"/>
    </row>
    <row r="18" spans="1:9" x14ac:dyDescent="0.25">
      <c r="A18" s="9"/>
      <c r="B18" s="9"/>
      <c r="C18" s="9"/>
      <c r="D18" s="9"/>
      <c r="E18" s="9"/>
      <c r="F18" s="9"/>
      <c r="G18" s="9"/>
      <c r="H18" s="9"/>
      <c r="I18" s="9"/>
    </row>
    <row r="19" spans="1:9" x14ac:dyDescent="0.25">
      <c r="A19" s="9"/>
      <c r="B19" s="9"/>
      <c r="C19" s="9"/>
      <c r="D19" s="9"/>
      <c r="E19" s="9"/>
      <c r="F19" s="9"/>
      <c r="G19" s="9"/>
      <c r="H19" s="9"/>
      <c r="I19" s="9"/>
    </row>
    <row r="20" spans="1:9" x14ac:dyDescent="0.25">
      <c r="A20" s="9"/>
      <c r="B20" s="9"/>
      <c r="C20" s="9"/>
      <c r="D20" s="9"/>
      <c r="E20" s="9"/>
      <c r="F20" s="9"/>
      <c r="G20" s="9"/>
      <c r="H20" s="9"/>
      <c r="I20" s="9"/>
    </row>
    <row r="21" spans="1:9" x14ac:dyDescent="0.25">
      <c r="A21" s="9"/>
      <c r="B21" s="9"/>
      <c r="C21" s="9"/>
      <c r="D21" s="9"/>
      <c r="E21" s="9"/>
      <c r="F21" s="9"/>
      <c r="G21" s="9"/>
      <c r="H21" s="9"/>
      <c r="I21" s="9"/>
    </row>
    <row r="22" spans="1:9" x14ac:dyDescent="0.25">
      <c r="A22" s="9"/>
      <c r="B22" s="9"/>
      <c r="C22" s="9"/>
      <c r="D22" s="9"/>
      <c r="E22" s="9"/>
      <c r="F22" s="9"/>
      <c r="G22" s="9"/>
      <c r="H22" s="9"/>
      <c r="I22" s="9"/>
    </row>
    <row r="23" spans="1:9" x14ac:dyDescent="0.25">
      <c r="A23" s="9"/>
      <c r="B23" s="9"/>
      <c r="C23" s="9"/>
      <c r="D23" s="9"/>
      <c r="E23" s="9"/>
      <c r="F23" s="9"/>
      <c r="G23" s="9"/>
      <c r="H23" s="9"/>
      <c r="I23" s="9"/>
    </row>
    <row r="24" spans="1:9" x14ac:dyDescent="0.25">
      <c r="A24" s="9"/>
      <c r="B24" s="9"/>
      <c r="C24" s="9"/>
      <c r="D24" s="9"/>
      <c r="E24" s="9"/>
      <c r="F24" s="9"/>
      <c r="G24" s="9"/>
      <c r="H24" s="9"/>
      <c r="I24" s="9"/>
    </row>
    <row r="25" spans="1:9" x14ac:dyDescent="0.25">
      <c r="A25" s="9"/>
      <c r="B25" s="9"/>
      <c r="C25" s="9"/>
      <c r="D25" s="9"/>
      <c r="E25" s="9"/>
      <c r="F25" s="9"/>
      <c r="G25" s="9"/>
      <c r="H25" s="9"/>
      <c r="I25" s="9"/>
    </row>
    <row r="26" spans="1:9" x14ac:dyDescent="0.25">
      <c r="A26" s="9"/>
      <c r="B26" s="9"/>
      <c r="C26" s="9"/>
      <c r="D26" s="9"/>
      <c r="E26" s="9"/>
      <c r="F26" s="9"/>
      <c r="G26" s="9"/>
      <c r="H26" s="9"/>
      <c r="I26" s="9"/>
    </row>
    <row r="27" spans="1:9" x14ac:dyDescent="0.25">
      <c r="A27" s="9"/>
      <c r="B27" s="9"/>
      <c r="C27" s="9"/>
      <c r="D27" s="9"/>
      <c r="E27" s="9"/>
      <c r="F27" s="9"/>
      <c r="G27" s="9"/>
      <c r="H27" s="9"/>
      <c r="I27" s="9"/>
    </row>
    <row r="28" spans="1:9" x14ac:dyDescent="0.25">
      <c r="A28" s="9"/>
      <c r="B28" s="9"/>
      <c r="C28" s="9"/>
      <c r="D28" s="9"/>
      <c r="E28" s="9"/>
      <c r="F28" s="9"/>
      <c r="G28" s="9"/>
      <c r="H28" s="9"/>
      <c r="I28" s="9"/>
    </row>
    <row r="29" spans="1:9" x14ac:dyDescent="0.25">
      <c r="A29" s="9"/>
      <c r="B29" s="9"/>
      <c r="C29" s="9"/>
      <c r="D29" s="9"/>
      <c r="E29" s="9"/>
      <c r="F29" s="9"/>
      <c r="G29" s="9"/>
      <c r="H29" s="9"/>
      <c r="I29" s="9"/>
    </row>
    <row r="30" spans="1:9" x14ac:dyDescent="0.25">
      <c r="A30" s="9"/>
      <c r="B30" s="9"/>
      <c r="C30" s="9"/>
      <c r="D30" s="9"/>
      <c r="E30" s="9"/>
      <c r="F30" s="9"/>
      <c r="G30" s="9"/>
      <c r="H30" s="9"/>
      <c r="I30" s="9"/>
    </row>
    <row r="31" spans="1:9" x14ac:dyDescent="0.25">
      <c r="A31" s="9"/>
      <c r="B31" s="9"/>
      <c r="C31" s="9"/>
      <c r="D31" s="9"/>
      <c r="E31" s="9"/>
      <c r="F31" s="9"/>
      <c r="G31" s="9"/>
      <c r="H31" s="9"/>
      <c r="I31" s="9"/>
    </row>
    <row r="32" spans="1:9" x14ac:dyDescent="0.25">
      <c r="A32" s="9"/>
      <c r="B32" s="9"/>
      <c r="C32" s="9"/>
      <c r="D32" s="9"/>
      <c r="E32" s="9"/>
      <c r="F32" s="9"/>
      <c r="G32" s="9"/>
      <c r="H32" s="9"/>
      <c r="I32" s="9"/>
    </row>
  </sheetData>
  <mergeCells count="2">
    <mergeCell ref="A2:C2"/>
    <mergeCell ref="D2:E2"/>
  </mergeCells>
  <pageMargins left="0.7" right="0.7" top="0.75" bottom="0.75" header="0.3" footer="0.3"/>
  <pageSetup scale="87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2024-12-23T19:09:33Z</cp:lastPrinted>
  <dcterms:created xsi:type="dcterms:W3CDTF">2024-12-23T19:02:10Z</dcterms:created>
  <dcterms:modified xsi:type="dcterms:W3CDTF">2024-12-23T19:23:55Z</dcterms:modified>
</cp:coreProperties>
</file>