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E98EC03B-8655-4651-BF89-B4B83454F83A}" xr6:coauthVersionLast="47" xr6:coauthVersionMax="47" xr10:uidLastSave="{00000000-0000-0000-0000-000000000000}"/>
  <bookViews>
    <workbookView xWindow="4005" yWindow="1905" windowWidth="21600" windowHeight="11385" firstSheet="1" activeTab="1" xr2:uid="{00000000-000D-0000-FFFF-FFFF00000000}"/>
  </bookViews>
  <sheets>
    <sheet name="Funding Worksheet - ACH Version" sheetId="1" r:id="rId1"/>
    <sheet name="Funding Worksheet - Folder Vers" sheetId="3" r:id="rId2"/>
    <sheet name="Funding Worksheet - Signoff Ver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3" l="1"/>
  <c r="H11" i="1"/>
  <c r="E11" i="1"/>
  <c r="D11" i="1"/>
  <c r="C11" i="1"/>
</calcChain>
</file>

<file path=xl/sharedStrings.xml><?xml version="1.0" encoding="utf-8"?>
<sst xmlns="http://schemas.openxmlformats.org/spreadsheetml/2006/main" count="91" uniqueCount="59">
  <si>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</si>
  <si>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</si>
  <si>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</si>
  <si>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</si>
  <si>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</si>
  <si>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</si>
  <si>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</si>
  <si>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</si>
  <si>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</si>
  <si>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</si>
  <si>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AutoMax Preowned(Framingham)</t>
  </si>
  <si>
    <t>Neli Oliveira</t>
  </si>
  <si>
    <t>Bourne Enterprises Inc</t>
  </si>
  <si>
    <t>First Chrysler Dodge Jeep</t>
  </si>
  <si>
    <t>Rachel Gorham</t>
  </si>
  <si>
    <t>Herb Chambers Lexus of Hingham</t>
  </si>
  <si>
    <t>Column1</t>
  </si>
  <si>
    <t>Column2</t>
  </si>
  <si>
    <t>7436    2448</t>
  </si>
  <si>
    <t>Date Sigend______________________________________________</t>
  </si>
  <si>
    <t>Received By____________________________________________________________________</t>
  </si>
  <si>
    <t>Delivered By___________________________________________________________________</t>
  </si>
  <si>
    <t># 1</t>
  </si>
  <si>
    <t>GRIFFIN, ADAM</t>
  </si>
  <si>
    <t>Paper</t>
  </si>
  <si>
    <t>151135699</t>
  </si>
  <si>
    <t>Business Name</t>
  </si>
  <si>
    <t>Co-Applicant Name</t>
  </si>
  <si>
    <t>Applicant Name</t>
  </si>
  <si>
    <t>Contract Type</t>
  </si>
  <si>
    <t>Account Number</t>
  </si>
  <si>
    <t>Funding Worksheet - Signoff Version</t>
  </si>
  <si>
    <t># 4</t>
  </si>
  <si>
    <t>KONTOS</t>
  </si>
  <si>
    <t>MILLER</t>
  </si>
  <si>
    <t>ENASON3@GMAIL.COM</t>
  </si>
  <si>
    <t>DANROSS33@GMAIL.COM</t>
  </si>
  <si>
    <t>ROSS, ERICA</t>
  </si>
  <si>
    <t>ROSS III, EDWARD</t>
  </si>
  <si>
    <t>E Contract</t>
  </si>
  <si>
    <t>DealerTrack</t>
  </si>
  <si>
    <t>151135889e</t>
  </si>
  <si>
    <t>PUSKUS</t>
  </si>
  <si>
    <t>ADAMJULIUS@GMAIL.COM</t>
  </si>
  <si>
    <t>COURNOYER</t>
  </si>
  <si>
    <t>MARCELGIRARD@COX.NET</t>
  </si>
  <si>
    <t>GIRARD, MARCEL</t>
  </si>
  <si>
    <t>Route One</t>
  </si>
  <si>
    <t>151135673e</t>
  </si>
  <si>
    <t>Hicks</t>
  </si>
  <si>
    <t>HICKS, DIANE</t>
  </si>
  <si>
    <t>151135665e</t>
  </si>
  <si>
    <t>Co-App MMN</t>
  </si>
  <si>
    <t>App MMN</t>
  </si>
  <si>
    <t>Co-Applicant Email</t>
  </si>
  <si>
    <t>Applicant Email</t>
  </si>
  <si>
    <t>Amount Financed</t>
  </si>
  <si>
    <t>Portal</t>
  </si>
  <si>
    <t>Funding Worksheet - Folder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</si>
</sst>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0" fontId="1" fillId="0" borderId="0" xfId="1" applyFont="1" applyFill="1"/>
    <xf numFmtId="7" fontId="2" fillId="0" borderId="0" xfId="1" applyNumberForma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E6C60CD8-6AAD-4C78-A247-16C127CABED0}"/>
  </cellStyles>
  <dxfs count="2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11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436C2164-873E-4D21-96EF-1ED3EBCD7F2A}" name="Column1" dataDxfId="26"/>
    <tableColumn id="8" xr3:uid="{4220ECD1-BB35-4A31-8D54-EC07F4DD5A66}" name="Column2" dataDxfId="25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AF0A63-FE0B-496A-82D5-078A406FC073}" name="Table_14" displayName="Table_14" ref="A3:M8" headerRowDxfId="2" dataDxfId="0" totalsRowDxfId="1">
  <tableColumns count="13">
    <tableColumn id="1" xr3:uid="{00000000-0010-0000-0000-000001000000}" name="Account Number" dataDxfId="15"/>
    <tableColumn id="2" xr3:uid="{00000000-0010-0000-0000-000002000000}" name="Portal" dataDxfId="14"/>
    <tableColumn id="3" xr3:uid="{00000000-0010-0000-0000-000003000000}" name="Contract Type" dataDxfId="13"/>
    <tableColumn id="4" xr3:uid="{00000000-0010-0000-0000-000004000000}" name="Applicant Name" dataDxfId="12"/>
    <tableColumn id="5" xr3:uid="{00000000-0010-0000-0000-000005000000}" name="Co-Applicant Name" dataDxfId="11"/>
    <tableColumn id="6" xr3:uid="{00000000-0010-0000-0000-000006000000}" name="Dealer Name" dataDxfId="10"/>
    <tableColumn id="7" xr3:uid="{00000000-0010-0000-0000-000007000000}" name="Funded by" dataDxfId="9"/>
    <tableColumn id="8" xr3:uid="{00000000-0010-0000-0000-000008000000}" name="Amount Financed" dataDxfId="8"/>
    <tableColumn id="9" xr3:uid="{00000000-0010-0000-0000-000009000000}" name="Applicant Email" dataDxfId="7"/>
    <tableColumn id="10" xr3:uid="{00000000-0010-0000-0000-00000A000000}" name="Co-Applicant Email" dataDxfId="6"/>
    <tableColumn id="11" xr3:uid="{00000000-0010-0000-0000-00000B000000}" name="App MMN" dataDxfId="5"/>
    <tableColumn id="12" xr3:uid="{00000000-0010-0000-0000-00000C000000}" name="Co-App MMN" dataDxfId="4"/>
    <tableColumn id="13" xr3:uid="{00000000-0010-0000-0000-00000D000000}" name="Business Name" dataDxfId="3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C08C17-04AB-49BA-AFDC-F3D81826F366}" name="Table_13" displayName="Table_13" ref="A3:F5" headerRowDxfId="18" dataDxfId="16" totalsRowDxfId="17">
  <tableColumns count="6">
    <tableColumn id="1" xr3:uid="{00000000-0010-0000-0000-000001000000}" name="Account Number" dataDxfId="24"/>
    <tableColumn id="2" xr3:uid="{00000000-0010-0000-0000-000002000000}" name="Contract Type" dataDxfId="23"/>
    <tableColumn id="3" xr3:uid="{00000000-0010-0000-0000-000003000000}" name="Applicant Name" dataDxfId="22"/>
    <tableColumn id="4" xr3:uid="{00000000-0010-0000-0000-000004000000}" name="Co-Applicant Name" dataDxfId="21"/>
    <tableColumn id="5" xr3:uid="{00000000-0010-0000-0000-000005000000}" name="Dealer Name" dataDxfId="20"/>
    <tableColumn id="6" xr3:uid="{00000000-0010-0000-0000-000006000000}" name="Business Name" dataDxfId="19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>
      <pane ySplit="3" topLeftCell="A4" activePane="bottomLeft" state="frozen"/>
      <selection pane="bottomLeft" activeCell="F18" sqref="F18"/>
    </sheetView>
  </sheetViews>
  <sheetFormatPr defaultRowHeight="15" x14ac:dyDescent="0.25"/>
  <cols>
    <col min="1" max="1" width="32.5703125" bestFit="1" customWidth="1"/>
    <col min="2" max="2" width="15.140625" bestFit="1" customWidth="1"/>
    <col min="3" max="3" width="11.140625" bestFit="1" customWidth="1"/>
    <col min="4" max="4" width="16.71093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45667</v>
      </c>
      <c r="E1" t="s">
        <v>2</v>
      </c>
      <c r="H1" s="4">
        <v>45667.999988425923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16</v>
      </c>
      <c r="G3" t="s">
        <v>17</v>
      </c>
      <c r="H3" t="s">
        <v>9</v>
      </c>
    </row>
    <row r="4" spans="1:8" x14ac:dyDescent="0.25">
      <c r="A4" t="s">
        <v>10</v>
      </c>
      <c r="B4" t="s">
        <v>11</v>
      </c>
      <c r="C4" s="2">
        <v>500</v>
      </c>
      <c r="D4" s="2">
        <v>0</v>
      </c>
      <c r="E4" s="2">
        <v>25792.94</v>
      </c>
      <c r="F4" s="2"/>
      <c r="G4" s="2"/>
      <c r="H4" s="2">
        <v>25867.94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11</v>
      </c>
      <c r="C6" s="2">
        <v>500</v>
      </c>
      <c r="D6" s="2">
        <v>0</v>
      </c>
      <c r="E6" s="2">
        <v>25443.91</v>
      </c>
      <c r="F6" s="2"/>
      <c r="G6" s="2"/>
      <c r="H6" s="2">
        <v>25518.91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13</v>
      </c>
      <c r="B8" t="s">
        <v>14</v>
      </c>
      <c r="C8" s="2">
        <v>1000</v>
      </c>
      <c r="D8" s="2">
        <v>0</v>
      </c>
      <c r="E8" s="2">
        <v>52343.38</v>
      </c>
      <c r="F8" s="2"/>
      <c r="G8" s="2" t="s">
        <v>18</v>
      </c>
      <c r="H8" s="2">
        <v>52418.38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600</v>
      </c>
      <c r="D10" s="2">
        <v>0</v>
      </c>
      <c r="E10" s="2">
        <v>33086.14</v>
      </c>
      <c r="F10" s="2"/>
      <c r="G10" s="2"/>
      <c r="H10" s="2">
        <v>33161.14</v>
      </c>
    </row>
    <row r="11" spans="1:8" x14ac:dyDescent="0.25">
      <c r="A11" s="1"/>
      <c r="B11" s="1"/>
      <c r="C11" s="3">
        <f>SUM(C4:C10)</f>
        <v>2600</v>
      </c>
      <c r="D11" s="3">
        <f>SUM(D4:D10)</f>
        <v>0</v>
      </c>
      <c r="E11" s="3">
        <f>SUM(E4:E10)</f>
        <v>136666.37</v>
      </c>
      <c r="F11" s="3"/>
      <c r="G11" s="3"/>
      <c r="H11" s="3">
        <f>SUM(H4:H10)</f>
        <v>136966.37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516A-17F6-4E09-BD32-DEF41E5D7DC9}">
  <dimension ref="A1:M14"/>
  <sheetViews>
    <sheetView tabSelected="1" workbookViewId="0">
      <pane ySplit="3" topLeftCell="A4" activePane="bottomLeft" state="frozen"/>
      <selection pane="bottomLeft" activeCell="D3" sqref="D3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17.7109375" style="8" bestFit="1" customWidth="1"/>
    <col min="5" max="5" width="18.7109375" style="8" bestFit="1" customWidth="1"/>
    <col min="6" max="6" width="32.5703125" style="8" bestFit="1" customWidth="1"/>
    <col min="7" max="7" width="15.140625" style="8" bestFit="1" customWidth="1"/>
    <col min="8" max="8" width="17.140625" style="8" bestFit="1" customWidth="1"/>
    <col min="9" max="9" width="25.85546875" style="8" bestFit="1" customWidth="1"/>
    <col min="10" max="10" width="22.5703125" style="8" bestFit="1" customWidth="1"/>
    <col min="11" max="11" width="16.7109375" style="8" bestFit="1" customWidth="1"/>
    <col min="12" max="12" width="12.85546875" style="8" bestFit="1" customWidth="1"/>
    <col min="13" max="13" width="16.7109375" style="8" bestFit="1" customWidth="1"/>
    <col min="14" max="16384" width="9.140625" style="8"/>
  </cols>
  <sheetData>
    <row r="1" spans="1:13" ht="4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45667</v>
      </c>
      <c r="L1" s="9" t="s">
        <v>2</v>
      </c>
      <c r="M1" s="10">
        <v>45667.999988425923</v>
      </c>
    </row>
    <row r="2" spans="1:13" ht="45" customHeight="1" x14ac:dyDescent="0.25">
      <c r="A2" s="11" t="s">
        <v>0</v>
      </c>
      <c r="B2" s="12"/>
      <c r="C2" s="12"/>
      <c r="D2" s="12"/>
      <c r="E2" s="12"/>
      <c r="F2" s="12"/>
      <c r="G2" s="13" t="s">
        <v>58</v>
      </c>
      <c r="H2" s="12"/>
      <c r="I2" s="12"/>
      <c r="J2" s="12"/>
      <c r="K2" s="12"/>
      <c r="L2" s="12"/>
      <c r="M2" s="12"/>
    </row>
    <row r="3" spans="1:13" ht="45" customHeight="1" x14ac:dyDescent="0.25">
      <c r="A3" s="9" t="s">
        <v>30</v>
      </c>
      <c r="B3" s="9" t="s">
        <v>57</v>
      </c>
      <c r="C3" s="9" t="s">
        <v>29</v>
      </c>
      <c r="D3" s="9" t="s">
        <v>28</v>
      </c>
      <c r="E3" s="9" t="s">
        <v>27</v>
      </c>
      <c r="F3" s="9" t="s">
        <v>4</v>
      </c>
      <c r="G3" s="9" t="s">
        <v>5</v>
      </c>
      <c r="H3" s="9" t="s">
        <v>56</v>
      </c>
      <c r="I3" s="9" t="s">
        <v>55</v>
      </c>
      <c r="J3" s="9" t="s">
        <v>54</v>
      </c>
      <c r="K3" s="9" t="s">
        <v>53</v>
      </c>
      <c r="L3" s="9" t="s">
        <v>52</v>
      </c>
      <c r="M3" s="9" t="s">
        <v>26</v>
      </c>
    </row>
    <row r="4" spans="1:13" ht="45" customHeight="1" x14ac:dyDescent="0.25">
      <c r="A4" s="9" t="s">
        <v>51</v>
      </c>
      <c r="B4" s="9" t="s">
        <v>40</v>
      </c>
      <c r="C4" s="9" t="s">
        <v>39</v>
      </c>
      <c r="D4" s="9" t="s">
        <v>50</v>
      </c>
      <c r="E4" s="9"/>
      <c r="F4" s="9" t="s">
        <v>10</v>
      </c>
      <c r="G4" s="9" t="s">
        <v>11</v>
      </c>
      <c r="H4" s="15">
        <v>25867.94</v>
      </c>
      <c r="I4" s="9"/>
      <c r="J4" s="9"/>
      <c r="K4" s="9" t="s">
        <v>49</v>
      </c>
      <c r="L4" s="9"/>
      <c r="M4" s="9"/>
    </row>
    <row r="5" spans="1:13" ht="45" customHeight="1" x14ac:dyDescent="0.25">
      <c r="A5" s="9" t="s">
        <v>48</v>
      </c>
      <c r="B5" s="9" t="s">
        <v>47</v>
      </c>
      <c r="C5" s="9" t="s">
        <v>39</v>
      </c>
      <c r="D5" s="9" t="s">
        <v>46</v>
      </c>
      <c r="E5" s="9"/>
      <c r="F5" s="9" t="s">
        <v>15</v>
      </c>
      <c r="G5" s="9" t="s">
        <v>11</v>
      </c>
      <c r="H5" s="15">
        <v>33161.14</v>
      </c>
      <c r="I5" s="9" t="s">
        <v>45</v>
      </c>
      <c r="J5" s="9"/>
      <c r="K5" s="9" t="s">
        <v>44</v>
      </c>
      <c r="L5" s="9"/>
      <c r="M5" s="9"/>
    </row>
    <row r="6" spans="1:13" ht="45" customHeight="1" x14ac:dyDescent="0.25">
      <c r="A6" s="9" t="s">
        <v>25</v>
      </c>
      <c r="B6" s="9" t="s">
        <v>40</v>
      </c>
      <c r="C6" s="9" t="s">
        <v>24</v>
      </c>
      <c r="D6" s="9" t="s">
        <v>23</v>
      </c>
      <c r="E6" s="9"/>
      <c r="F6" s="9" t="s">
        <v>13</v>
      </c>
      <c r="G6" s="9" t="s">
        <v>14</v>
      </c>
      <c r="H6" s="15">
        <v>52418.38</v>
      </c>
      <c r="I6" s="9" t="s">
        <v>43</v>
      </c>
      <c r="J6" s="9"/>
      <c r="K6" s="9" t="s">
        <v>42</v>
      </c>
      <c r="L6" s="9"/>
      <c r="M6" s="9"/>
    </row>
    <row r="7" spans="1:13" ht="45" customHeight="1" x14ac:dyDescent="0.25">
      <c r="A7" s="9" t="s">
        <v>41</v>
      </c>
      <c r="B7" s="9" t="s">
        <v>40</v>
      </c>
      <c r="C7" s="9" t="s">
        <v>39</v>
      </c>
      <c r="D7" s="9" t="s">
        <v>38</v>
      </c>
      <c r="E7" s="9" t="s">
        <v>37</v>
      </c>
      <c r="F7" s="9" t="s">
        <v>12</v>
      </c>
      <c r="G7" s="9" t="s">
        <v>11</v>
      </c>
      <c r="H7" s="15">
        <v>25518.91</v>
      </c>
      <c r="I7" s="9" t="s">
        <v>36</v>
      </c>
      <c r="J7" s="9" t="s">
        <v>35</v>
      </c>
      <c r="K7" s="9" t="s">
        <v>34</v>
      </c>
      <c r="L7" s="9" t="s">
        <v>33</v>
      </c>
      <c r="M7" s="9"/>
    </row>
    <row r="8" spans="1:13" ht="45" customHeight="1" x14ac:dyDescent="0.25">
      <c r="A8" s="14"/>
      <c r="B8" s="14"/>
      <c r="C8" s="14"/>
      <c r="D8" s="14" t="s">
        <v>32</v>
      </c>
      <c r="E8" s="14"/>
      <c r="F8" s="14"/>
      <c r="G8" s="14"/>
      <c r="H8" s="16">
        <f>SUM(H4:H7)</f>
        <v>136966.37</v>
      </c>
      <c r="I8" s="14"/>
      <c r="J8" s="14"/>
      <c r="K8" s="14"/>
      <c r="L8" s="14"/>
      <c r="M8" s="14"/>
    </row>
    <row r="9" spans="1:13" ht="45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45" customHeight="1" x14ac:dyDescent="0.2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ht="45" customHeigh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spans="1:13" ht="45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spans="1:13" ht="45" customHeight="1" x14ac:dyDescent="0.25"/>
    <row r="14" spans="1:13" ht="45" customHeight="1" x14ac:dyDescent="0.25"/>
  </sheetData>
  <mergeCells count="2">
    <mergeCell ref="A2:F2"/>
    <mergeCell ref="G2:M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EEE3-8C23-4752-A086-887206EA9178}">
  <dimension ref="A1:H17"/>
  <sheetViews>
    <sheetView workbookViewId="0">
      <pane ySplit="3" topLeftCell="A4" activePane="bottomLeft" state="frozen"/>
      <selection pane="bottomLeft" activeCell="L10" sqref="L10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17.7109375" style="8" bestFit="1" customWidth="1"/>
    <col min="4" max="4" width="18.7109375" style="8" bestFit="1" customWidth="1"/>
    <col min="5" max="5" width="32.5703125" style="8" bestFit="1" customWidth="1"/>
    <col min="6" max="6" width="16.7109375" style="8" bestFit="1" customWidth="1"/>
    <col min="7" max="16384" width="9.140625" style="8"/>
  </cols>
  <sheetData>
    <row r="1" spans="1:8" x14ac:dyDescent="0.25">
      <c r="A1" s="9"/>
      <c r="B1" s="9"/>
      <c r="C1" s="9" t="s">
        <v>3</v>
      </c>
      <c r="D1" s="10">
        <v>45667</v>
      </c>
      <c r="E1" s="9" t="s">
        <v>2</v>
      </c>
      <c r="F1" s="10">
        <v>45667.999988425923</v>
      </c>
      <c r="G1" s="9"/>
      <c r="H1" s="9"/>
    </row>
    <row r="2" spans="1:8" x14ac:dyDescent="0.25">
      <c r="A2" s="11" t="s">
        <v>0</v>
      </c>
      <c r="B2" s="12"/>
      <c r="C2" s="12"/>
      <c r="D2" s="13" t="s">
        <v>31</v>
      </c>
      <c r="E2" s="12"/>
      <c r="F2" s="12"/>
      <c r="G2" s="9"/>
      <c r="H2" s="9"/>
    </row>
    <row r="3" spans="1:8" x14ac:dyDescent="0.25">
      <c r="A3" s="9" t="s">
        <v>30</v>
      </c>
      <c r="B3" s="9" t="s">
        <v>29</v>
      </c>
      <c r="C3" s="9" t="s">
        <v>28</v>
      </c>
      <c r="D3" s="9" t="s">
        <v>27</v>
      </c>
      <c r="E3" s="9" t="s">
        <v>4</v>
      </c>
      <c r="F3" s="9" t="s">
        <v>26</v>
      </c>
      <c r="G3" s="9"/>
      <c r="H3" s="9"/>
    </row>
    <row r="4" spans="1:8" x14ac:dyDescent="0.25">
      <c r="A4" s="9" t="s">
        <v>25</v>
      </c>
      <c r="B4" s="9" t="s">
        <v>24</v>
      </c>
      <c r="C4" s="9" t="s">
        <v>23</v>
      </c>
      <c r="D4" s="9"/>
      <c r="E4" s="9" t="s">
        <v>13</v>
      </c>
      <c r="F4" s="9"/>
      <c r="G4" s="9"/>
      <c r="H4" s="9"/>
    </row>
    <row r="5" spans="1:8" x14ac:dyDescent="0.25">
      <c r="A5" s="14"/>
      <c r="B5" s="14"/>
      <c r="C5" s="14" t="s">
        <v>22</v>
      </c>
      <c r="D5" s="14"/>
      <c r="E5" s="14"/>
      <c r="F5" s="14"/>
      <c r="G5" s="9"/>
      <c r="H5" s="9"/>
    </row>
    <row r="6" spans="1:8" x14ac:dyDescent="0.25">
      <c r="A6" s="9"/>
      <c r="B6" s="9"/>
      <c r="C6" s="9"/>
      <c r="D6" s="9"/>
      <c r="E6" s="9"/>
      <c r="F6" s="9"/>
      <c r="G6" s="9"/>
      <c r="H6" s="9"/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9" t="s">
        <v>21</v>
      </c>
      <c r="B8" s="9"/>
      <c r="C8" s="9"/>
      <c r="D8" s="9"/>
      <c r="E8" s="9"/>
      <c r="F8" s="9"/>
      <c r="G8" s="9"/>
      <c r="H8" s="9"/>
    </row>
    <row r="9" spans="1:8" x14ac:dyDescent="0.25">
      <c r="A9" s="9"/>
      <c r="B9" s="9"/>
      <c r="C9" s="9"/>
      <c r="D9" s="9"/>
      <c r="E9" s="9"/>
      <c r="F9" s="9"/>
      <c r="G9" s="9"/>
      <c r="H9" s="9"/>
    </row>
    <row r="10" spans="1:8" x14ac:dyDescent="0.25">
      <c r="A10" s="9"/>
      <c r="B10" s="9"/>
      <c r="C10" s="9"/>
      <c r="D10" s="9"/>
      <c r="E10" s="9"/>
      <c r="F10" s="9"/>
      <c r="G10" s="9"/>
      <c r="H10" s="9"/>
    </row>
    <row r="11" spans="1:8" x14ac:dyDescent="0.25">
      <c r="A11" s="9" t="s">
        <v>20</v>
      </c>
      <c r="B11" s="9"/>
      <c r="C11" s="9"/>
      <c r="D11" s="9"/>
      <c r="E11" s="9"/>
      <c r="F11" s="9"/>
      <c r="G11" s="9"/>
      <c r="H11" s="9"/>
    </row>
    <row r="12" spans="1:8" x14ac:dyDescent="0.25">
      <c r="A12" s="9"/>
      <c r="B12" s="9"/>
      <c r="C12" s="9"/>
      <c r="D12" s="9"/>
      <c r="E12" s="9"/>
      <c r="F12" s="9"/>
      <c r="G12" s="9"/>
      <c r="H12" s="9"/>
    </row>
    <row r="13" spans="1:8" x14ac:dyDescent="0.25">
      <c r="A13" s="9"/>
      <c r="B13" s="9"/>
      <c r="C13" s="9"/>
      <c r="D13" s="9"/>
      <c r="E13" s="9"/>
      <c r="F13" s="9"/>
      <c r="G13" s="9"/>
      <c r="H13" s="9"/>
    </row>
    <row r="14" spans="1:8" x14ac:dyDescent="0.25">
      <c r="A14" s="9" t="s">
        <v>19</v>
      </c>
      <c r="B14" s="9"/>
      <c r="C14" s="9"/>
      <c r="D14" s="9"/>
      <c r="E14" s="9"/>
      <c r="F14" s="9"/>
      <c r="G14" s="9"/>
      <c r="H14" s="9"/>
    </row>
    <row r="15" spans="1:8" x14ac:dyDescent="0.25">
      <c r="A15" s="9"/>
      <c r="B15" s="9"/>
      <c r="C15" s="9"/>
      <c r="D15" s="9"/>
      <c r="E15" s="9"/>
      <c r="F15" s="9"/>
      <c r="G15" s="9"/>
      <c r="H15" s="9"/>
    </row>
    <row r="16" spans="1:8" x14ac:dyDescent="0.25">
      <c r="A16" s="9"/>
      <c r="B16" s="9"/>
      <c r="C16" s="9"/>
      <c r="D16" s="9"/>
      <c r="E16" s="9"/>
      <c r="F16" s="9"/>
      <c r="G16" s="9"/>
      <c r="H16" s="9"/>
    </row>
    <row r="17" spans="1:8" x14ac:dyDescent="0.25">
      <c r="A17" s="9"/>
      <c r="B17" s="9"/>
      <c r="C17" s="9"/>
      <c r="D17" s="9"/>
      <c r="E17" s="9"/>
      <c r="F17" s="9"/>
      <c r="G17" s="9"/>
      <c r="H17" s="9"/>
    </row>
  </sheetData>
  <mergeCells count="2">
    <mergeCell ref="A2:C2"/>
    <mergeCell ref="D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dcterms:created xsi:type="dcterms:W3CDTF">2025-01-10T19:08:22Z</dcterms:created>
  <dcterms:modified xsi:type="dcterms:W3CDTF">2025-01-10T19:42:44Z</dcterms:modified>
</cp:coreProperties>
</file>