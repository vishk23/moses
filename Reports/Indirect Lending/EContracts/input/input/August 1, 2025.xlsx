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23EE90D9-82E7-450D-AAA0-6DB69287091C}" xr6:coauthVersionLast="47" xr6:coauthVersionMax="47" xr10:uidLastSave="{00000000-0000-0000-0000-000000000000}"/>
  <bookViews>
    <workbookView xWindow="31335" yWindow="2115" windowWidth="20580" windowHeight="13965" xr2:uid="{00000000-000D-0000-FFFF-FFFF00000000}"/>
  </bookViews>
  <sheets>
    <sheet name="Funding Worksheet - Folder Vers" sheetId="1" r:id="rId1"/>
    <sheet name="Funding Worksheet - ACH" sheetId="2" r:id="rId2"/>
    <sheet name="NO paper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H19" i="2"/>
  <c r="F19" i="2"/>
  <c r="E19" i="2"/>
  <c r="D19" i="2"/>
  <c r="H12" i="1"/>
</calcChain>
</file>

<file path=xl/sharedStrings.xml><?xml version="1.0" encoding="utf-8"?>
<sst xmlns="http://schemas.openxmlformats.org/spreadsheetml/2006/main" count="110" uniqueCount="71">
  <si>
    <t>Bristol County Savings Bank</t>
  </si>
  <si>
    <t>Funding Worksheet - Folder Version</t>
  </si>
  <si>
    <t>To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</si>
  <si>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</si>
  <si>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</si>
  <si>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</si>
  <si>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</si>
  <si>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</si>
  <si>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</si>
  <si>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</si>
  <si>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</si>
  <si>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</si>
  <si>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</si>
  <si>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</si>
  <si>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</si>
  <si>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</si>
  <si>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</si>
  <si>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CAWLEY, SHANNON</t>
  </si>
  <si>
    <t>Wareham Ford</t>
  </si>
  <si>
    <t>Marlene Braganca</t>
  </si>
  <si>
    <t>shannonacawley@gmail.com</t>
  </si>
  <si>
    <t>Goode</t>
  </si>
  <si>
    <t>HABEKOST, JOHN</t>
  </si>
  <si>
    <t>T F Murphy Enterprises Inc</t>
  </si>
  <si>
    <t>Neli Oliveira</t>
  </si>
  <si>
    <t>JOHNHABS104@GMAIL.COM</t>
  </si>
  <si>
    <t>MERRILL</t>
  </si>
  <si>
    <t>MONTOYA GUZMAN, ANDRES</t>
  </si>
  <si>
    <t>Grieco Toyota</t>
  </si>
  <si>
    <t>NEWENGLANDUSA@HOTMAIL.COM</t>
  </si>
  <si>
    <t>GUZMAN</t>
  </si>
  <si>
    <t>CHACHA TANDAZO, ROSA</t>
  </si>
  <si>
    <t>PENAFIEL CABRERA, FLAVIO</t>
  </si>
  <si>
    <t>FLAVIOPENAFIEL75@GMAIL.COM</t>
  </si>
  <si>
    <t>TANDAZO</t>
  </si>
  <si>
    <t>CABRERA</t>
  </si>
  <si>
    <t>COUGHLIN, JOHN</t>
  </si>
  <si>
    <t>Hiller Co Inc</t>
  </si>
  <si>
    <t>Rachel Gorham</t>
  </si>
  <si>
    <t>MEADOWS</t>
  </si>
  <si>
    <t>LEBLANC, TYLER</t>
  </si>
  <si>
    <t>Mathieu Ford Sales, Inc</t>
  </si>
  <si>
    <t>TYLERLEBLANC9393@YAHOO.COM</t>
  </si>
  <si>
    <t>DEVEAU</t>
  </si>
  <si>
    <t>Vautour, Jennifer</t>
  </si>
  <si>
    <t>Mcallister, Richard</t>
  </si>
  <si>
    <t>Salvadore Chevrolet</t>
  </si>
  <si>
    <t>rickmacjr@icloud.com</t>
  </si>
  <si>
    <t>Brissette</t>
  </si>
  <si>
    <t>Guertin</t>
  </si>
  <si>
    <t>DealerTrack</t>
  </si>
  <si>
    <t>YANKEVYCH, OLEKSANDR</t>
  </si>
  <si>
    <t>BID Cars Boston</t>
  </si>
  <si>
    <t>8150496@gmail.com</t>
  </si>
  <si>
    <t>Melnikova</t>
  </si>
  <si>
    <t># 8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</si>
  <si>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</si>
  <si>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</si>
  <si>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</si>
  <si>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</si>
  <si>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</si>
  <si>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</si>
  <si>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</si>
  <si>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151208777 E</t>
  </si>
  <si>
    <t>151208826 E</t>
  </si>
  <si>
    <t>151208834 E</t>
  </si>
  <si>
    <t>151208868 E</t>
  </si>
  <si>
    <t>151208892 E</t>
  </si>
  <si>
    <t>151208917 E</t>
  </si>
  <si>
    <t>151208967 E</t>
  </si>
  <si>
    <t>151208983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</si>
</sst>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7" fontId="3" fillId="0" borderId="0" xfId="0" applyNumberFormat="1" applyFont="1"/>
    <xf numFmtId="0" fontId="4" fillId="0" borderId="0" xfId="0" applyFont="1"/>
    <xf numFmtId="7" fontId="4" fillId="0" borderId="0" xfId="0" applyNumberFormat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2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64FA6B-243C-4442-8BDC-4BBCB4B85007}" name="Table_14" displayName="Table_14" ref="A3:H19">
  <tableColumns count="8">
    <tableColumn id="1" xr3:uid="{22DB3E8F-B329-4975-80F7-C15EE34DA47E}" name="Dealer Name"/>
    <tableColumn id="8" xr3:uid="{574AB308-9F5D-47EA-AA34-A5E51618921D}" name="Column2"/>
    <tableColumn id="2" xr3:uid="{B00CBBB3-54D0-4B78-8568-6AA42DE1D9AF}" name="Funded by"/>
    <tableColumn id="3" xr3:uid="{DC50978F-DB0A-403E-9137-AA67BB43F79C}" name="Dealer Flat"/>
    <tableColumn id="4" xr3:uid="{D3974A35-5311-44A9-91E5-6C99B2B82258}" name="Dealer Split"/>
    <tableColumn id="5" xr3:uid="{93E599F6-A1D7-4240-9FEB-BAD16FEFE505}" name="Net to Dealer"/>
    <tableColumn id="7" xr3:uid="{82427E97-38DC-4CF5-8036-F762B1A49095}" name="Column1" dataDxfId="15"/>
    <tableColumn id="6" xr3:uid="{11068FAF-6A29-472C-AB16-47C015E1AE29}" name="Contracted Amount Financ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"/>
  <sheetViews>
    <sheetView tabSelected="1" workbookViewId="0">
      <pane ySplit="3" topLeftCell="A4" activePane="bottomLeft" state="frozen"/>
      <selection pane="bottomLeft" activeCell="H16" sqref="H16"/>
    </sheetView>
  </sheetViews>
  <sheetFormatPr defaultRowHeight="15.75" x14ac:dyDescent="0.25"/>
  <cols>
    <col min="1" max="1" width="16.42578125" style="9" bestFit="1" customWidth="1"/>
    <col min="2" max="2" width="12.140625" style="9" bestFit="1" customWidth="1"/>
    <col min="3" max="3" width="14" style="9" bestFit="1" customWidth="1"/>
    <col min="4" max="4" width="28" style="9" bestFit="1" customWidth="1"/>
    <col min="5" max="5" width="19.28515625" style="9" customWidth="1"/>
    <col min="6" max="6" width="25.5703125" style="9" bestFit="1" customWidth="1"/>
    <col min="7" max="7" width="17.7109375" style="9" bestFit="1" customWidth="1"/>
    <col min="8" max="8" width="15.5703125" style="9" customWidth="1"/>
    <col min="9" max="9" width="33.140625" style="9" bestFit="1" customWidth="1"/>
    <col min="10" max="10" width="31.140625" style="9" bestFit="1" customWidth="1"/>
    <col min="11" max="11" width="15" style="9" bestFit="1" customWidth="1"/>
    <col min="12" max="12" width="12.85546875" style="9" bestFit="1" customWidth="1"/>
    <col min="13" max="16384" width="9.140625" style="9"/>
  </cols>
  <sheetData>
    <row r="1" spans="1:12" x14ac:dyDescent="0.25">
      <c r="K1" s="10">
        <v>45870</v>
      </c>
      <c r="L1" s="9" t="s">
        <v>2</v>
      </c>
    </row>
    <row r="2" spans="1:12" x14ac:dyDescent="0.25">
      <c r="A2" s="11" t="s">
        <v>0</v>
      </c>
      <c r="B2" s="12"/>
      <c r="C2" s="12"/>
      <c r="D2" s="12"/>
      <c r="E2" s="12"/>
      <c r="F2" s="12"/>
      <c r="G2" s="13" t="s">
        <v>1</v>
      </c>
      <c r="H2" s="12"/>
      <c r="I2" s="12"/>
      <c r="J2" s="12"/>
      <c r="K2" s="12"/>
      <c r="L2" s="12"/>
    </row>
    <row r="3" spans="1:12" x14ac:dyDescent="0.25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</row>
    <row r="4" spans="1:12" ht="33" customHeight="1" x14ac:dyDescent="0.25">
      <c r="A4" s="9" t="s">
        <v>63</v>
      </c>
      <c r="B4" s="9" t="s">
        <v>15</v>
      </c>
      <c r="C4" s="9" t="s">
        <v>16</v>
      </c>
      <c r="D4" s="9" t="s">
        <v>17</v>
      </c>
      <c r="F4" s="9" t="s">
        <v>18</v>
      </c>
      <c r="G4" s="9" t="s">
        <v>19</v>
      </c>
      <c r="H4" s="14">
        <v>35048.080000000002</v>
      </c>
      <c r="I4" s="9" t="s">
        <v>20</v>
      </c>
      <c r="K4" s="9" t="s">
        <v>21</v>
      </c>
    </row>
    <row r="5" spans="1:12" ht="33" customHeight="1" x14ac:dyDescent="0.25">
      <c r="A5" s="9" t="s">
        <v>64</v>
      </c>
      <c r="B5" s="9" t="s">
        <v>15</v>
      </c>
      <c r="C5" s="9" t="s">
        <v>16</v>
      </c>
      <c r="D5" s="9" t="s">
        <v>22</v>
      </c>
      <c r="F5" s="9" t="s">
        <v>23</v>
      </c>
      <c r="G5" s="9" t="s">
        <v>24</v>
      </c>
      <c r="H5" s="14">
        <v>20579.75</v>
      </c>
      <c r="I5" s="9" t="s">
        <v>25</v>
      </c>
      <c r="K5" s="9" t="s">
        <v>26</v>
      </c>
    </row>
    <row r="6" spans="1:12" ht="33" customHeight="1" x14ac:dyDescent="0.25">
      <c r="A6" s="9" t="s">
        <v>65</v>
      </c>
      <c r="B6" s="9" t="s">
        <v>15</v>
      </c>
      <c r="C6" s="9" t="s">
        <v>16</v>
      </c>
      <c r="D6" s="9" t="s">
        <v>27</v>
      </c>
      <c r="F6" s="9" t="s">
        <v>28</v>
      </c>
      <c r="G6" s="9" t="s">
        <v>24</v>
      </c>
      <c r="H6" s="14">
        <v>37492.44</v>
      </c>
      <c r="I6" s="9" t="s">
        <v>29</v>
      </c>
      <c r="K6" s="9" t="s">
        <v>30</v>
      </c>
    </row>
    <row r="7" spans="1:12" ht="33" customHeight="1" x14ac:dyDescent="0.25">
      <c r="A7" s="9" t="s">
        <v>66</v>
      </c>
      <c r="B7" s="9" t="s">
        <v>15</v>
      </c>
      <c r="C7" s="9" t="s">
        <v>16</v>
      </c>
      <c r="D7" s="9" t="s">
        <v>31</v>
      </c>
      <c r="E7" s="17" t="s">
        <v>32</v>
      </c>
      <c r="F7" s="9" t="s">
        <v>28</v>
      </c>
      <c r="G7" s="9" t="s">
        <v>24</v>
      </c>
      <c r="H7" s="14">
        <v>65497.23</v>
      </c>
      <c r="J7" s="9" t="s">
        <v>33</v>
      </c>
      <c r="K7" s="9" t="s">
        <v>34</v>
      </c>
      <c r="L7" s="9" t="s">
        <v>35</v>
      </c>
    </row>
    <row r="8" spans="1:12" ht="33" customHeight="1" x14ac:dyDescent="0.25">
      <c r="A8" s="9" t="s">
        <v>67</v>
      </c>
      <c r="B8" s="9" t="s">
        <v>15</v>
      </c>
      <c r="C8" s="9" t="s">
        <v>16</v>
      </c>
      <c r="D8" s="9" t="s">
        <v>36</v>
      </c>
      <c r="F8" s="9" t="s">
        <v>37</v>
      </c>
      <c r="G8" s="9" t="s">
        <v>38</v>
      </c>
      <c r="H8" s="14">
        <v>38154</v>
      </c>
      <c r="K8" s="9" t="s">
        <v>39</v>
      </c>
    </row>
    <row r="9" spans="1:12" ht="33" customHeight="1" x14ac:dyDescent="0.25">
      <c r="A9" s="9" t="s">
        <v>68</v>
      </c>
      <c r="B9" s="9" t="s">
        <v>15</v>
      </c>
      <c r="C9" s="9" t="s">
        <v>16</v>
      </c>
      <c r="D9" s="9" t="s">
        <v>40</v>
      </c>
      <c r="F9" s="9" t="s">
        <v>41</v>
      </c>
      <c r="G9" s="9" t="s">
        <v>38</v>
      </c>
      <c r="H9" s="14">
        <v>35154.629999999997</v>
      </c>
      <c r="I9" s="9" t="s">
        <v>42</v>
      </c>
      <c r="K9" s="9" t="s">
        <v>43</v>
      </c>
    </row>
    <row r="10" spans="1:12" ht="33" customHeight="1" x14ac:dyDescent="0.25">
      <c r="A10" s="9" t="s">
        <v>69</v>
      </c>
      <c r="B10" s="9" t="s">
        <v>15</v>
      </c>
      <c r="C10" s="9" t="s">
        <v>16</v>
      </c>
      <c r="D10" s="9" t="s">
        <v>44</v>
      </c>
      <c r="E10" s="9" t="s">
        <v>45</v>
      </c>
      <c r="F10" s="9" t="s">
        <v>46</v>
      </c>
      <c r="G10" s="9" t="s">
        <v>19</v>
      </c>
      <c r="H10" s="14">
        <v>24173.85</v>
      </c>
      <c r="I10" s="9" t="s">
        <v>47</v>
      </c>
      <c r="J10" s="9" t="s">
        <v>47</v>
      </c>
      <c r="K10" s="9" t="s">
        <v>48</v>
      </c>
      <c r="L10" s="9" t="s">
        <v>49</v>
      </c>
    </row>
    <row r="11" spans="1:12" ht="33" customHeight="1" x14ac:dyDescent="0.25">
      <c r="A11" s="9" t="s">
        <v>70</v>
      </c>
      <c r="B11" s="9" t="s">
        <v>50</v>
      </c>
      <c r="C11" s="9" t="s">
        <v>16</v>
      </c>
      <c r="D11" s="9" t="s">
        <v>51</v>
      </c>
      <c r="F11" s="9" t="s">
        <v>52</v>
      </c>
      <c r="G11" s="9" t="s">
        <v>19</v>
      </c>
      <c r="H11" s="14">
        <v>22575.81</v>
      </c>
      <c r="I11" s="9" t="s">
        <v>53</v>
      </c>
      <c r="K11" s="9" t="s">
        <v>54</v>
      </c>
    </row>
    <row r="12" spans="1:12" x14ac:dyDescent="0.25">
      <c r="A12" s="15"/>
      <c r="B12" s="15"/>
      <c r="C12" s="15"/>
      <c r="D12" s="15" t="s">
        <v>55</v>
      </c>
      <c r="E12" s="15"/>
      <c r="F12" s="15"/>
      <c r="G12" s="15"/>
      <c r="H12" s="16">
        <f>SUM(H4:H11)</f>
        <v>278675.79000000004</v>
      </c>
      <c r="I12" s="15"/>
      <c r="J12" s="15"/>
      <c r="K12" s="15"/>
      <c r="L12" s="15"/>
    </row>
  </sheetData>
  <mergeCells count="2">
    <mergeCell ref="A2:F2"/>
    <mergeCell ref="G2:L2"/>
  </mergeCells>
  <pageMargins left="0.7" right="0.2" top="0.75" bottom="0.75" header="0.3" footer="0.3"/>
  <pageSetup paperSize="5" scale="6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FE1F-F9DC-461F-B517-F3305E45EBFC}">
  <sheetPr>
    <pageSetUpPr fitToPage="1"/>
  </sheetPr>
  <dimension ref="A1:H19"/>
  <sheetViews>
    <sheetView topLeftCell="A10" workbookViewId="0">
      <selection activeCell="D16" sqref="D16"/>
    </sheetView>
  </sheetViews>
  <sheetFormatPr defaultRowHeight="15" x14ac:dyDescent="0.25"/>
  <cols>
    <col min="1" max="1" width="22.85546875" customWidth="1"/>
    <col min="2" max="2" width="2.140625" customWidth="1"/>
    <col min="3" max="3" width="18.7109375" customWidth="1"/>
    <col min="4" max="4" width="18.42578125" customWidth="1"/>
    <col min="5" max="5" width="18" customWidth="1"/>
    <col min="6" max="6" width="18.28515625" customWidth="1"/>
    <col min="7" max="7" width="14" customWidth="1"/>
    <col min="8" max="8" width="24.140625" customWidth="1"/>
  </cols>
  <sheetData>
    <row r="1" spans="1:8" x14ac:dyDescent="0.25">
      <c r="E1" s="4"/>
      <c r="H1" s="4">
        <v>45870.999988425923</v>
      </c>
    </row>
    <row r="2" spans="1:8" x14ac:dyDescent="0.25">
      <c r="A2" s="5" t="s">
        <v>0</v>
      </c>
      <c r="B2" s="5"/>
      <c r="C2" s="6"/>
      <c r="D2" s="6"/>
      <c r="E2" s="7" t="s">
        <v>56</v>
      </c>
      <c r="F2" s="6"/>
      <c r="G2" s="6"/>
      <c r="H2" s="6"/>
    </row>
    <row r="3" spans="1:8" x14ac:dyDescent="0.25">
      <c r="A3" t="s">
        <v>8</v>
      </c>
      <c r="B3" t="s">
        <v>62</v>
      </c>
      <c r="C3" t="s">
        <v>9</v>
      </c>
      <c r="D3" t="s">
        <v>57</v>
      </c>
      <c r="E3" t="s">
        <v>58</v>
      </c>
      <c r="F3" t="s">
        <v>59</v>
      </c>
      <c r="G3" t="s">
        <v>61</v>
      </c>
      <c r="H3" t="s">
        <v>60</v>
      </c>
    </row>
    <row r="4" spans="1:8" ht="27" customHeight="1" x14ac:dyDescent="0.25">
      <c r="A4" t="s">
        <v>52</v>
      </c>
      <c r="C4" t="s">
        <v>19</v>
      </c>
      <c r="D4" s="2">
        <v>650</v>
      </c>
      <c r="E4" s="2">
        <v>0</v>
      </c>
      <c r="F4" s="8">
        <v>22500.81</v>
      </c>
      <c r="G4" s="2"/>
      <c r="H4" s="2">
        <v>22575.81</v>
      </c>
    </row>
    <row r="5" spans="1:8" ht="27" customHeight="1" x14ac:dyDescent="0.25">
      <c r="D5" s="2"/>
      <c r="E5" s="2"/>
      <c r="F5" s="2"/>
      <c r="G5" s="2"/>
      <c r="H5" s="2"/>
    </row>
    <row r="6" spans="1:8" ht="27" customHeight="1" x14ac:dyDescent="0.25">
      <c r="A6" t="s">
        <v>28</v>
      </c>
      <c r="C6" t="s">
        <v>24</v>
      </c>
      <c r="D6" s="2">
        <v>1350</v>
      </c>
      <c r="E6" s="2">
        <v>0</v>
      </c>
      <c r="F6" s="2">
        <v>65422.23</v>
      </c>
      <c r="G6" s="2"/>
      <c r="H6" s="2">
        <v>65497.23</v>
      </c>
    </row>
    <row r="7" spans="1:8" ht="27" customHeight="1" x14ac:dyDescent="0.25">
      <c r="A7" t="s">
        <v>28</v>
      </c>
      <c r="C7" t="s">
        <v>24</v>
      </c>
      <c r="D7" s="2">
        <v>950</v>
      </c>
      <c r="E7" s="2">
        <v>0</v>
      </c>
      <c r="F7" s="2">
        <v>37417.440000000002</v>
      </c>
      <c r="G7" s="8">
        <f>SUM(F6:F7)</f>
        <v>102839.67000000001</v>
      </c>
      <c r="H7" s="2">
        <v>37492.44</v>
      </c>
    </row>
    <row r="8" spans="1:8" ht="27" customHeight="1" x14ac:dyDescent="0.25">
      <c r="D8" s="2"/>
      <c r="E8" s="2"/>
      <c r="F8" s="2"/>
      <c r="G8" s="2"/>
      <c r="H8" s="2"/>
    </row>
    <row r="9" spans="1:8" ht="27" customHeight="1" x14ac:dyDescent="0.25">
      <c r="A9" t="s">
        <v>37</v>
      </c>
      <c r="C9" t="s">
        <v>38</v>
      </c>
      <c r="D9" s="2">
        <v>950</v>
      </c>
      <c r="E9" s="2">
        <v>0</v>
      </c>
      <c r="F9" s="8">
        <v>38079</v>
      </c>
      <c r="G9" s="2"/>
      <c r="H9" s="2">
        <v>38154</v>
      </c>
    </row>
    <row r="10" spans="1:8" ht="27" customHeight="1" x14ac:dyDescent="0.25">
      <c r="D10" s="2"/>
      <c r="E10" s="2"/>
      <c r="F10" s="8"/>
      <c r="G10" s="2"/>
      <c r="H10" s="2"/>
    </row>
    <row r="11" spans="1:8" ht="27" customHeight="1" x14ac:dyDescent="0.25">
      <c r="A11" t="s">
        <v>41</v>
      </c>
      <c r="C11" t="s">
        <v>38</v>
      </c>
      <c r="D11" s="2">
        <v>950</v>
      </c>
      <c r="E11" s="2">
        <v>0</v>
      </c>
      <c r="F11" s="8">
        <v>35079.629999999997</v>
      </c>
      <c r="G11" s="2"/>
      <c r="H11" s="2">
        <v>35154.629999999997</v>
      </c>
    </row>
    <row r="12" spans="1:8" ht="27" customHeight="1" x14ac:dyDescent="0.25">
      <c r="D12" s="2"/>
      <c r="E12" s="2"/>
      <c r="F12" s="8"/>
      <c r="G12" s="2"/>
      <c r="H12" s="2"/>
    </row>
    <row r="13" spans="1:8" ht="27" customHeight="1" x14ac:dyDescent="0.25">
      <c r="A13" t="s">
        <v>46</v>
      </c>
      <c r="C13" t="s">
        <v>19</v>
      </c>
      <c r="D13" s="2">
        <v>650</v>
      </c>
      <c r="E13" s="2">
        <v>0</v>
      </c>
      <c r="F13" s="8">
        <v>24098.85</v>
      </c>
      <c r="G13" s="2"/>
      <c r="H13" s="2">
        <v>24173.85</v>
      </c>
    </row>
    <row r="14" spans="1:8" ht="27" customHeight="1" x14ac:dyDescent="0.25">
      <c r="D14" s="2"/>
      <c r="E14" s="2"/>
      <c r="F14" s="8"/>
      <c r="G14" s="2"/>
      <c r="H14" s="2"/>
    </row>
    <row r="15" spans="1:8" ht="27" customHeight="1" x14ac:dyDescent="0.25">
      <c r="A15" t="s">
        <v>23</v>
      </c>
      <c r="C15" t="s">
        <v>24</v>
      </c>
      <c r="D15" s="2">
        <v>650</v>
      </c>
      <c r="E15" s="2">
        <v>0</v>
      </c>
      <c r="F15" s="8">
        <v>20504.75</v>
      </c>
      <c r="G15" s="2"/>
      <c r="H15" s="2">
        <v>20579.75</v>
      </c>
    </row>
    <row r="16" spans="1:8" ht="27" customHeight="1" x14ac:dyDescent="0.25">
      <c r="D16" s="2"/>
      <c r="E16" s="2"/>
      <c r="F16" s="8"/>
      <c r="G16" s="2"/>
      <c r="H16" s="2"/>
    </row>
    <row r="17" spans="1:8" ht="27" customHeight="1" x14ac:dyDescent="0.25">
      <c r="A17" t="s">
        <v>18</v>
      </c>
      <c r="C17" t="s">
        <v>19</v>
      </c>
      <c r="D17" s="2">
        <v>950</v>
      </c>
      <c r="E17" s="2">
        <v>0</v>
      </c>
      <c r="F17" s="8">
        <v>34973.08</v>
      </c>
      <c r="G17" s="2"/>
      <c r="H17" s="2">
        <v>35048.080000000002</v>
      </c>
    </row>
    <row r="18" spans="1:8" x14ac:dyDescent="0.25">
      <c r="D18" s="2"/>
      <c r="E18" s="2"/>
      <c r="F18" s="2"/>
      <c r="G18" s="2"/>
      <c r="H18" s="2"/>
    </row>
    <row r="19" spans="1:8" x14ac:dyDescent="0.25">
      <c r="A19" s="1"/>
      <c r="B19" s="1"/>
      <c r="C19" s="1"/>
      <c r="D19" s="3">
        <f>SUM(D4:D17)</f>
        <v>7100</v>
      </c>
      <c r="E19" s="3">
        <f>SUM(E4:E17)</f>
        <v>0</v>
      </c>
      <c r="F19" s="3">
        <f>SUM(F4:F17)</f>
        <v>278075.79000000004</v>
      </c>
      <c r="G19" s="3"/>
      <c r="H19" s="3">
        <f>SUM(H4:H17)</f>
        <v>278675.79000000004</v>
      </c>
    </row>
  </sheetData>
  <mergeCells count="2">
    <mergeCell ref="A2:D2"/>
    <mergeCell ref="E2:H2"/>
  </mergeCells>
  <pageMargins left="0.7" right="0.7" top="0.75" bottom="0.75" header="0.3" footer="0.3"/>
  <pageSetup scale="8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3F14-A10C-49DF-BAB5-42DC8C034241}">
  <dimension ref="A1"/>
  <sheetViews>
    <sheetView workbookViewId="0">
      <selection activeCell="J16" sqref="J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NO paper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2025-08-01T18:25:00Z</cp:lastPrinted>
  <dcterms:created xsi:type="dcterms:W3CDTF">2025-08-01T18:05:56Z</dcterms:created>
  <dcterms:modified xsi:type="dcterms:W3CDTF">2025-08-01T18:43:55Z</dcterms:modified>
</cp:coreProperties>
</file>