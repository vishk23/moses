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20BB997-290C-4B70-B21A-EB42E81EE26F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17" i="1"/>
  <c r="F5" i="1"/>
  <c r="H28" i="1"/>
  <c r="E28" i="1"/>
  <c r="D28" i="1"/>
  <c r="C28" i="1"/>
</calcChain>
</file>

<file path=xl/sharedStrings.xml><?xml version="1.0" encoding="utf-8"?>
<sst xmlns="http://schemas.openxmlformats.org/spreadsheetml/2006/main" count="191" uniqueCount="107">
  <si>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</si>
  <si>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</si>
  <si>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</si>
  <si>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</si>
  <si>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</si>
  <si>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</si>
  <si>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</si>
  <si>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</si>
  <si>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</si>
  <si>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</si>
  <si>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First Hyundai</t>
  </si>
  <si>
    <t>Marlene Braganca</t>
  </si>
  <si>
    <t>Neli Oliveira</t>
  </si>
  <si>
    <t>Mastria Buick Pontiac</t>
  </si>
  <si>
    <t>Metro Honda</t>
  </si>
  <si>
    <t>New England Automax Inc (marlborough)</t>
  </si>
  <si>
    <t>Patriot Auto Group Inc d/b/a</t>
  </si>
  <si>
    <t>Planet Subaru</t>
  </si>
  <si>
    <t>Salvadore Chevrolet</t>
  </si>
  <si>
    <t>Silko Motor Sales Inc</t>
  </si>
  <si>
    <t>T F Murphy Enterprises Inc</t>
  </si>
  <si>
    <t>Tasca Automotive Group Rt 6 One Inc</t>
  </si>
  <si>
    <t>Wareham Ford</t>
  </si>
  <si>
    <t>Column1</t>
  </si>
  <si>
    <t>Column2</t>
  </si>
  <si>
    <t>2330     8209</t>
  </si>
  <si>
    <t>4453 2150</t>
  </si>
  <si>
    <t># 14</t>
  </si>
  <si>
    <t>HADSALL</t>
  </si>
  <si>
    <t>KERSTINPALM1@GMAIL.COM</t>
  </si>
  <si>
    <t>PALM SLOANE, KERSTIN</t>
  </si>
  <si>
    <t>E Contract</t>
  </si>
  <si>
    <t>DealerTrack</t>
  </si>
  <si>
    <t>151200319e</t>
  </si>
  <si>
    <t>POLISSE</t>
  </si>
  <si>
    <t>MADROSE36@GMAIL.COM</t>
  </si>
  <si>
    <t>SULLIVAN, STEPHEN</t>
  </si>
  <si>
    <t>151200294e</t>
  </si>
  <si>
    <t>BYLER</t>
  </si>
  <si>
    <t>CALDEALCLAN@GMAIL.COM</t>
  </si>
  <si>
    <t>DEAL, CALVIN</t>
  </si>
  <si>
    <t>151200260e</t>
  </si>
  <si>
    <t>PERRYMAN</t>
  </si>
  <si>
    <t>javantooley@gmail.com</t>
  </si>
  <si>
    <t>TOOLEY, JAVAN</t>
  </si>
  <si>
    <t>Route One</t>
  </si>
  <si>
    <t>151200202e</t>
  </si>
  <si>
    <t>LAFLAME</t>
  </si>
  <si>
    <t>DAVIES</t>
  </si>
  <si>
    <t>NROSSI3434@COX.NET</t>
  </si>
  <si>
    <t>ROSSI, NICHOLAS</t>
  </si>
  <si>
    <t>ROSSI, LORI</t>
  </si>
  <si>
    <t>Tutin</t>
  </si>
  <si>
    <t>hclark123@gmail.com</t>
  </si>
  <si>
    <t>CLARK, HEIDI</t>
  </si>
  <si>
    <t>Paper</t>
  </si>
  <si>
    <t>151200187</t>
  </si>
  <si>
    <t>LALITA</t>
  </si>
  <si>
    <t>LOKESH.SAINI@GMAIL.COM</t>
  </si>
  <si>
    <t>SAINI, LOKESH</t>
  </si>
  <si>
    <t>151200179e</t>
  </si>
  <si>
    <t>Sabtinelli</t>
  </si>
  <si>
    <t>jhicks@roiind.com</t>
  </si>
  <si>
    <t>Hicks, Kerrie</t>
  </si>
  <si>
    <t>151200161e</t>
  </si>
  <si>
    <t>Gaouette</t>
  </si>
  <si>
    <t>Enos</t>
  </si>
  <si>
    <t>neal@conticanvas.com</t>
  </si>
  <si>
    <t>CONTI, CHRISTOPHER</t>
  </si>
  <si>
    <t>FERREIRA, NEAL</t>
  </si>
  <si>
    <t>151200145e</t>
  </si>
  <si>
    <t>BARR</t>
  </si>
  <si>
    <t>JUSTINFULOP@GMAIL.COM</t>
  </si>
  <si>
    <t>FULOP, JUSTIN</t>
  </si>
  <si>
    <t>151200137e</t>
  </si>
  <si>
    <t>MERINO</t>
  </si>
  <si>
    <t>SONIZ</t>
  </si>
  <si>
    <t>LOPEZ MERINO, CARLOS</t>
  </si>
  <si>
    <t>LOPEZ PALENCIA, SAYRA</t>
  </si>
  <si>
    <t>151200111e</t>
  </si>
  <si>
    <t>Osenkowski</t>
  </si>
  <si>
    <t>JLUCAS4042@YAHOO.COM</t>
  </si>
  <si>
    <t>LUCAS, JAMES</t>
  </si>
  <si>
    <t>151200103e</t>
  </si>
  <si>
    <t>Lyne</t>
  </si>
  <si>
    <t>SANFT, ALEXANDRA</t>
  </si>
  <si>
    <t>151200046e</t>
  </si>
  <si>
    <t>Leonard</t>
  </si>
  <si>
    <t>KEVINJAMESDOAK@GMAIL.COM</t>
  </si>
  <si>
    <t>DOAK, KEVIN</t>
  </si>
  <si>
    <t>151200038e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</si>
  <si>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</si>
  <si>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</si>
  <si>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</si>
  <si>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</si>
  <si>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</si>
  <si>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</si>
  <si>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</si>
  <si>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</si>
  <si>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</si>
  <si>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</si>
  <si>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</si>
  <si>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sgined_____________________________________________</t>
  </si>
  <si>
    <t>Received By_________________________________________________________________________________</t>
  </si>
  <si>
    <t>Delivered By_________________________________________________________________________________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</si>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</sst>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FC449EB6-2918-4106-AE30-A733531F7CD7}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7DD48AB8-E515-4826-88F3-83FEB7156FBD}" name="Column1" dataDxfId="23"/>
    <tableColumn id="8" xr3:uid="{6660F700-DB8A-44F8-8850-CA4CFBC4D220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A8CF8E-2B05-4DD2-A175-36B70703559F}" name="Table_13" displayName="Table_13" ref="A3:L18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4AAE9-A32A-408B-B9B6-0401078B2841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workbookViewId="0">
      <pane ySplit="3" topLeftCell="A4" activePane="bottomLeft" state="frozen"/>
      <selection pane="bottomLeft" activeCell="O10" sqref="O10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1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45846</v>
      </c>
      <c r="E1" t="s">
        <v>2</v>
      </c>
      <c r="H1" s="4">
        <v>45846.999988425923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18158.650000000001</v>
      </c>
      <c r="F4" s="2"/>
      <c r="G4" s="2"/>
      <c r="H4" s="2">
        <v>18233.650000000001</v>
      </c>
    </row>
    <row r="5" spans="1:8" x14ac:dyDescent="0.25">
      <c r="A5" t="s">
        <v>10</v>
      </c>
      <c r="B5" t="s">
        <v>12</v>
      </c>
      <c r="C5" s="2">
        <v>1050</v>
      </c>
      <c r="D5" s="2">
        <v>0</v>
      </c>
      <c r="E5" s="2">
        <v>40277.65</v>
      </c>
      <c r="F5" s="2">
        <f>SUM(E4:E5)</f>
        <v>58436.3</v>
      </c>
      <c r="G5" s="2" t="s">
        <v>25</v>
      </c>
      <c r="H5" s="2">
        <v>40352.65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11</v>
      </c>
      <c r="C7" s="2">
        <v>950</v>
      </c>
      <c r="D7" s="2">
        <v>0</v>
      </c>
      <c r="E7" s="2">
        <v>38597.86</v>
      </c>
      <c r="F7" s="2"/>
      <c r="G7" s="2" t="s">
        <v>26</v>
      </c>
      <c r="H7" s="2">
        <v>38672.86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650</v>
      </c>
      <c r="D9" s="2">
        <v>0</v>
      </c>
      <c r="E9" s="2">
        <v>22637.5</v>
      </c>
      <c r="F9" s="2"/>
      <c r="G9" s="2"/>
      <c r="H9" s="2">
        <v>22712.5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1050</v>
      </c>
      <c r="D11" s="2">
        <v>0</v>
      </c>
      <c r="E11" s="2">
        <v>40691.81</v>
      </c>
      <c r="F11" s="2"/>
      <c r="G11" s="2"/>
      <c r="H11" s="2">
        <v>40766.81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12</v>
      </c>
      <c r="C13" s="2">
        <v>750</v>
      </c>
      <c r="D13" s="2">
        <v>0</v>
      </c>
      <c r="E13" s="2">
        <v>26989.3</v>
      </c>
      <c r="F13" s="2"/>
      <c r="G13" s="2"/>
      <c r="H13" s="2">
        <v>27064.3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12</v>
      </c>
      <c r="C15" s="2">
        <v>950</v>
      </c>
      <c r="D15" s="2">
        <v>0</v>
      </c>
      <c r="E15" s="2">
        <v>38188.19</v>
      </c>
      <c r="F15" s="2"/>
      <c r="G15" s="2"/>
      <c r="H15" s="2">
        <v>38263.19</v>
      </c>
    </row>
    <row r="16" spans="1:8" x14ac:dyDescent="0.25">
      <c r="A16" t="s">
        <v>17</v>
      </c>
      <c r="B16" t="s">
        <v>12</v>
      </c>
      <c r="C16" s="2">
        <v>300</v>
      </c>
      <c r="D16" s="2">
        <v>0</v>
      </c>
      <c r="E16" s="2">
        <v>10000</v>
      </c>
      <c r="F16" s="2"/>
      <c r="G16" s="2"/>
      <c r="H16" s="2">
        <v>10075</v>
      </c>
    </row>
    <row r="17" spans="1:8" x14ac:dyDescent="0.25">
      <c r="A17" t="s">
        <v>17</v>
      </c>
      <c r="B17" t="s">
        <v>12</v>
      </c>
      <c r="C17" s="2">
        <v>650</v>
      </c>
      <c r="D17" s="2">
        <v>0</v>
      </c>
      <c r="E17" s="2">
        <v>21452</v>
      </c>
      <c r="F17" s="2">
        <f>SUM(E15:E17)</f>
        <v>69640.19</v>
      </c>
      <c r="G17" s="2"/>
      <c r="H17" s="2">
        <v>21527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11</v>
      </c>
      <c r="C19" s="2">
        <v>850</v>
      </c>
      <c r="D19" s="2">
        <v>0</v>
      </c>
      <c r="E19" s="2">
        <v>29951.69</v>
      </c>
      <c r="F19" s="2"/>
      <c r="G19" s="2"/>
      <c r="H19" s="2">
        <v>30026.69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12</v>
      </c>
      <c r="C21" s="2">
        <v>750</v>
      </c>
      <c r="D21" s="2">
        <v>0</v>
      </c>
      <c r="E21" s="2">
        <v>29895.1</v>
      </c>
      <c r="F21" s="2"/>
      <c r="G21" s="2"/>
      <c r="H21" s="2">
        <v>29970.1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11</v>
      </c>
      <c r="C23" s="2">
        <v>300</v>
      </c>
      <c r="D23" s="2">
        <v>0</v>
      </c>
      <c r="E23" s="2">
        <v>10208.44</v>
      </c>
      <c r="F23" s="2"/>
      <c r="G23" s="2"/>
      <c r="H23" s="2">
        <v>10283.44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1350</v>
      </c>
      <c r="D25" s="2">
        <v>0</v>
      </c>
      <c r="E25" s="2">
        <v>59344.42</v>
      </c>
      <c r="F25" s="2"/>
      <c r="G25" s="2"/>
      <c r="H25" s="2">
        <v>59419.42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11</v>
      </c>
      <c r="C27" s="2">
        <v>650</v>
      </c>
      <c r="D27" s="2">
        <v>0</v>
      </c>
      <c r="E27" s="2">
        <v>22645</v>
      </c>
      <c r="F27" s="2"/>
      <c r="G27" s="2"/>
      <c r="H27" s="2">
        <v>22720</v>
      </c>
    </row>
    <row r="28" spans="1:8" x14ac:dyDescent="0.25">
      <c r="A28" s="1"/>
      <c r="B28" s="1"/>
      <c r="C28" s="3">
        <f>SUM(C4:C27)</f>
        <v>10750</v>
      </c>
      <c r="D28" s="3">
        <f>SUM(D4:D27)</f>
        <v>0</v>
      </c>
      <c r="E28" s="3">
        <f>SUM(E4:E27)</f>
        <v>409037.60999999993</v>
      </c>
      <c r="F28" s="3"/>
      <c r="G28" s="3"/>
      <c r="H28" s="3">
        <f>SUM(H4:H27)</f>
        <v>410087.60999999993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7A00-9B5B-4279-B1E9-107487E95754}">
  <sheetPr>
    <pageSetUpPr fitToPage="1"/>
  </sheetPr>
  <dimension ref="A1:L20"/>
  <sheetViews>
    <sheetView workbookViewId="0">
      <pane ySplit="3" topLeftCell="A8" activePane="bottomLeft" state="frozen"/>
      <selection pane="bottomLeft" activeCell="E16" sqref="E16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85546875" style="8" bestFit="1" customWidth="1"/>
    <col min="5" max="5" width="23.570312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0.140625" style="8" bestFit="1" customWidth="1"/>
    <col min="10" max="10" width="22.7109375" style="8" bestFit="1" customWidth="1"/>
    <col min="11" max="11" width="12" style="8" bestFit="1" customWidth="1"/>
    <col min="12" max="12" width="12.85546875" style="8" bestFit="1" customWidth="1"/>
    <col min="13" max="16384" width="9.140625" style="8"/>
  </cols>
  <sheetData>
    <row r="1" spans="1:12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45846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101</v>
      </c>
      <c r="H2" s="12"/>
      <c r="I2" s="12"/>
      <c r="J2" s="12"/>
      <c r="K2" s="12"/>
      <c r="L2" s="12"/>
    </row>
    <row r="3" spans="1:12" ht="35.1" customHeight="1" x14ac:dyDescent="0.25">
      <c r="A3" s="9" t="s">
        <v>100</v>
      </c>
      <c r="B3" s="9" t="s">
        <v>99</v>
      </c>
      <c r="C3" s="9" t="s">
        <v>98</v>
      </c>
      <c r="D3" s="9" t="s">
        <v>97</v>
      </c>
      <c r="E3" s="9" t="s">
        <v>96</v>
      </c>
      <c r="F3" s="9" t="s">
        <v>4</v>
      </c>
      <c r="G3" s="9" t="s">
        <v>5</v>
      </c>
      <c r="H3" s="9" t="s">
        <v>95</v>
      </c>
      <c r="I3" s="9" t="s">
        <v>94</v>
      </c>
      <c r="J3" s="9" t="s">
        <v>93</v>
      </c>
      <c r="K3" s="9" t="s">
        <v>92</v>
      </c>
      <c r="L3" s="9" t="s">
        <v>91</v>
      </c>
    </row>
    <row r="4" spans="1:12" ht="35.1" customHeight="1" x14ac:dyDescent="0.25">
      <c r="A4" s="9" t="s">
        <v>90</v>
      </c>
      <c r="B4" s="9" t="s">
        <v>45</v>
      </c>
      <c r="C4" s="9" t="s">
        <v>31</v>
      </c>
      <c r="D4" s="9" t="s">
        <v>89</v>
      </c>
      <c r="E4" s="9"/>
      <c r="F4" s="9" t="s">
        <v>13</v>
      </c>
      <c r="G4" s="9" t="s">
        <v>11</v>
      </c>
      <c r="H4" s="14">
        <v>38672.86</v>
      </c>
      <c r="I4" s="9" t="s">
        <v>88</v>
      </c>
      <c r="J4" s="9"/>
      <c r="K4" s="9" t="s">
        <v>87</v>
      </c>
      <c r="L4" s="9"/>
    </row>
    <row r="5" spans="1:12" ht="35.1" customHeight="1" x14ac:dyDescent="0.25">
      <c r="A5" s="9" t="s">
        <v>86</v>
      </c>
      <c r="B5" s="9" t="s">
        <v>32</v>
      </c>
      <c r="C5" s="9" t="s">
        <v>31</v>
      </c>
      <c r="D5" s="9" t="s">
        <v>85</v>
      </c>
      <c r="E5" s="9"/>
      <c r="F5" s="9" t="s">
        <v>14</v>
      </c>
      <c r="G5" s="9" t="s">
        <v>11</v>
      </c>
      <c r="H5" s="14">
        <v>22712.5</v>
      </c>
      <c r="I5" s="9"/>
      <c r="J5" s="9"/>
      <c r="K5" s="9" t="s">
        <v>84</v>
      </c>
      <c r="L5" s="9"/>
    </row>
    <row r="6" spans="1:12" ht="35.1" customHeight="1" x14ac:dyDescent="0.25">
      <c r="A6" s="9" t="s">
        <v>83</v>
      </c>
      <c r="B6" s="9" t="s">
        <v>45</v>
      </c>
      <c r="C6" s="9" t="s">
        <v>31</v>
      </c>
      <c r="D6" s="9" t="s">
        <v>82</v>
      </c>
      <c r="E6" s="9"/>
      <c r="F6" s="9" t="s">
        <v>21</v>
      </c>
      <c r="G6" s="9" t="s">
        <v>11</v>
      </c>
      <c r="H6" s="14">
        <v>59419.42</v>
      </c>
      <c r="I6" s="9" t="s">
        <v>81</v>
      </c>
      <c r="J6" s="9"/>
      <c r="K6" s="9" t="s">
        <v>80</v>
      </c>
      <c r="L6" s="9"/>
    </row>
    <row r="7" spans="1:12" ht="35.1" customHeight="1" x14ac:dyDescent="0.25">
      <c r="A7" s="9" t="s">
        <v>79</v>
      </c>
      <c r="B7" s="9" t="s">
        <v>32</v>
      </c>
      <c r="C7" s="9" t="s">
        <v>31</v>
      </c>
      <c r="D7" s="9" t="s">
        <v>78</v>
      </c>
      <c r="E7" s="9" t="s">
        <v>77</v>
      </c>
      <c r="F7" s="9" t="s">
        <v>15</v>
      </c>
      <c r="G7" s="9" t="s">
        <v>11</v>
      </c>
      <c r="H7" s="14">
        <v>40766.81</v>
      </c>
      <c r="I7" s="9"/>
      <c r="J7" s="9"/>
      <c r="K7" s="9" t="s">
        <v>76</v>
      </c>
      <c r="L7" s="9" t="s">
        <v>75</v>
      </c>
    </row>
    <row r="8" spans="1:12" ht="35.1" customHeight="1" x14ac:dyDescent="0.25">
      <c r="A8" s="9" t="s">
        <v>74</v>
      </c>
      <c r="B8" s="9" t="s">
        <v>32</v>
      </c>
      <c r="C8" s="9" t="s">
        <v>31</v>
      </c>
      <c r="D8" s="9" t="s">
        <v>73</v>
      </c>
      <c r="E8" s="9"/>
      <c r="F8" s="9" t="s">
        <v>10</v>
      </c>
      <c r="G8" s="9" t="s">
        <v>12</v>
      </c>
      <c r="H8" s="14">
        <v>40352.65</v>
      </c>
      <c r="I8" s="9" t="s">
        <v>72</v>
      </c>
      <c r="J8" s="9"/>
      <c r="K8" s="9" t="s">
        <v>71</v>
      </c>
      <c r="L8" s="9"/>
    </row>
    <row r="9" spans="1:12" ht="35.1" customHeight="1" x14ac:dyDescent="0.25">
      <c r="A9" s="9" t="s">
        <v>70</v>
      </c>
      <c r="B9" s="9" t="s">
        <v>45</v>
      </c>
      <c r="C9" s="9" t="s">
        <v>31</v>
      </c>
      <c r="D9" s="9" t="s">
        <v>69</v>
      </c>
      <c r="E9" s="9" t="s">
        <v>68</v>
      </c>
      <c r="F9" s="9" t="s">
        <v>22</v>
      </c>
      <c r="G9" s="9" t="s">
        <v>11</v>
      </c>
      <c r="H9" s="14">
        <v>22720</v>
      </c>
      <c r="I9" s="9" t="s">
        <v>67</v>
      </c>
      <c r="J9" s="9"/>
      <c r="K9" s="9" t="s">
        <v>66</v>
      </c>
      <c r="L9" s="9" t="s">
        <v>65</v>
      </c>
    </row>
    <row r="10" spans="1:12" ht="35.1" customHeight="1" x14ac:dyDescent="0.25">
      <c r="A10" s="9" t="s">
        <v>64</v>
      </c>
      <c r="B10" s="9" t="s">
        <v>45</v>
      </c>
      <c r="C10" s="9" t="s">
        <v>31</v>
      </c>
      <c r="D10" s="9" t="s">
        <v>63</v>
      </c>
      <c r="E10" s="9"/>
      <c r="F10" s="9" t="s">
        <v>18</v>
      </c>
      <c r="G10" s="9" t="s">
        <v>11</v>
      </c>
      <c r="H10" s="14">
        <v>30026.69</v>
      </c>
      <c r="I10" s="9" t="s">
        <v>62</v>
      </c>
      <c r="J10" s="9"/>
      <c r="K10" s="9" t="s">
        <v>61</v>
      </c>
      <c r="L10" s="9"/>
    </row>
    <row r="11" spans="1:12" ht="35.1" customHeight="1" x14ac:dyDescent="0.25">
      <c r="A11" s="9" t="s">
        <v>60</v>
      </c>
      <c r="B11" s="9" t="s">
        <v>32</v>
      </c>
      <c r="C11" s="9" t="s">
        <v>31</v>
      </c>
      <c r="D11" s="9" t="s">
        <v>59</v>
      </c>
      <c r="E11" s="9"/>
      <c r="F11" s="9" t="s">
        <v>17</v>
      </c>
      <c r="G11" s="9" t="s">
        <v>12</v>
      </c>
      <c r="H11" s="14">
        <v>38263.19</v>
      </c>
      <c r="I11" s="9" t="s">
        <v>58</v>
      </c>
      <c r="J11" s="9"/>
      <c r="K11" s="9" t="s">
        <v>57</v>
      </c>
      <c r="L11" s="9"/>
    </row>
    <row r="12" spans="1:12" ht="35.1" customHeight="1" x14ac:dyDescent="0.25">
      <c r="A12" s="9" t="s">
        <v>56</v>
      </c>
      <c r="B12" s="9" t="s">
        <v>45</v>
      </c>
      <c r="C12" s="9" t="s">
        <v>55</v>
      </c>
      <c r="D12" s="9" t="s">
        <v>54</v>
      </c>
      <c r="E12" s="9"/>
      <c r="F12" s="9" t="s">
        <v>20</v>
      </c>
      <c r="G12" s="9" t="s">
        <v>11</v>
      </c>
      <c r="H12" s="14">
        <v>10283.44</v>
      </c>
      <c r="I12" s="9" t="s">
        <v>53</v>
      </c>
      <c r="J12" s="9"/>
      <c r="K12" s="9" t="s">
        <v>52</v>
      </c>
      <c r="L12" s="9"/>
    </row>
    <row r="13" spans="1:12" ht="35.1" customHeight="1" x14ac:dyDescent="0.25">
      <c r="A13" s="9">
        <v>151200195</v>
      </c>
      <c r="B13" s="9" t="s">
        <v>32</v>
      </c>
      <c r="C13" s="9" t="s">
        <v>31</v>
      </c>
      <c r="D13" s="9" t="s">
        <v>51</v>
      </c>
      <c r="E13" s="9" t="s">
        <v>50</v>
      </c>
      <c r="F13" s="9" t="s">
        <v>10</v>
      </c>
      <c r="G13" s="9" t="s">
        <v>11</v>
      </c>
      <c r="H13" s="14">
        <v>18233.650000000001</v>
      </c>
      <c r="I13" s="9"/>
      <c r="J13" s="9" t="s">
        <v>49</v>
      </c>
      <c r="K13" s="9" t="s">
        <v>48</v>
      </c>
      <c r="L13" s="9" t="s">
        <v>47</v>
      </c>
    </row>
    <row r="14" spans="1:12" ht="35.1" customHeight="1" x14ac:dyDescent="0.25">
      <c r="A14" s="9" t="s">
        <v>46</v>
      </c>
      <c r="B14" s="9" t="s">
        <v>45</v>
      </c>
      <c r="C14" s="9" t="s">
        <v>31</v>
      </c>
      <c r="D14" s="9" t="s">
        <v>44</v>
      </c>
      <c r="E14" s="9"/>
      <c r="F14" s="9" t="s">
        <v>16</v>
      </c>
      <c r="G14" s="9" t="s">
        <v>12</v>
      </c>
      <c r="H14" s="14">
        <v>27064.3</v>
      </c>
      <c r="I14" s="9" t="s">
        <v>43</v>
      </c>
      <c r="J14" s="9"/>
      <c r="K14" s="9" t="s">
        <v>42</v>
      </c>
      <c r="L14" s="9"/>
    </row>
    <row r="15" spans="1:12" ht="35.1" customHeight="1" x14ac:dyDescent="0.25">
      <c r="A15" s="9" t="s">
        <v>41</v>
      </c>
      <c r="B15" s="9" t="s">
        <v>32</v>
      </c>
      <c r="C15" s="9" t="s">
        <v>31</v>
      </c>
      <c r="D15" s="9" t="s">
        <v>40</v>
      </c>
      <c r="E15" s="9"/>
      <c r="F15" s="9" t="s">
        <v>19</v>
      </c>
      <c r="G15" s="9" t="s">
        <v>12</v>
      </c>
      <c r="H15" s="14">
        <v>29970.1</v>
      </c>
      <c r="I15" s="9" t="s">
        <v>39</v>
      </c>
      <c r="J15" s="9"/>
      <c r="K15" s="9" t="s">
        <v>38</v>
      </c>
      <c r="L15" s="9"/>
    </row>
    <row r="16" spans="1:12" ht="35.1" customHeight="1" x14ac:dyDescent="0.25">
      <c r="A16" s="9" t="s">
        <v>37</v>
      </c>
      <c r="B16" s="9" t="s">
        <v>32</v>
      </c>
      <c r="C16" s="9" t="s">
        <v>31</v>
      </c>
      <c r="D16" s="9" t="s">
        <v>36</v>
      </c>
      <c r="E16" s="9"/>
      <c r="F16" s="9" t="s">
        <v>17</v>
      </c>
      <c r="G16" s="9" t="s">
        <v>12</v>
      </c>
      <c r="H16" s="14">
        <v>10075</v>
      </c>
      <c r="I16" s="9" t="s">
        <v>35</v>
      </c>
      <c r="J16" s="9"/>
      <c r="K16" s="9" t="s">
        <v>34</v>
      </c>
      <c r="L16" s="9"/>
    </row>
    <row r="17" spans="1:12" ht="35.1" customHeight="1" x14ac:dyDescent="0.25">
      <c r="A17" s="9" t="s">
        <v>33</v>
      </c>
      <c r="B17" s="9" t="s">
        <v>32</v>
      </c>
      <c r="C17" s="9" t="s">
        <v>31</v>
      </c>
      <c r="D17" s="9" t="s">
        <v>30</v>
      </c>
      <c r="E17" s="9"/>
      <c r="F17" s="9" t="s">
        <v>17</v>
      </c>
      <c r="G17" s="9" t="s">
        <v>12</v>
      </c>
      <c r="H17" s="14">
        <v>21527</v>
      </c>
      <c r="I17" s="9" t="s">
        <v>29</v>
      </c>
      <c r="J17" s="9"/>
      <c r="K17" s="9" t="s">
        <v>28</v>
      </c>
      <c r="L17" s="9"/>
    </row>
    <row r="18" spans="1:12" ht="35.1" customHeight="1" x14ac:dyDescent="0.25">
      <c r="A18" s="15"/>
      <c r="B18" s="15"/>
      <c r="C18" s="15"/>
      <c r="D18" s="15" t="s">
        <v>27</v>
      </c>
      <c r="E18" s="15"/>
      <c r="F18" s="15"/>
      <c r="G18" s="15"/>
      <c r="H18" s="16">
        <f>SUM(H4:H17)</f>
        <v>410087.61</v>
      </c>
      <c r="I18" s="15"/>
      <c r="J18" s="15"/>
      <c r="K18" s="15"/>
      <c r="L18" s="15"/>
    </row>
    <row r="19" spans="1:12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EF27-3262-438C-9ACD-45B3E9ABF6B3}">
  <sheetPr>
    <pageSetUpPr fitToPage="1"/>
  </sheetPr>
  <dimension ref="A1:E25"/>
  <sheetViews>
    <sheetView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85546875" style="8" bestFit="1" customWidth="1"/>
    <col min="4" max="4" width="23.570312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45846</v>
      </c>
      <c r="E1" s="9" t="s">
        <v>2</v>
      </c>
    </row>
    <row r="2" spans="1:5" ht="14.25" customHeight="1" x14ac:dyDescent="0.25">
      <c r="A2" s="11" t="s">
        <v>0</v>
      </c>
      <c r="B2" s="12"/>
      <c r="C2" s="12"/>
      <c r="D2" s="13" t="s">
        <v>106</v>
      </c>
      <c r="E2" s="12"/>
    </row>
    <row r="3" spans="1:5" x14ac:dyDescent="0.25">
      <c r="A3" s="9" t="s">
        <v>100</v>
      </c>
      <c r="B3" s="9" t="s">
        <v>98</v>
      </c>
      <c r="C3" s="9" t="s">
        <v>97</v>
      </c>
      <c r="D3" s="9" t="s">
        <v>96</v>
      </c>
      <c r="E3" s="9" t="s">
        <v>4</v>
      </c>
    </row>
    <row r="4" spans="1:5" x14ac:dyDescent="0.25">
      <c r="A4" s="9" t="s">
        <v>56</v>
      </c>
      <c r="B4" s="9" t="s">
        <v>55</v>
      </c>
      <c r="C4" s="9" t="s">
        <v>54</v>
      </c>
      <c r="D4" s="9"/>
      <c r="E4" s="9" t="s">
        <v>20</v>
      </c>
    </row>
    <row r="5" spans="1:5" x14ac:dyDescent="0.25">
      <c r="A5" s="15"/>
      <c r="B5" s="15"/>
      <c r="C5" s="15" t="s">
        <v>105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104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103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102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7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2025-07-08T17:17:05Z</cp:lastPrinted>
  <dcterms:created xsi:type="dcterms:W3CDTF">2025-07-08T17:10:12Z</dcterms:created>
  <dcterms:modified xsi:type="dcterms:W3CDTF">2025-07-08T17:40:53Z</dcterms:modified>
</cp:coreProperties>
</file>