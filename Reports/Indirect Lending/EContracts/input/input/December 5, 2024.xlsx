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J:\Alex\Funding Worksheets\"/>
    </mc:Choice>
  </mc:AlternateContent>
  <xr:revisionPtr revIDLastSave="0" documentId="8_{5E9142D0-7C73-4C9E-9FE0-A8D5D9D59DE2}" xr6:coauthVersionLast="47" xr6:coauthVersionMax="47" xr10:uidLastSave="{00000000-0000-0000-0000-000000000000}"/>
  <bookViews>
    <workbookView xWindow="31455" yWindow="1290" windowWidth="23190" windowHeight="14055" xr2:uid="{00000000-000D-0000-FFFF-FFFF00000000}"/>
  </bookViews>
  <sheets>
    <sheet name="Funding Worksheet - Folder Vers" sheetId="1" r:id="rId1"/>
    <sheet name="Funding Worksheet - ACH" sheetId="2" r:id="rId2"/>
    <sheet name="Original Note Log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2" l="1"/>
  <c r="H17" i="2"/>
  <c r="F17" i="2"/>
  <c r="E17" i="2"/>
  <c r="D17" i="2"/>
  <c r="H11" i="1" l="1"/>
</calcChain>
</file>

<file path=xl/sharedStrings.xml><?xml version="1.0" encoding="utf-8"?>
<sst xmlns="http://schemas.openxmlformats.org/spreadsheetml/2006/main" count="117" uniqueCount="70">
  <si>
    <t>Bristol County Savings Bank</t>
  </si>
  <si>
    <t>Funding Worksheet - Folder Version</t>
  </si>
  <si>
    <t>Account Number</t>
  </si>
  <si>
    <t>Portal</t>
  </si>
  <si>
    <t>Contract Type</t>
  </si>
  <si>
    <t>Applicant Name</t>
  </si>
  <si>
    <t>Co-Applicant Name</t>
  </si>
  <si>
    <t>Dealer Name</t>
  </si>
  <si>
    <t>Funded by</t>
  </si>
  <si>
    <t>Amount Financed</t>
  </si>
  <si>
    <t>Applicant Email</t>
  </si>
  <si>
    <t>Co-Applicant Email</t>
  </si>
  <si>
    <t>App MMN</t>
  </si>
  <si>
    <t>Co-App MMN</t>
  </si>
  <si>
    <t>DealerTrack</t>
  </si>
  <si>
    <t>E Contract</t>
  </si>
  <si>
    <t>BURGESS, P</t>
  </si>
  <si>
    <t>BURGESS, SUE</t>
  </si>
  <si>
    <t>Planet Subaru</t>
  </si>
  <si>
    <t>Rachel Gorham</t>
  </si>
  <si>
    <t>PDOUGBURGESS@HOTMAIL.COM</t>
  </si>
  <si>
    <t>KERIVAN</t>
  </si>
  <si>
    <t>BURLING</t>
  </si>
  <si>
    <t>151125327</t>
  </si>
  <si>
    <t>Paper</t>
  </si>
  <si>
    <t>BAKER, DANIEL</t>
  </si>
  <si>
    <t>Sandy Motors, Inc</t>
  </si>
  <si>
    <t>Neli Oliveira</t>
  </si>
  <si>
    <t>DPBAKER85@GMAIL.COM</t>
  </si>
  <si>
    <t>KELLINER</t>
  </si>
  <si>
    <t>Route One</t>
  </si>
  <si>
    <t>WESTGATE, JEREMY</t>
  </si>
  <si>
    <t>Alden Mazda</t>
  </si>
  <si>
    <t>jparamour5@yahoo.com</t>
  </si>
  <si>
    <t>DUMAS</t>
  </si>
  <si>
    <t>HENRY, MICHAEL</t>
  </si>
  <si>
    <t>Metro Honda</t>
  </si>
  <si>
    <t>COLE</t>
  </si>
  <si>
    <t>WALSH, STACIA</t>
  </si>
  <si>
    <t>swalshi@comcast.net</t>
  </si>
  <si>
    <t>JONES</t>
  </si>
  <si>
    <t>151125468</t>
  </si>
  <si>
    <t>DONNELLY, THOMAS</t>
  </si>
  <si>
    <t>Lucchettis Service Center Inc</t>
  </si>
  <si>
    <t>TOMMYDONNELLY23@GMAIL.COM</t>
  </si>
  <si>
    <t>Mc Isaac</t>
  </si>
  <si>
    <t>SPEARS, TINA</t>
  </si>
  <si>
    <t>Speedcraft AW</t>
  </si>
  <si>
    <t>TINASPEARSFORRI@GMAIL.COM</t>
  </si>
  <si>
    <t>MOODEY</t>
  </si>
  <si>
    <t># 7</t>
  </si>
  <si>
    <t>Funding Worksheet - ACH Version</t>
  </si>
  <si>
    <t>Dealer Flat</t>
  </si>
  <si>
    <t>Dealer Split</t>
  </si>
  <si>
    <t>Net to Dealer</t>
  </si>
  <si>
    <t>Contracted Amount Financed</t>
  </si>
  <si>
    <t>Funding Worksheet - Signoff Version</t>
  </si>
  <si>
    <t># 2</t>
  </si>
  <si>
    <t>Original Notes Delivered</t>
  </si>
  <si>
    <t>Delivered by:</t>
  </si>
  <si>
    <t>Received by:</t>
  </si>
  <si>
    <t>Date Signed:</t>
  </si>
  <si>
    <t>Column1</t>
  </si>
  <si>
    <t>Column2</t>
  </si>
  <si>
    <t>151125319 E</t>
  </si>
  <si>
    <t>151125351 E</t>
  </si>
  <si>
    <t>151125369 E</t>
  </si>
  <si>
    <t>151125393 E</t>
  </si>
  <si>
    <t>151125517 E</t>
  </si>
  <si>
    <t>SUEBURGESSPT@HOTMAIL.COM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</si>
</sst>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[$-409]mmmm\ d\,\ yyyy;@"/>
  </numFmts>
  <fonts count="5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sz val="12"/>
      <color indexed="8"/>
      <name val="Aptos Narrow"/>
      <family val="2"/>
      <scheme val="minor"/>
    </font>
    <font>
      <b/>
      <sz val="12"/>
      <name val="Calibri"/>
      <family val="2"/>
    </font>
    <font>
      <b/>
      <sz val="12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7" fontId="0" fillId="0" borderId="0" xfId="0" applyNumberFormat="1"/>
    <xf numFmtId="7" fontId="1" fillId="0" borderId="0" xfId="0" applyNumberFormat="1" applyFont="1"/>
    <xf numFmtId="164" fontId="0" fillId="0" borderId="0" xfId="0" applyNumberFormat="1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/>
    <xf numFmtId="0" fontId="1" fillId="0" borderId="0" xfId="0" applyFont="1" applyAlignment="1">
      <alignment horizontal="right"/>
    </xf>
    <xf numFmtId="0" fontId="0" fillId="0" borderId="1" xfId="0" applyBorder="1"/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3" fillId="0" borderId="0" xfId="0" applyFont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right"/>
    </xf>
    <xf numFmtId="7" fontId="2" fillId="0" borderId="0" xfId="0" applyNumberFormat="1" applyFont="1"/>
    <xf numFmtId="7" fontId="4" fillId="0" borderId="0" xfId="0" applyNumberFormat="1" applyFont="1"/>
    <xf numFmtId="0" fontId="3" fillId="0" borderId="0" xfId="0" applyFont="1"/>
    <xf numFmtId="7" fontId="3" fillId="0" borderId="0" xfId="0" applyNumberFormat="1" applyFont="1"/>
    <xf numFmtId="164" fontId="0" fillId="0" borderId="0" xfId="0" applyNumberFormat="1" applyAlignment="1">
      <alignment horizontal="right"/>
    </xf>
    <xf numFmtId="0" fontId="0" fillId="0" borderId="0" xfId="0" applyAlignment="1"/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11"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  <numFmt numFmtId="11" formatCode="&quot;$&quot;#,##0.00_);\(&quot;$&quot;#,##0.00\)"/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_1" ref="A3:L11">
  <tableColumns count="12">
    <tableColumn id="1" xr3:uid="{00000000-0010-0000-0000-000001000000}" name="Account Number"/>
    <tableColumn id="2" xr3:uid="{00000000-0010-0000-0000-000002000000}" name="Portal"/>
    <tableColumn id="3" xr3:uid="{00000000-0010-0000-0000-000003000000}" name="Contract Type"/>
    <tableColumn id="4" xr3:uid="{00000000-0010-0000-0000-000004000000}" name="Applicant Name"/>
    <tableColumn id="5" xr3:uid="{00000000-0010-0000-0000-000005000000}" name="Co-Applicant Name"/>
    <tableColumn id="6" xr3:uid="{00000000-0010-0000-0000-000006000000}" name="Dealer Name"/>
    <tableColumn id="7" xr3:uid="{00000000-0010-0000-0000-000007000000}" name="Funded by"/>
    <tableColumn id="8" xr3:uid="{00000000-0010-0000-0000-000008000000}" name="Amount Financed"/>
    <tableColumn id="9" xr3:uid="{00000000-0010-0000-0000-000009000000}" name="Applicant Email"/>
    <tableColumn id="10" xr3:uid="{00000000-0010-0000-0000-00000A000000}" name="Co-Applicant Email"/>
    <tableColumn id="11" xr3:uid="{00000000-0010-0000-0000-00000B000000}" name="App MMN"/>
    <tableColumn id="12" xr3:uid="{00000000-0010-0000-0000-00000C000000}" name="Co-App MMN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A685B81-1551-4FCF-86BA-40CEF279AA78}" name="Table_13" displayName="Table_13" ref="A3:H17" headerRowDxfId="2" dataDxfId="0" totalsRowDxfId="1">
  <tableColumns count="8">
    <tableColumn id="1" xr3:uid="{37D1CA5B-A5D9-4CC2-BE58-BF23F9EC558F}" name="Dealer Name" dataDxfId="10"/>
    <tableColumn id="8" xr3:uid="{93927470-0BE6-432F-8355-8BC004AD72D0}" name="Column2" dataDxfId="9"/>
    <tableColumn id="2" xr3:uid="{0F784DB7-BD3F-458E-A7E4-A64EF9751FDD}" name="Funded by" dataDxfId="8"/>
    <tableColumn id="3" xr3:uid="{9CC2F7C9-48DA-4D4F-96A8-A2FFBE270E2C}" name="Dealer Flat" dataDxfId="7"/>
    <tableColumn id="4" xr3:uid="{DA3FEDB6-C184-4199-B5B6-EA32160BEEFA}" name="Dealer Split" dataDxfId="6"/>
    <tableColumn id="5" xr3:uid="{772B56FA-94A0-4285-A67E-005AABA3F9FC}" name="Net to Dealer" dataDxfId="5"/>
    <tableColumn id="7" xr3:uid="{145DA687-988D-4756-8EC3-8E87ECA45AD7}" name="Column1" dataDxfId="4"/>
    <tableColumn id="6" xr3:uid="{FECCB273-1259-4D17-A2D8-C1046653185D}" name="Contracted Amount Financed" dataDxfId="3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DDC2BAE-28EA-4DBE-AFF3-F662BB152523}" name="Table_14" displayName="Table_14" ref="A3:E6">
  <tableColumns count="5">
    <tableColumn id="1" xr3:uid="{C1076896-8652-4FCB-8D80-CC18C3503929}" name="Account Number"/>
    <tableColumn id="2" xr3:uid="{30F8E235-6986-4E10-88BC-18B9C2DECF72}" name="Contract Type"/>
    <tableColumn id="3" xr3:uid="{B6336755-882C-4637-924D-25D586521572}" name="Applicant Name"/>
    <tableColumn id="4" xr3:uid="{E3FDF1B6-74AD-40A2-B5CF-F9F62A5F6044}" name="Co-Applicant Name"/>
    <tableColumn id="5" xr3:uid="{E53F6A7E-3B43-4624-B46F-EE80ABBCF2A8}" name="Dealer Nam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1"/>
  <sheetViews>
    <sheetView tabSelected="1" workbookViewId="0">
      <pane ySplit="3" topLeftCell="A4" activePane="bottomLeft" state="frozen"/>
      <selection pane="bottomLeft" activeCell="D17" sqref="D17"/>
    </sheetView>
  </sheetViews>
  <sheetFormatPr defaultRowHeight="15" x14ac:dyDescent="0.25"/>
  <cols>
    <col min="1" max="1" width="13.140625" customWidth="1"/>
    <col min="2" max="2" width="12.140625" bestFit="1" customWidth="1"/>
    <col min="3" max="3" width="14" bestFit="1" customWidth="1"/>
    <col min="4" max="4" width="20" bestFit="1" customWidth="1"/>
    <col min="5" max="5" width="13.28515625" customWidth="1"/>
    <col min="6" max="6" width="27.85546875" bestFit="1" customWidth="1"/>
    <col min="7" max="7" width="15.140625" bestFit="1" customWidth="1"/>
    <col min="8" max="8" width="17.140625" bestFit="1" customWidth="1"/>
    <col min="9" max="9" width="30.140625" customWidth="1"/>
    <col min="10" max="10" width="23.42578125" customWidth="1"/>
    <col min="11" max="11" width="11.7109375" customWidth="1"/>
    <col min="12" max="12" width="12.85546875" bestFit="1" customWidth="1"/>
  </cols>
  <sheetData>
    <row r="1" spans="1:12" x14ac:dyDescent="0.25">
      <c r="A1" s="20">
        <v>45631</v>
      </c>
      <c r="K1" s="18">
        <v>45631</v>
      </c>
      <c r="L1" s="19"/>
    </row>
    <row r="2" spans="1:12" x14ac:dyDescent="0.25">
      <c r="A2" s="5" t="s">
        <v>0</v>
      </c>
      <c r="B2" s="6"/>
      <c r="C2" s="6"/>
      <c r="D2" s="6"/>
      <c r="E2" s="6"/>
      <c r="F2" s="6"/>
      <c r="G2" s="7" t="s">
        <v>1</v>
      </c>
      <c r="H2" s="6"/>
      <c r="I2" s="6"/>
      <c r="J2" s="6"/>
      <c r="K2" s="6"/>
      <c r="L2" s="6"/>
    </row>
    <row r="3" spans="1:12" ht="30" customHeight="1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</row>
    <row r="4" spans="1:12" ht="30" customHeight="1" x14ac:dyDescent="0.25">
      <c r="A4" t="s">
        <v>64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H4" s="2">
        <v>18064</v>
      </c>
      <c r="I4" t="s">
        <v>20</v>
      </c>
      <c r="J4" t="s">
        <v>69</v>
      </c>
      <c r="K4" t="s">
        <v>21</v>
      </c>
      <c r="L4" t="s">
        <v>22</v>
      </c>
    </row>
    <row r="5" spans="1:12" ht="30" customHeight="1" x14ac:dyDescent="0.25">
      <c r="A5" t="s">
        <v>23</v>
      </c>
      <c r="B5" t="s">
        <v>14</v>
      </c>
      <c r="C5" t="s">
        <v>24</v>
      </c>
      <c r="D5" t="s">
        <v>25</v>
      </c>
      <c r="F5" t="s">
        <v>26</v>
      </c>
      <c r="G5" t="s">
        <v>27</v>
      </c>
      <c r="H5" s="2">
        <v>19298.93</v>
      </c>
      <c r="I5" t="s">
        <v>28</v>
      </c>
      <c r="K5" t="s">
        <v>29</v>
      </c>
    </row>
    <row r="6" spans="1:12" ht="30" customHeight="1" x14ac:dyDescent="0.25">
      <c r="A6" t="s">
        <v>65</v>
      </c>
      <c r="B6" t="s">
        <v>30</v>
      </c>
      <c r="C6" t="s">
        <v>15</v>
      </c>
      <c r="D6" t="s">
        <v>31</v>
      </c>
      <c r="F6" t="s">
        <v>32</v>
      </c>
      <c r="G6" t="s">
        <v>27</v>
      </c>
      <c r="H6" s="2">
        <v>12539.86</v>
      </c>
      <c r="I6" t="s">
        <v>33</v>
      </c>
      <c r="K6" t="s">
        <v>34</v>
      </c>
    </row>
    <row r="7" spans="1:12" ht="30" customHeight="1" x14ac:dyDescent="0.25">
      <c r="A7" t="s">
        <v>66</v>
      </c>
      <c r="B7" t="s">
        <v>14</v>
      </c>
      <c r="C7" t="s">
        <v>15</v>
      </c>
      <c r="D7" t="s">
        <v>35</v>
      </c>
      <c r="F7" t="s">
        <v>36</v>
      </c>
      <c r="G7" t="s">
        <v>27</v>
      </c>
      <c r="H7" s="2">
        <v>30085.84</v>
      </c>
      <c r="K7" t="s">
        <v>37</v>
      </c>
    </row>
    <row r="8" spans="1:12" ht="30" customHeight="1" x14ac:dyDescent="0.25">
      <c r="A8" t="s">
        <v>67</v>
      </c>
      <c r="B8" t="s">
        <v>30</v>
      </c>
      <c r="C8" t="s">
        <v>15</v>
      </c>
      <c r="D8" t="s">
        <v>38</v>
      </c>
      <c r="F8" t="s">
        <v>32</v>
      </c>
      <c r="G8" t="s">
        <v>27</v>
      </c>
      <c r="H8" s="2">
        <v>11705.19</v>
      </c>
      <c r="I8" t="s">
        <v>39</v>
      </c>
      <c r="K8" t="s">
        <v>40</v>
      </c>
    </row>
    <row r="9" spans="1:12" ht="30" customHeight="1" x14ac:dyDescent="0.25">
      <c r="A9" t="s">
        <v>41</v>
      </c>
      <c r="B9" t="s">
        <v>30</v>
      </c>
      <c r="C9" t="s">
        <v>24</v>
      </c>
      <c r="D9" t="s">
        <v>42</v>
      </c>
      <c r="F9" t="s">
        <v>43</v>
      </c>
      <c r="G9" t="s">
        <v>19</v>
      </c>
      <c r="H9" s="2">
        <v>36277.69</v>
      </c>
      <c r="I9" t="s">
        <v>44</v>
      </c>
      <c r="K9" t="s">
        <v>45</v>
      </c>
    </row>
    <row r="10" spans="1:12" ht="30" customHeight="1" x14ac:dyDescent="0.25">
      <c r="A10" t="s">
        <v>68</v>
      </c>
      <c r="B10" t="s">
        <v>14</v>
      </c>
      <c r="C10" t="s">
        <v>15</v>
      </c>
      <c r="D10" t="s">
        <v>46</v>
      </c>
      <c r="F10" t="s">
        <v>47</v>
      </c>
      <c r="G10" t="s">
        <v>19</v>
      </c>
      <c r="H10" s="2">
        <v>47398.76</v>
      </c>
      <c r="I10" t="s">
        <v>48</v>
      </c>
      <c r="K10" t="s">
        <v>49</v>
      </c>
    </row>
    <row r="11" spans="1:12" ht="30" customHeight="1" x14ac:dyDescent="0.25">
      <c r="A11" s="1"/>
      <c r="B11" s="1"/>
      <c r="C11" s="1"/>
      <c r="D11" s="1" t="s">
        <v>50</v>
      </c>
      <c r="E11" s="1"/>
      <c r="F11" s="1"/>
      <c r="G11" s="1"/>
      <c r="H11" s="3">
        <f>SUM(H4:H10)</f>
        <v>175370.27000000002</v>
      </c>
      <c r="I11" s="1"/>
      <c r="J11" s="1"/>
      <c r="K11" s="1"/>
      <c r="L11" s="1"/>
    </row>
  </sheetData>
  <mergeCells count="3">
    <mergeCell ref="A2:F2"/>
    <mergeCell ref="G2:L2"/>
    <mergeCell ref="K1:L1"/>
  </mergeCells>
  <pageMargins left="0.7" right="0.7" top="0.75" bottom="0.75" header="0.3" footer="0.3"/>
  <pageSetup paperSize="5" scale="76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DAEEA-1ED1-4452-B609-8462763A5432}">
  <sheetPr>
    <pageSetUpPr fitToPage="1"/>
  </sheetPr>
  <dimension ref="A1:H17"/>
  <sheetViews>
    <sheetView workbookViewId="0">
      <selection activeCell="O12" sqref="O11:O12"/>
    </sheetView>
  </sheetViews>
  <sheetFormatPr defaultRowHeight="15.75" x14ac:dyDescent="0.25"/>
  <cols>
    <col min="1" max="1" width="15.42578125" style="9" customWidth="1"/>
    <col min="2" max="2" width="9" style="9" customWidth="1"/>
    <col min="3" max="3" width="12.42578125" style="9" customWidth="1"/>
    <col min="4" max="4" width="15" style="9" customWidth="1"/>
    <col min="5" max="5" width="15.5703125" style="9" customWidth="1"/>
    <col min="6" max="6" width="14.42578125" style="9" customWidth="1"/>
    <col min="7" max="7" width="12.28515625" style="9" customWidth="1"/>
    <col min="8" max="8" width="17.85546875" style="9" customWidth="1"/>
    <col min="9" max="16384" width="9.140625" style="9"/>
  </cols>
  <sheetData>
    <row r="1" spans="1:8" x14ac:dyDescent="0.25">
      <c r="E1" s="10"/>
      <c r="H1" s="10">
        <v>45631.999988425923</v>
      </c>
    </row>
    <row r="2" spans="1:8" x14ac:dyDescent="0.25">
      <c r="A2" s="11" t="s">
        <v>0</v>
      </c>
      <c r="B2" s="11"/>
      <c r="C2" s="12"/>
      <c r="D2" s="12"/>
      <c r="E2" s="13" t="s">
        <v>51</v>
      </c>
      <c r="F2" s="12"/>
      <c r="G2" s="12"/>
      <c r="H2" s="12"/>
    </row>
    <row r="3" spans="1:8" x14ac:dyDescent="0.25">
      <c r="A3" s="9" t="s">
        <v>7</v>
      </c>
      <c r="B3" s="9" t="s">
        <v>63</v>
      </c>
      <c r="C3" s="9" t="s">
        <v>8</v>
      </c>
      <c r="D3" s="9" t="s">
        <v>52</v>
      </c>
      <c r="E3" s="9" t="s">
        <v>53</v>
      </c>
      <c r="F3" s="9" t="s">
        <v>54</v>
      </c>
      <c r="G3" s="9" t="s">
        <v>62</v>
      </c>
      <c r="H3" s="9" t="s">
        <v>55</v>
      </c>
    </row>
    <row r="4" spans="1:8" ht="27" customHeight="1" x14ac:dyDescent="0.25">
      <c r="A4" s="9" t="s">
        <v>32</v>
      </c>
      <c r="C4" s="9" t="s">
        <v>27</v>
      </c>
      <c r="D4" s="14">
        <v>200</v>
      </c>
      <c r="E4" s="14">
        <v>0</v>
      </c>
      <c r="F4" s="14">
        <v>11630.19</v>
      </c>
      <c r="G4" s="14"/>
      <c r="H4" s="14">
        <v>11705.19</v>
      </c>
    </row>
    <row r="5" spans="1:8" ht="27" customHeight="1" x14ac:dyDescent="0.25">
      <c r="A5" s="9" t="s">
        <v>32</v>
      </c>
      <c r="C5" s="9" t="s">
        <v>27</v>
      </c>
      <c r="D5" s="14">
        <v>200</v>
      </c>
      <c r="E5" s="14">
        <v>0</v>
      </c>
      <c r="F5" s="14">
        <v>12464.86</v>
      </c>
      <c r="G5" s="15">
        <f>SUM(F4:F5)</f>
        <v>24095.050000000003</v>
      </c>
      <c r="H5" s="14">
        <v>12539.86</v>
      </c>
    </row>
    <row r="6" spans="1:8" ht="27" customHeight="1" x14ac:dyDescent="0.25">
      <c r="D6" s="14"/>
      <c r="E6" s="14"/>
      <c r="F6" s="14"/>
      <c r="G6" s="14"/>
      <c r="H6" s="14"/>
    </row>
    <row r="7" spans="1:8" ht="27" customHeight="1" x14ac:dyDescent="0.25">
      <c r="A7" s="9" t="s">
        <v>43</v>
      </c>
      <c r="C7" s="9" t="s">
        <v>19</v>
      </c>
      <c r="D7" s="14">
        <v>650</v>
      </c>
      <c r="E7" s="14">
        <v>0</v>
      </c>
      <c r="F7" s="15">
        <v>36202.69</v>
      </c>
      <c r="G7" s="14"/>
      <c r="H7" s="14">
        <v>36277.69</v>
      </c>
    </row>
    <row r="8" spans="1:8" ht="27" customHeight="1" x14ac:dyDescent="0.25">
      <c r="D8" s="14"/>
      <c r="E8" s="14"/>
      <c r="F8" s="15"/>
      <c r="G8" s="14"/>
      <c r="H8" s="14"/>
    </row>
    <row r="9" spans="1:8" ht="27" customHeight="1" x14ac:dyDescent="0.25">
      <c r="A9" s="9" t="s">
        <v>36</v>
      </c>
      <c r="C9" s="9" t="s">
        <v>27</v>
      </c>
      <c r="D9" s="14">
        <v>600</v>
      </c>
      <c r="E9" s="14">
        <v>0</v>
      </c>
      <c r="F9" s="15">
        <v>30010.84</v>
      </c>
      <c r="G9" s="14"/>
      <c r="H9" s="14">
        <v>30085.84</v>
      </c>
    </row>
    <row r="10" spans="1:8" ht="27" customHeight="1" x14ac:dyDescent="0.25">
      <c r="D10" s="14"/>
      <c r="E10" s="14"/>
      <c r="F10" s="15"/>
      <c r="G10" s="14"/>
      <c r="H10" s="14"/>
    </row>
    <row r="11" spans="1:8" ht="27" customHeight="1" x14ac:dyDescent="0.25">
      <c r="A11" s="9" t="s">
        <v>18</v>
      </c>
      <c r="C11" s="9" t="s">
        <v>19</v>
      </c>
      <c r="D11" s="14">
        <v>350</v>
      </c>
      <c r="E11" s="14">
        <v>0</v>
      </c>
      <c r="F11" s="15">
        <v>17989</v>
      </c>
      <c r="G11" s="14"/>
      <c r="H11" s="14">
        <v>18064</v>
      </c>
    </row>
    <row r="12" spans="1:8" ht="27" customHeight="1" x14ac:dyDescent="0.25">
      <c r="D12" s="14"/>
      <c r="E12" s="14"/>
      <c r="F12" s="15"/>
      <c r="G12" s="14"/>
      <c r="H12" s="14"/>
    </row>
    <row r="13" spans="1:8" ht="27" customHeight="1" x14ac:dyDescent="0.25">
      <c r="A13" s="9" t="s">
        <v>26</v>
      </c>
      <c r="C13" s="9" t="s">
        <v>27</v>
      </c>
      <c r="D13" s="14">
        <v>350</v>
      </c>
      <c r="E13" s="14">
        <v>0</v>
      </c>
      <c r="F13" s="15">
        <v>19223.93</v>
      </c>
      <c r="G13" s="14"/>
      <c r="H13" s="14">
        <v>19298.93</v>
      </c>
    </row>
    <row r="14" spans="1:8" ht="27" customHeight="1" x14ac:dyDescent="0.25">
      <c r="D14" s="14"/>
      <c r="E14" s="14"/>
      <c r="F14" s="15"/>
      <c r="G14" s="14"/>
      <c r="H14" s="14"/>
    </row>
    <row r="15" spans="1:8" ht="27" customHeight="1" x14ac:dyDescent="0.25">
      <c r="A15" s="9" t="s">
        <v>47</v>
      </c>
      <c r="C15" s="9" t="s">
        <v>19</v>
      </c>
      <c r="D15" s="14">
        <v>800</v>
      </c>
      <c r="E15" s="14">
        <v>0</v>
      </c>
      <c r="F15" s="15">
        <v>47323.76</v>
      </c>
      <c r="G15" s="14"/>
      <c r="H15" s="14">
        <v>47398.76</v>
      </c>
    </row>
    <row r="16" spans="1:8" ht="20.25" customHeight="1" x14ac:dyDescent="0.25">
      <c r="D16" s="14"/>
      <c r="E16" s="14"/>
      <c r="F16" s="14"/>
      <c r="G16" s="14"/>
      <c r="H16" s="14"/>
    </row>
    <row r="17" spans="1:8" x14ac:dyDescent="0.25">
      <c r="A17" s="16"/>
      <c r="B17" s="16"/>
      <c r="C17" s="16"/>
      <c r="D17" s="17">
        <f>SUM(D4:D15)</f>
        <v>3150</v>
      </c>
      <c r="E17" s="17">
        <f>SUM(E4:E15)</f>
        <v>0</v>
      </c>
      <c r="F17" s="17">
        <f>SUM(F4:F15)</f>
        <v>174845.27000000002</v>
      </c>
      <c r="G17" s="17"/>
      <c r="H17" s="17">
        <f>SUM(H4:H15)</f>
        <v>175370.27000000002</v>
      </c>
    </row>
  </sheetData>
  <mergeCells count="2">
    <mergeCell ref="A2:D2"/>
    <mergeCell ref="E2:H2"/>
  </mergeCells>
  <pageMargins left="0.7" right="0.7" top="0.75" bottom="0.75" header="0.3" footer="0.3"/>
  <pageSetup fitToHeight="0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9257A-0131-44AB-BD31-32527CBDB77A}">
  <dimension ref="A1:E20"/>
  <sheetViews>
    <sheetView workbookViewId="0">
      <selection activeCell="G20" sqref="G20"/>
    </sheetView>
  </sheetViews>
  <sheetFormatPr defaultRowHeight="15" x14ac:dyDescent="0.25"/>
  <cols>
    <col min="1" max="1" width="12" customWidth="1"/>
    <col min="2" max="2" width="12.42578125" customWidth="1"/>
    <col min="3" max="3" width="19.5703125" customWidth="1"/>
    <col min="5" max="5" width="25.5703125" customWidth="1"/>
  </cols>
  <sheetData>
    <row r="1" spans="1:5" ht="24.95" customHeight="1" x14ac:dyDescent="0.25">
      <c r="A1" t="s">
        <v>58</v>
      </c>
      <c r="D1" s="4"/>
      <c r="E1" s="4">
        <v>45631.999988425923</v>
      </c>
    </row>
    <row r="2" spans="1:5" ht="24.95" customHeight="1" x14ac:dyDescent="0.25">
      <c r="A2" s="5" t="s">
        <v>0</v>
      </c>
      <c r="B2" s="6"/>
      <c r="C2" s="6"/>
      <c r="D2" s="7" t="s">
        <v>56</v>
      </c>
      <c r="E2" s="6"/>
    </row>
    <row r="3" spans="1:5" ht="24.95" customHeight="1" x14ac:dyDescent="0.25">
      <c r="A3" t="s">
        <v>2</v>
      </c>
      <c r="B3" t="s">
        <v>4</v>
      </c>
      <c r="C3" t="s">
        <v>5</v>
      </c>
      <c r="D3" t="s">
        <v>6</v>
      </c>
      <c r="E3" t="s">
        <v>7</v>
      </c>
    </row>
    <row r="4" spans="1:5" ht="24.95" customHeight="1" x14ac:dyDescent="0.25">
      <c r="A4" t="s">
        <v>23</v>
      </c>
      <c r="B4" t="s">
        <v>24</v>
      </c>
      <c r="C4" t="s">
        <v>25</v>
      </c>
      <c r="E4" t="s">
        <v>26</v>
      </c>
    </row>
    <row r="5" spans="1:5" ht="24.95" customHeight="1" x14ac:dyDescent="0.25">
      <c r="A5" t="s">
        <v>41</v>
      </c>
      <c r="B5" t="s">
        <v>24</v>
      </c>
      <c r="C5" t="s">
        <v>42</v>
      </c>
      <c r="E5" t="s">
        <v>43</v>
      </c>
    </row>
    <row r="6" spans="1:5" ht="24.95" customHeight="1" x14ac:dyDescent="0.25">
      <c r="A6" s="1"/>
      <c r="B6" s="1"/>
      <c r="C6" s="1" t="s">
        <v>57</v>
      </c>
      <c r="D6" s="1"/>
      <c r="E6" s="1"/>
    </row>
    <row r="11" spans="1:5" x14ac:dyDescent="0.25">
      <c r="A11" t="s">
        <v>59</v>
      </c>
      <c r="B11" s="8"/>
      <c r="C11" s="8"/>
      <c r="D11" s="8"/>
    </row>
    <row r="16" spans="1:5" x14ac:dyDescent="0.25">
      <c r="A16" t="s">
        <v>60</v>
      </c>
      <c r="B16" s="8"/>
      <c r="C16" s="8"/>
      <c r="D16" s="8"/>
    </row>
    <row r="20" spans="1:2" x14ac:dyDescent="0.25">
      <c r="A20" t="s">
        <v>61</v>
      </c>
      <c r="B20" s="8"/>
    </row>
  </sheetData>
  <mergeCells count="2">
    <mergeCell ref="A2:C2"/>
    <mergeCell ref="D2:E2"/>
  </mergeCell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Funding Worksheet - Folder Vers</vt:lpstr>
      <vt:lpstr>Funding Worksheet - ACH</vt:lpstr>
      <vt:lpstr>Original Note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Rachel Gorham</cp:lastModifiedBy>
  <cp:lastPrinted>2024-12-05T19:00:48Z</cp:lastPrinted>
  <dcterms:created xsi:type="dcterms:W3CDTF">2024-12-05T18:48:39Z</dcterms:created>
  <dcterms:modified xsi:type="dcterms:W3CDTF">2024-12-05T19:19:08Z</dcterms:modified>
</cp:coreProperties>
</file>