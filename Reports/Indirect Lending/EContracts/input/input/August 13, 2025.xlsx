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699E1DA1-2C72-4F3A-BD77-EBFCED1F46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" l="1"/>
  <c r="F15" i="1"/>
  <c r="F21" i="1"/>
  <c r="F24" i="1"/>
  <c r="F29" i="1"/>
  <c r="H33" i="1"/>
  <c r="H32" i="1"/>
  <c r="E32" i="1"/>
  <c r="D32" i="1"/>
  <c r="C32" i="1"/>
</calcChain>
</file>

<file path=xl/sharedStrings.xml><?xml version="1.0" encoding="utf-8"?>
<sst xmlns="http://schemas.openxmlformats.org/spreadsheetml/2006/main" count="232" uniqueCount="118">
  <si>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</si>
  <si>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</si>
  <si>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</si>
  <si>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</si>
  <si>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</si>
  <si>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</si>
  <si>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</si>
  <si>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</si>
  <si>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</si>
  <si>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</si>
  <si>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Battles Nissan, LLC</t>
  </si>
  <si>
    <t>Neli Oliveira</t>
  </si>
  <si>
    <t>Coastal Volkswagon</t>
  </si>
  <si>
    <t>Colonial South Chevrolet</t>
  </si>
  <si>
    <t>Rachel Gorham</t>
  </si>
  <si>
    <t>Hiller Co Inc</t>
  </si>
  <si>
    <t>Lucchettis Service Center Inc</t>
  </si>
  <si>
    <t>Patriot Auto Group Inc d/b/a</t>
  </si>
  <si>
    <t>Paul Masse Buick GMC South, Inc</t>
  </si>
  <si>
    <t>Planet Automotive Sales LLC</t>
  </si>
  <si>
    <t>Richard Lundgren, Inc. d/b/a</t>
  </si>
  <si>
    <t>Salvadore Chevrolet</t>
  </si>
  <si>
    <t>T F Murphy Enterprises Inc</t>
  </si>
  <si>
    <t>Tasca Buick GMC</t>
  </si>
  <si>
    <t>Column1</t>
  </si>
  <si>
    <t>Column2</t>
  </si>
  <si>
    <t># 17</t>
  </si>
  <si>
    <t>KOVAC</t>
  </si>
  <si>
    <t>briancurley@comcast.net</t>
  </si>
  <si>
    <t>CURLEY, BRIAN</t>
  </si>
  <si>
    <t>Paper</t>
  </si>
  <si>
    <t>DealerTrack</t>
  </si>
  <si>
    <t>151212992</t>
  </si>
  <si>
    <t>HALL</t>
  </si>
  <si>
    <t>JONGOSSELIN82@GMAIL.COM</t>
  </si>
  <si>
    <t>GOSSELIN, JON</t>
  </si>
  <si>
    <t>151212976</t>
  </si>
  <si>
    <t>WILD</t>
  </si>
  <si>
    <t>julia@signatureoysterfarm.com</t>
  </si>
  <si>
    <t>SMITH, JULIA</t>
  </si>
  <si>
    <t>E Contract</t>
  </si>
  <si>
    <t>Route One</t>
  </si>
  <si>
    <t>151212950e</t>
  </si>
  <si>
    <t>REVELLE</t>
  </si>
  <si>
    <t>CAROLCADYATHOME@GMAIL.COM</t>
  </si>
  <si>
    <t>CADY, CAROL</t>
  </si>
  <si>
    <t>151212942e</t>
  </si>
  <si>
    <t>LOPES</t>
  </si>
  <si>
    <t>tsharks@aol.com</t>
  </si>
  <si>
    <t>SILVA, COREY</t>
  </si>
  <si>
    <t>151212926e</t>
  </si>
  <si>
    <t>SMYTHE</t>
  </si>
  <si>
    <t>michelle.brill68@gmail.com</t>
  </si>
  <si>
    <t>BRILL, ROBERT</t>
  </si>
  <si>
    <t>BRILL BUILDERS INC</t>
  </si>
  <si>
    <t>151212918</t>
  </si>
  <si>
    <t>PACHECO</t>
  </si>
  <si>
    <t>VIVEIROS, MANUEL</t>
  </si>
  <si>
    <t>151212869</t>
  </si>
  <si>
    <t>MITCHELL</t>
  </si>
  <si>
    <t>MICHELE.KUSTIGIAN@GMAIL.COM</t>
  </si>
  <si>
    <t>KUSTIGIAN, MICHELE</t>
  </si>
  <si>
    <t>151212851e</t>
  </si>
  <si>
    <t>TURPIN</t>
  </si>
  <si>
    <t>HCDAUTEUIL@GMAIL.COM</t>
  </si>
  <si>
    <t>COFFEY, HAYLEY</t>
  </si>
  <si>
    <t>151212843e</t>
  </si>
  <si>
    <t>HAYWARD</t>
  </si>
  <si>
    <t>JAMESRYANCOBURN@GMAIL.COM</t>
  </si>
  <si>
    <t>COBURN, JAMES</t>
  </si>
  <si>
    <t>151212835e</t>
  </si>
  <si>
    <t>SPALLONE</t>
  </si>
  <si>
    <t>summerchristie@hotmail.com</t>
  </si>
  <si>
    <t>RIKER, SUMMER</t>
  </si>
  <si>
    <t>151212827e</t>
  </si>
  <si>
    <t>HORNBURGER</t>
  </si>
  <si>
    <t>boyerinri@yahoo.com</t>
  </si>
  <si>
    <t>BOYER, JAN</t>
  </si>
  <si>
    <t>151212819e</t>
  </si>
  <si>
    <t>BIELOSKI</t>
  </si>
  <si>
    <t>MINAHAN</t>
  </si>
  <si>
    <t>BBSATMENARD@VERIZON.NET</t>
  </si>
  <si>
    <t>WRMENARD@HOTMAIL.COM</t>
  </si>
  <si>
    <t>MENARD, REBECCA</t>
  </si>
  <si>
    <t>MENARD, WILLIAM</t>
  </si>
  <si>
    <t>151212801e</t>
  </si>
  <si>
    <t>Taccone</t>
  </si>
  <si>
    <t>MONGEON</t>
  </si>
  <si>
    <t>Lacono, Francesco</t>
  </si>
  <si>
    <t>Woodman, Jessica</t>
  </si>
  <si>
    <t>FERREIRA</t>
  </si>
  <si>
    <t>leighellen03@gmail.com</t>
  </si>
  <si>
    <t>FERREIRA, LEIGH</t>
  </si>
  <si>
    <t>GROMAK</t>
  </si>
  <si>
    <t>GOLD2002BY@YAHOO.COM</t>
  </si>
  <si>
    <t>FULCHER, ARYNA</t>
  </si>
  <si>
    <t>PHILBRICK</t>
  </si>
  <si>
    <t>CUNNINGHAM, LAUREN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</si>
  <si>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</si>
  <si>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</si>
  <si>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</si>
  <si>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</si>
  <si>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</si>
  <si>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</si>
  <si>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</si>
  <si>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</si>
  <si>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</si>
  <si>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</si>
  <si>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</si>
  <si>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151212702e</t>
  </si>
  <si>
    <t>151212710e</t>
  </si>
  <si>
    <t>151212786e</t>
  </si>
  <si>
    <t>151212794e</t>
  </si>
  <si>
    <t>Date Signed_____________________________________________________</t>
  </si>
  <si>
    <t>Received By________________________________________________________________________</t>
  </si>
  <si>
    <t>Delivered By________________________________________________________________________</t>
  </si>
  <si>
    <t># 4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</si>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</sst>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4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2" fillId="2" borderId="0" xfId="2"/>
    <xf numFmtId="0" fontId="2" fillId="0" borderId="0" xfId="2" applyFill="1"/>
    <xf numFmtId="164" fontId="2" fillId="0" borderId="0" xfId="2" applyNumberFormat="1" applyFill="1" applyAlignment="1">
      <alignment horizontal="right"/>
    </xf>
    <xf numFmtId="0" fontId="1" fillId="0" borderId="0" xfId="2" applyFont="1" applyFill="1" applyAlignment="1">
      <alignment horizontal="left"/>
    </xf>
    <xf numFmtId="0" fontId="2" fillId="0" borderId="0" xfId="2" applyFill="1"/>
    <xf numFmtId="0" fontId="1" fillId="0" borderId="0" xfId="2" applyFont="1" applyFill="1" applyAlignment="1">
      <alignment horizontal="right"/>
    </xf>
    <xf numFmtId="0" fontId="1" fillId="0" borderId="0" xfId="2" applyFont="1" applyFill="1"/>
  </cellXfs>
  <cellStyles count="3">
    <cellStyle name="Normal" xfId="0" builtinId="0"/>
    <cellStyle name="Normal 2" xfId="1" xr:uid="{3EACA674-A0FE-496A-A9D6-205B06D940C6}"/>
    <cellStyle name="Normal 3" xfId="2" xr:uid="{33ABD9AE-5A8A-429B-BCDD-913B2C606409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3" totalsRowCount="1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4ADEB54A-C0DA-4AF3-A1AA-936F6E195A7E}" name="Column1" dataDxfId="23"/>
    <tableColumn id="8" xr3:uid="{04FE99EF-08FF-436C-9EBD-C6405742B430}" name="Column2" dataDxfId="24"/>
    <tableColumn id="6" xr3:uid="{00000000-0010-0000-0000-000006000000}" name="Contracted Amount Financed" totalsRowFunction="custom">
      <totalsRowFormula>COUNT(H4:H31)</totalsRow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47A0F9-885B-4230-8DEB-A9DCB8E49016}" name="Table_13" displayName="Table_13" ref="A3:L21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AC5FC-9973-4401-97C4-692638439A3E}" name="Table_14" displayName="Table_14" ref="A3:E8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3"/>
  <sheetViews>
    <sheetView tabSelected="1" workbookViewId="0">
      <pane ySplit="3" topLeftCell="A4" activePane="bottomLeft" state="frozen"/>
      <selection pane="bottomLeft" activeCell="E31" sqref="E31"/>
    </sheetView>
  </sheetViews>
  <sheetFormatPr defaultRowHeight="15" x14ac:dyDescent="0.25"/>
  <cols>
    <col min="1" max="1" width="31.5703125" bestFit="1" customWidth="1"/>
    <col min="2" max="2" width="15.140625" bestFit="1" customWidth="1"/>
    <col min="3" max="3" width="11.140625" bestFit="1" customWidth="1"/>
    <col min="4" max="4" width="16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45882</v>
      </c>
      <c r="E1" t="s">
        <v>2</v>
      </c>
      <c r="H1" s="4">
        <v>45882.999988425923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24</v>
      </c>
      <c r="G3" t="s">
        <v>25</v>
      </c>
      <c r="H3" t="s">
        <v>9</v>
      </c>
    </row>
    <row r="4" spans="1:8" x14ac:dyDescent="0.25">
      <c r="A4" t="s">
        <v>10</v>
      </c>
      <c r="B4" t="s">
        <v>11</v>
      </c>
      <c r="C4" s="2">
        <v>300</v>
      </c>
      <c r="D4" s="2">
        <v>0</v>
      </c>
      <c r="E4" s="2">
        <v>13187.13</v>
      </c>
      <c r="F4" s="2"/>
      <c r="G4" s="2"/>
      <c r="H4" s="2">
        <v>13262.13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850</v>
      </c>
      <c r="D6" s="2">
        <v>0</v>
      </c>
      <c r="E6" s="2">
        <v>34013.25</v>
      </c>
      <c r="F6" s="2"/>
      <c r="G6" s="2"/>
      <c r="H6" s="2">
        <v>34088.25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14</v>
      </c>
      <c r="C8" s="2">
        <v>500</v>
      </c>
      <c r="D8" s="2">
        <v>0</v>
      </c>
      <c r="E8" s="2">
        <v>16644.310000000001</v>
      </c>
      <c r="F8" s="2"/>
      <c r="G8" s="2"/>
      <c r="H8" s="2">
        <v>16719.310000000001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14</v>
      </c>
      <c r="C10" s="2">
        <v>850</v>
      </c>
      <c r="D10" s="2">
        <v>0</v>
      </c>
      <c r="E10" s="2">
        <v>34335.629999999997</v>
      </c>
      <c r="F10" s="2"/>
      <c r="G10" s="2"/>
      <c r="H10" s="2">
        <v>34410.629999999997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16</v>
      </c>
      <c r="B12" t="s">
        <v>14</v>
      </c>
      <c r="C12" s="2">
        <v>750</v>
      </c>
      <c r="D12" s="2">
        <v>0</v>
      </c>
      <c r="E12" s="2">
        <v>28507.5</v>
      </c>
      <c r="F12" s="2"/>
      <c r="G12" s="2"/>
      <c r="H12" s="2">
        <v>28582.5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14</v>
      </c>
      <c r="C14" s="2">
        <v>650</v>
      </c>
      <c r="D14" s="2">
        <v>0</v>
      </c>
      <c r="E14" s="2">
        <v>20542.63</v>
      </c>
      <c r="F14" s="2"/>
      <c r="G14" s="2"/>
      <c r="H14" s="2">
        <v>20617.63</v>
      </c>
    </row>
    <row r="15" spans="1:8" x14ac:dyDescent="0.25">
      <c r="A15" t="s">
        <v>17</v>
      </c>
      <c r="B15" t="s">
        <v>14</v>
      </c>
      <c r="C15" s="2">
        <v>500</v>
      </c>
      <c r="D15" s="2">
        <v>0</v>
      </c>
      <c r="E15" s="2">
        <v>18953.13</v>
      </c>
      <c r="F15" s="2">
        <f>SUM(E14:E15)</f>
        <v>39495.760000000002</v>
      </c>
      <c r="G15" s="2"/>
      <c r="H15" s="2">
        <v>19028.13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18</v>
      </c>
      <c r="B17" t="s">
        <v>14</v>
      </c>
      <c r="C17" s="2">
        <v>650</v>
      </c>
      <c r="D17" s="2">
        <v>0</v>
      </c>
      <c r="E17" s="2">
        <v>20042.689999999999</v>
      </c>
      <c r="F17" s="2"/>
      <c r="G17" s="2"/>
      <c r="H17" s="2">
        <v>20117.689999999999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19</v>
      </c>
      <c r="B19" t="s">
        <v>11</v>
      </c>
      <c r="C19" s="2">
        <v>750</v>
      </c>
      <c r="D19" s="2">
        <v>0</v>
      </c>
      <c r="E19" s="2">
        <v>25630.78</v>
      </c>
      <c r="F19" s="2"/>
      <c r="G19" s="2"/>
      <c r="H19" s="2">
        <v>25705.78</v>
      </c>
    </row>
    <row r="20" spans="1:8" x14ac:dyDescent="0.25">
      <c r="A20" t="s">
        <v>19</v>
      </c>
      <c r="B20" t="s">
        <v>11</v>
      </c>
      <c r="C20" s="2">
        <v>500</v>
      </c>
      <c r="D20" s="2">
        <v>0</v>
      </c>
      <c r="E20" s="2">
        <v>18756.7</v>
      </c>
      <c r="F20" s="2"/>
      <c r="G20" s="2"/>
      <c r="H20" s="2">
        <v>18831.7</v>
      </c>
    </row>
    <row r="21" spans="1:8" x14ac:dyDescent="0.25">
      <c r="A21" t="s">
        <v>19</v>
      </c>
      <c r="B21" t="s">
        <v>11</v>
      </c>
      <c r="C21" s="2">
        <v>750</v>
      </c>
      <c r="D21" s="2">
        <v>0</v>
      </c>
      <c r="E21" s="2">
        <v>27661.69</v>
      </c>
      <c r="F21" s="2">
        <f>SUM(E19:E21)</f>
        <v>72049.17</v>
      </c>
      <c r="G21" s="2"/>
      <c r="H21" s="2">
        <v>27736.69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20</v>
      </c>
      <c r="B23" t="s">
        <v>14</v>
      </c>
      <c r="C23" s="2">
        <v>750</v>
      </c>
      <c r="D23" s="2">
        <v>0</v>
      </c>
      <c r="E23" s="2">
        <v>29572</v>
      </c>
      <c r="F23" s="2"/>
      <c r="G23" s="2"/>
      <c r="H23" s="2">
        <v>29647</v>
      </c>
    </row>
    <row r="24" spans="1:8" x14ac:dyDescent="0.25">
      <c r="A24" t="s">
        <v>20</v>
      </c>
      <c r="B24" t="s">
        <v>14</v>
      </c>
      <c r="C24" s="2">
        <v>650</v>
      </c>
      <c r="D24" s="2">
        <v>0</v>
      </c>
      <c r="E24" s="2">
        <v>24234.25</v>
      </c>
      <c r="F24" s="2">
        <f>SUM(E23:E24)</f>
        <v>53806.25</v>
      </c>
      <c r="G24" s="2"/>
      <c r="H24" s="2">
        <v>24309.25</v>
      </c>
    </row>
    <row r="25" spans="1:8" x14ac:dyDescent="0.25">
      <c r="C25" s="2"/>
      <c r="D25" s="2"/>
      <c r="E25" s="2"/>
      <c r="F25" s="2"/>
      <c r="G25" s="2"/>
      <c r="H25" s="2"/>
    </row>
    <row r="26" spans="1:8" x14ac:dyDescent="0.25">
      <c r="A26" t="s">
        <v>21</v>
      </c>
      <c r="B26" t="s">
        <v>11</v>
      </c>
      <c r="C26" s="2">
        <v>650</v>
      </c>
      <c r="D26" s="2">
        <v>0</v>
      </c>
      <c r="E26" s="2">
        <v>23012.51</v>
      </c>
      <c r="F26" s="2"/>
      <c r="G26" s="2"/>
      <c r="H26" s="2">
        <v>23087.51</v>
      </c>
    </row>
    <row r="27" spans="1:8" x14ac:dyDescent="0.25">
      <c r="C27" s="2"/>
      <c r="D27" s="2"/>
      <c r="E27" s="2"/>
      <c r="F27" s="2"/>
      <c r="G27" s="2"/>
      <c r="H27" s="2"/>
    </row>
    <row r="28" spans="1:8" x14ac:dyDescent="0.25">
      <c r="A28" t="s">
        <v>22</v>
      </c>
      <c r="B28" t="s">
        <v>14</v>
      </c>
      <c r="C28" s="2">
        <v>950</v>
      </c>
      <c r="D28" s="2">
        <v>0</v>
      </c>
      <c r="E28" s="2">
        <v>38757.79</v>
      </c>
      <c r="F28" s="2"/>
      <c r="G28" s="2"/>
      <c r="H28" s="2">
        <v>38832.79</v>
      </c>
    </row>
    <row r="29" spans="1:8" x14ac:dyDescent="0.25">
      <c r="A29" t="s">
        <v>22</v>
      </c>
      <c r="B29" t="s">
        <v>11</v>
      </c>
      <c r="C29" s="2">
        <v>850</v>
      </c>
      <c r="D29" s="2">
        <v>0</v>
      </c>
      <c r="E29" s="2">
        <v>30090.19</v>
      </c>
      <c r="F29" s="2">
        <f>SUM(E28:E29)</f>
        <v>68847.98</v>
      </c>
      <c r="G29" s="2"/>
      <c r="H29" s="2">
        <v>30165.19</v>
      </c>
    </row>
    <row r="30" spans="1:8" x14ac:dyDescent="0.25">
      <c r="C30" s="2"/>
      <c r="D30" s="2"/>
      <c r="E30" s="2"/>
      <c r="F30" s="2"/>
      <c r="G30" s="2"/>
      <c r="H30" s="2"/>
    </row>
    <row r="31" spans="1:8" x14ac:dyDescent="0.25">
      <c r="A31" t="s">
        <v>23</v>
      </c>
      <c r="B31" t="s">
        <v>11</v>
      </c>
      <c r="C31" s="2">
        <v>850</v>
      </c>
      <c r="D31" s="2">
        <v>0</v>
      </c>
      <c r="E31" s="2">
        <v>31027.33</v>
      </c>
      <c r="F31" s="2"/>
      <c r="G31" s="2"/>
      <c r="H31" s="2">
        <v>31102.33</v>
      </c>
    </row>
    <row r="32" spans="1:8" x14ac:dyDescent="0.25">
      <c r="A32" s="1"/>
      <c r="B32" s="1"/>
      <c r="C32" s="3">
        <f>SUM(C4:C31)</f>
        <v>11750</v>
      </c>
      <c r="D32" s="3">
        <f>SUM(D4:D31)</f>
        <v>0</v>
      </c>
      <c r="E32" s="3">
        <f>SUM(E4:E31)</f>
        <v>434969.51000000007</v>
      </c>
      <c r="F32" s="3"/>
      <c r="G32" s="3"/>
      <c r="H32" s="3">
        <f>SUM(H4:H31)</f>
        <v>436244.51000000007</v>
      </c>
    </row>
    <row r="33" spans="8:8" x14ac:dyDescent="0.25">
      <c r="H33">
        <f>COUNT(H4:H31)</f>
        <v>17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E1BB-5FF2-4A8B-88C1-9825DC216015}">
  <sheetPr>
    <pageSetUpPr fitToPage="1"/>
  </sheetPr>
  <dimension ref="A1:L26"/>
  <sheetViews>
    <sheetView workbookViewId="0">
      <pane ySplit="3" topLeftCell="A4" activePane="bottomLeft" state="frozen"/>
      <selection pane="bottomLeft" activeCell="A7" sqref="A7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2.5703125" style="8" bestFit="1" customWidth="1"/>
    <col min="5" max="5" width="18.85546875" style="8" bestFit="1" customWidth="1"/>
    <col min="6" max="6" width="31.5703125" style="8" bestFit="1" customWidth="1"/>
    <col min="7" max="7" width="15.140625" style="8" bestFit="1" customWidth="1"/>
    <col min="8" max="8" width="17.140625" style="8" bestFit="1" customWidth="1"/>
    <col min="9" max="9" width="32.85546875" style="8" bestFit="1" customWidth="1"/>
    <col min="10" max="10" width="29.5703125" style="8" bestFit="1" customWidth="1"/>
    <col min="11" max="11" width="16.140625" style="8" bestFit="1" customWidth="1"/>
    <col min="12" max="12" width="12.85546875" style="8" bestFit="1" customWidth="1"/>
    <col min="13" max="16384" width="9.140625" style="8"/>
  </cols>
  <sheetData>
    <row r="1" spans="1:12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45882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108</v>
      </c>
      <c r="H2" s="12"/>
      <c r="I2" s="12"/>
      <c r="J2" s="12"/>
      <c r="K2" s="12"/>
      <c r="L2" s="12"/>
    </row>
    <row r="3" spans="1:12" ht="35.1" customHeight="1" x14ac:dyDescent="0.25">
      <c r="A3" s="9" t="s">
        <v>107</v>
      </c>
      <c r="B3" s="9" t="s">
        <v>106</v>
      </c>
      <c r="C3" s="9" t="s">
        <v>105</v>
      </c>
      <c r="D3" s="9" t="s">
        <v>104</v>
      </c>
      <c r="E3" s="9" t="s">
        <v>103</v>
      </c>
      <c r="F3" s="9" t="s">
        <v>4</v>
      </c>
      <c r="G3" s="9" t="s">
        <v>5</v>
      </c>
      <c r="H3" s="9" t="s">
        <v>102</v>
      </c>
      <c r="I3" s="9" t="s">
        <v>101</v>
      </c>
      <c r="J3" s="9" t="s">
        <v>100</v>
      </c>
      <c r="K3" s="9" t="s">
        <v>99</v>
      </c>
      <c r="L3" s="9" t="s">
        <v>98</v>
      </c>
    </row>
    <row r="4" spans="1:12" ht="35.1" customHeight="1" x14ac:dyDescent="0.25">
      <c r="A4" s="9" t="s">
        <v>109</v>
      </c>
      <c r="B4" s="9" t="s">
        <v>31</v>
      </c>
      <c r="C4" s="9" t="s">
        <v>40</v>
      </c>
      <c r="D4" s="9" t="s">
        <v>97</v>
      </c>
      <c r="E4" s="9"/>
      <c r="F4" s="9" t="s">
        <v>12</v>
      </c>
      <c r="G4" s="9" t="s">
        <v>11</v>
      </c>
      <c r="H4" s="14">
        <v>34088.25</v>
      </c>
      <c r="I4" s="9"/>
      <c r="J4" s="9"/>
      <c r="K4" s="9" t="s">
        <v>96</v>
      </c>
      <c r="L4" s="9"/>
    </row>
    <row r="5" spans="1:12" ht="35.1" customHeight="1" x14ac:dyDescent="0.25">
      <c r="A5" s="9" t="s">
        <v>110</v>
      </c>
      <c r="B5" s="9" t="s">
        <v>31</v>
      </c>
      <c r="C5" s="9" t="s">
        <v>40</v>
      </c>
      <c r="D5" s="9" t="s">
        <v>95</v>
      </c>
      <c r="E5" s="9"/>
      <c r="F5" s="9" t="s">
        <v>10</v>
      </c>
      <c r="G5" s="9" t="s">
        <v>11</v>
      </c>
      <c r="H5" s="14">
        <v>13262.13</v>
      </c>
      <c r="I5" s="9" t="s">
        <v>94</v>
      </c>
      <c r="J5" s="9"/>
      <c r="K5" s="9" t="s">
        <v>93</v>
      </c>
      <c r="L5" s="9"/>
    </row>
    <row r="6" spans="1:12" ht="35.1" customHeight="1" x14ac:dyDescent="0.25">
      <c r="A6" s="9" t="s">
        <v>111</v>
      </c>
      <c r="B6" s="9" t="s">
        <v>41</v>
      </c>
      <c r="C6" s="9" t="s">
        <v>40</v>
      </c>
      <c r="D6" s="9" t="s">
        <v>92</v>
      </c>
      <c r="E6" s="9"/>
      <c r="F6" s="9" t="s">
        <v>22</v>
      </c>
      <c r="G6" s="9" t="s">
        <v>11</v>
      </c>
      <c r="H6" s="14">
        <v>30165.19</v>
      </c>
      <c r="I6" s="9" t="s">
        <v>91</v>
      </c>
      <c r="J6" s="9"/>
      <c r="K6" s="9" t="s">
        <v>90</v>
      </c>
      <c r="L6" s="9"/>
    </row>
    <row r="7" spans="1:12" ht="35.1" customHeight="1" x14ac:dyDescent="0.25">
      <c r="A7" s="9" t="s">
        <v>112</v>
      </c>
      <c r="B7" s="9" t="s">
        <v>41</v>
      </c>
      <c r="C7" s="9" t="s">
        <v>40</v>
      </c>
      <c r="D7" s="9" t="s">
        <v>89</v>
      </c>
      <c r="E7" s="9" t="s">
        <v>88</v>
      </c>
      <c r="F7" s="9" t="s">
        <v>21</v>
      </c>
      <c r="G7" s="9" t="s">
        <v>11</v>
      </c>
      <c r="H7" s="14">
        <v>23087.51</v>
      </c>
      <c r="I7" s="9"/>
      <c r="J7" s="9"/>
      <c r="K7" s="9" t="s">
        <v>87</v>
      </c>
      <c r="L7" s="9" t="s">
        <v>86</v>
      </c>
    </row>
    <row r="8" spans="1:12" ht="35.1" customHeight="1" x14ac:dyDescent="0.25">
      <c r="A8" s="9" t="s">
        <v>85</v>
      </c>
      <c r="B8" s="9" t="s">
        <v>41</v>
      </c>
      <c r="C8" s="9" t="s">
        <v>40</v>
      </c>
      <c r="D8" s="9" t="s">
        <v>84</v>
      </c>
      <c r="E8" s="9" t="s">
        <v>83</v>
      </c>
      <c r="F8" s="9" t="s">
        <v>23</v>
      </c>
      <c r="G8" s="9" t="s">
        <v>11</v>
      </c>
      <c r="H8" s="14">
        <v>31102.33</v>
      </c>
      <c r="I8" s="9" t="s">
        <v>82</v>
      </c>
      <c r="J8" s="9" t="s">
        <v>81</v>
      </c>
      <c r="K8" s="9" t="s">
        <v>80</v>
      </c>
      <c r="L8" s="9" t="s">
        <v>79</v>
      </c>
    </row>
    <row r="9" spans="1:12" ht="35.1" customHeight="1" x14ac:dyDescent="0.25">
      <c r="A9" s="9" t="s">
        <v>78</v>
      </c>
      <c r="B9" s="9" t="s">
        <v>41</v>
      </c>
      <c r="C9" s="9" t="s">
        <v>40</v>
      </c>
      <c r="D9" s="9" t="s">
        <v>77</v>
      </c>
      <c r="E9" s="9"/>
      <c r="F9" s="9" t="s">
        <v>18</v>
      </c>
      <c r="G9" s="9" t="s">
        <v>14</v>
      </c>
      <c r="H9" s="14">
        <v>20117.689999999999</v>
      </c>
      <c r="I9" s="9" t="s">
        <v>76</v>
      </c>
      <c r="J9" s="9"/>
      <c r="K9" s="9" t="s">
        <v>75</v>
      </c>
      <c r="L9" s="9"/>
    </row>
    <row r="10" spans="1:12" ht="35.1" customHeight="1" x14ac:dyDescent="0.25">
      <c r="A10" s="9" t="s">
        <v>74</v>
      </c>
      <c r="B10" s="9" t="s">
        <v>41</v>
      </c>
      <c r="C10" s="9" t="s">
        <v>40</v>
      </c>
      <c r="D10" s="9" t="s">
        <v>73</v>
      </c>
      <c r="E10" s="9"/>
      <c r="F10" s="9" t="s">
        <v>15</v>
      </c>
      <c r="G10" s="9" t="s">
        <v>14</v>
      </c>
      <c r="H10" s="14">
        <v>34410.629999999997</v>
      </c>
      <c r="I10" s="9" t="s">
        <v>72</v>
      </c>
      <c r="J10" s="9"/>
      <c r="K10" s="9" t="s">
        <v>71</v>
      </c>
      <c r="L10" s="9"/>
    </row>
    <row r="11" spans="1:12" ht="35.1" customHeight="1" x14ac:dyDescent="0.25">
      <c r="A11" s="9" t="s">
        <v>70</v>
      </c>
      <c r="B11" s="9" t="s">
        <v>41</v>
      </c>
      <c r="C11" s="9" t="s">
        <v>40</v>
      </c>
      <c r="D11" s="9" t="s">
        <v>69</v>
      </c>
      <c r="E11" s="9"/>
      <c r="F11" s="9" t="s">
        <v>22</v>
      </c>
      <c r="G11" s="9" t="s">
        <v>14</v>
      </c>
      <c r="H11" s="14">
        <v>38832.79</v>
      </c>
      <c r="I11" s="9" t="s">
        <v>68</v>
      </c>
      <c r="J11" s="9"/>
      <c r="K11" s="9" t="s">
        <v>67</v>
      </c>
      <c r="L11" s="9"/>
    </row>
    <row r="12" spans="1:12" ht="35.1" customHeight="1" x14ac:dyDescent="0.25">
      <c r="A12" s="9" t="s">
        <v>66</v>
      </c>
      <c r="B12" s="9" t="s">
        <v>31</v>
      </c>
      <c r="C12" s="9" t="s">
        <v>40</v>
      </c>
      <c r="D12" s="9" t="s">
        <v>65</v>
      </c>
      <c r="E12" s="9"/>
      <c r="F12" s="9" t="s">
        <v>20</v>
      </c>
      <c r="G12" s="9" t="s">
        <v>14</v>
      </c>
      <c r="H12" s="14">
        <v>29647</v>
      </c>
      <c r="I12" s="9" t="s">
        <v>64</v>
      </c>
      <c r="J12" s="9"/>
      <c r="K12" s="9" t="s">
        <v>63</v>
      </c>
      <c r="L12" s="9"/>
    </row>
    <row r="13" spans="1:12" ht="35.1" customHeight="1" x14ac:dyDescent="0.25">
      <c r="A13" s="9" t="s">
        <v>62</v>
      </c>
      <c r="B13" s="9" t="s">
        <v>31</v>
      </c>
      <c r="C13" s="9" t="s">
        <v>40</v>
      </c>
      <c r="D13" s="9" t="s">
        <v>61</v>
      </c>
      <c r="E13" s="9"/>
      <c r="F13" s="9" t="s">
        <v>20</v>
      </c>
      <c r="G13" s="9" t="s">
        <v>14</v>
      </c>
      <c r="H13" s="14">
        <v>24309.25</v>
      </c>
      <c r="I13" s="9" t="s">
        <v>60</v>
      </c>
      <c r="J13" s="9"/>
      <c r="K13" s="9" t="s">
        <v>59</v>
      </c>
      <c r="L13" s="9"/>
    </row>
    <row r="14" spans="1:12" ht="35.1" customHeight="1" x14ac:dyDescent="0.25">
      <c r="A14" s="9" t="s">
        <v>58</v>
      </c>
      <c r="B14" s="9" t="s">
        <v>41</v>
      </c>
      <c r="C14" s="9" t="s">
        <v>30</v>
      </c>
      <c r="D14" s="9" t="s">
        <v>57</v>
      </c>
      <c r="E14" s="9"/>
      <c r="F14" s="9" t="s">
        <v>13</v>
      </c>
      <c r="G14" s="9" t="s">
        <v>14</v>
      </c>
      <c r="H14" s="14">
        <v>16719.310000000001</v>
      </c>
      <c r="I14" s="9"/>
      <c r="J14" s="9"/>
      <c r="K14" s="9" t="s">
        <v>56</v>
      </c>
      <c r="L14" s="9"/>
    </row>
    <row r="15" spans="1:12" ht="35.1" customHeight="1" x14ac:dyDescent="0.25">
      <c r="A15" s="9" t="s">
        <v>55</v>
      </c>
      <c r="B15" s="9" t="s">
        <v>31</v>
      </c>
      <c r="C15" s="9" t="s">
        <v>30</v>
      </c>
      <c r="D15" s="9" t="s">
        <v>54</v>
      </c>
      <c r="E15" s="9" t="s">
        <v>53</v>
      </c>
      <c r="F15" s="9" t="s">
        <v>19</v>
      </c>
      <c r="G15" s="9" t="s">
        <v>11</v>
      </c>
      <c r="H15" s="14">
        <v>18831.7</v>
      </c>
      <c r="I15" s="9" t="s">
        <v>52</v>
      </c>
      <c r="J15" s="9"/>
      <c r="K15" s="9" t="s">
        <v>51</v>
      </c>
      <c r="L15" s="9"/>
    </row>
    <row r="16" spans="1:12" ht="35.1" customHeight="1" x14ac:dyDescent="0.25">
      <c r="A16" s="9" t="s">
        <v>50</v>
      </c>
      <c r="B16" s="9" t="s">
        <v>41</v>
      </c>
      <c r="C16" s="9" t="s">
        <v>40</v>
      </c>
      <c r="D16" s="9" t="s">
        <v>49</v>
      </c>
      <c r="E16" s="9"/>
      <c r="F16" s="9" t="s">
        <v>16</v>
      </c>
      <c r="G16" s="9" t="s">
        <v>14</v>
      </c>
      <c r="H16" s="14">
        <v>28582.5</v>
      </c>
      <c r="I16" s="9" t="s">
        <v>48</v>
      </c>
      <c r="J16" s="9"/>
      <c r="K16" s="9" t="s">
        <v>47</v>
      </c>
      <c r="L16" s="9"/>
    </row>
    <row r="17" spans="1:12" ht="35.1" customHeight="1" x14ac:dyDescent="0.25">
      <c r="A17" s="9" t="s">
        <v>46</v>
      </c>
      <c r="B17" s="9" t="s">
        <v>41</v>
      </c>
      <c r="C17" s="9" t="s">
        <v>40</v>
      </c>
      <c r="D17" s="9" t="s">
        <v>45</v>
      </c>
      <c r="E17" s="9"/>
      <c r="F17" s="9" t="s">
        <v>17</v>
      </c>
      <c r="G17" s="9" t="s">
        <v>14</v>
      </c>
      <c r="H17" s="14">
        <v>19028.13</v>
      </c>
      <c r="I17" s="9" t="s">
        <v>44</v>
      </c>
      <c r="J17" s="9"/>
      <c r="K17" s="9" t="s">
        <v>43</v>
      </c>
      <c r="L17" s="9"/>
    </row>
    <row r="18" spans="1:12" ht="35.1" customHeight="1" x14ac:dyDescent="0.25">
      <c r="A18" s="9" t="s">
        <v>42</v>
      </c>
      <c r="B18" s="9" t="s">
        <v>41</v>
      </c>
      <c r="C18" s="9" t="s">
        <v>40</v>
      </c>
      <c r="D18" s="9" t="s">
        <v>39</v>
      </c>
      <c r="E18" s="9"/>
      <c r="F18" s="9" t="s">
        <v>17</v>
      </c>
      <c r="G18" s="9" t="s">
        <v>14</v>
      </c>
      <c r="H18" s="14">
        <v>20617.63</v>
      </c>
      <c r="I18" s="9" t="s">
        <v>38</v>
      </c>
      <c r="J18" s="9"/>
      <c r="K18" s="9" t="s">
        <v>37</v>
      </c>
      <c r="L18" s="9"/>
    </row>
    <row r="19" spans="1:12" ht="35.1" customHeight="1" x14ac:dyDescent="0.25">
      <c r="A19" s="9" t="s">
        <v>36</v>
      </c>
      <c r="B19" s="9" t="s">
        <v>31</v>
      </c>
      <c r="C19" s="9" t="s">
        <v>30</v>
      </c>
      <c r="D19" s="9" t="s">
        <v>35</v>
      </c>
      <c r="E19" s="9"/>
      <c r="F19" s="9" t="s">
        <v>19</v>
      </c>
      <c r="G19" s="9" t="s">
        <v>11</v>
      </c>
      <c r="H19" s="14">
        <v>25705.78</v>
      </c>
      <c r="I19" s="9" t="s">
        <v>34</v>
      </c>
      <c r="J19" s="9"/>
      <c r="K19" s="9" t="s">
        <v>33</v>
      </c>
      <c r="L19" s="9"/>
    </row>
    <row r="20" spans="1:12" ht="35.1" customHeight="1" x14ac:dyDescent="0.25">
      <c r="A20" s="9" t="s">
        <v>32</v>
      </c>
      <c r="B20" s="9" t="s">
        <v>31</v>
      </c>
      <c r="C20" s="9" t="s">
        <v>30</v>
      </c>
      <c r="D20" s="9" t="s">
        <v>29</v>
      </c>
      <c r="E20" s="9"/>
      <c r="F20" s="9" t="s">
        <v>19</v>
      </c>
      <c r="G20" s="9" t="s">
        <v>11</v>
      </c>
      <c r="H20" s="14">
        <v>27736.69</v>
      </c>
      <c r="I20" s="9" t="s">
        <v>28</v>
      </c>
      <c r="J20" s="9"/>
      <c r="K20" s="9" t="s">
        <v>27</v>
      </c>
      <c r="L20" s="9"/>
    </row>
    <row r="21" spans="1:12" ht="35.1" customHeight="1" x14ac:dyDescent="0.25">
      <c r="A21" s="15"/>
      <c r="B21" s="15"/>
      <c r="C21" s="15"/>
      <c r="D21" s="15" t="s">
        <v>26</v>
      </c>
      <c r="E21" s="15"/>
      <c r="F21" s="15"/>
      <c r="G21" s="15"/>
      <c r="H21" s="16">
        <f>SUM(H4:H20)</f>
        <v>436244.51000000007</v>
      </c>
      <c r="I21" s="15"/>
      <c r="J21" s="15"/>
      <c r="K21" s="15"/>
      <c r="L21" s="15"/>
    </row>
    <row r="22" spans="1:12" ht="35.1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35.1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35.1" customHeight="1" x14ac:dyDescent="0.25"/>
    <row r="25" spans="1:12" ht="35.1" customHeight="1" x14ac:dyDescent="0.25"/>
    <row r="26" spans="1:12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7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9B70-2D74-4344-A2D9-11AF86237219}">
  <sheetPr>
    <pageSetUpPr fitToPage="1"/>
  </sheetPr>
  <dimension ref="A1:E30"/>
  <sheetViews>
    <sheetView workbookViewId="0">
      <pane ySplit="3" topLeftCell="A4" activePane="bottomLeft" state="frozen"/>
      <selection pane="bottomLeft" activeCell="B11" sqref="B11"/>
    </sheetView>
  </sheetViews>
  <sheetFormatPr defaultRowHeight="15" x14ac:dyDescent="0.25"/>
  <cols>
    <col min="1" max="1" width="16.42578125" style="17" bestFit="1" customWidth="1"/>
    <col min="2" max="2" width="14" style="17" bestFit="1" customWidth="1"/>
    <col min="3" max="3" width="22.5703125" style="17" bestFit="1" customWidth="1"/>
    <col min="4" max="4" width="18.85546875" style="17" bestFit="1" customWidth="1"/>
    <col min="5" max="5" width="31.5703125" style="17" bestFit="1" customWidth="1"/>
    <col min="6" max="16384" width="9.140625" style="17"/>
  </cols>
  <sheetData>
    <row r="1" spans="1:5" x14ac:dyDescent="0.25">
      <c r="A1" s="18"/>
      <c r="B1" s="18"/>
      <c r="C1" s="18" t="s">
        <v>3</v>
      </c>
      <c r="D1" s="19">
        <v>45882</v>
      </c>
      <c r="E1" s="18" t="s">
        <v>2</v>
      </c>
    </row>
    <row r="2" spans="1:5" x14ac:dyDescent="0.25">
      <c r="A2" s="20" t="s">
        <v>0</v>
      </c>
      <c r="B2" s="21"/>
      <c r="C2" s="21"/>
      <c r="D2" s="22" t="s">
        <v>117</v>
      </c>
      <c r="E2" s="21"/>
    </row>
    <row r="3" spans="1:5" x14ac:dyDescent="0.25">
      <c r="A3" s="18" t="s">
        <v>107</v>
      </c>
      <c r="B3" s="18" t="s">
        <v>105</v>
      </c>
      <c r="C3" s="18" t="s">
        <v>104</v>
      </c>
      <c r="D3" s="18" t="s">
        <v>103</v>
      </c>
      <c r="E3" s="18" t="s">
        <v>4</v>
      </c>
    </row>
    <row r="4" spans="1:5" x14ac:dyDescent="0.25">
      <c r="A4" s="18" t="s">
        <v>58</v>
      </c>
      <c r="B4" s="18" t="s">
        <v>30</v>
      </c>
      <c r="C4" s="18" t="s">
        <v>57</v>
      </c>
      <c r="D4" s="18"/>
      <c r="E4" s="18" t="s">
        <v>13</v>
      </c>
    </row>
    <row r="5" spans="1:5" x14ac:dyDescent="0.25">
      <c r="A5" s="18" t="s">
        <v>55</v>
      </c>
      <c r="B5" s="18" t="s">
        <v>30</v>
      </c>
      <c r="C5" s="18" t="s">
        <v>54</v>
      </c>
      <c r="D5" s="18" t="s">
        <v>53</v>
      </c>
      <c r="E5" s="18" t="s">
        <v>19</v>
      </c>
    </row>
    <row r="6" spans="1:5" x14ac:dyDescent="0.25">
      <c r="A6" s="18" t="s">
        <v>36</v>
      </c>
      <c r="B6" s="18" t="s">
        <v>30</v>
      </c>
      <c r="C6" s="18" t="s">
        <v>35</v>
      </c>
      <c r="D6" s="18"/>
      <c r="E6" s="18" t="s">
        <v>19</v>
      </c>
    </row>
    <row r="7" spans="1:5" x14ac:dyDescent="0.25">
      <c r="A7" s="18" t="s">
        <v>32</v>
      </c>
      <c r="B7" s="18" t="s">
        <v>30</v>
      </c>
      <c r="C7" s="18" t="s">
        <v>29</v>
      </c>
      <c r="D7" s="18"/>
      <c r="E7" s="18" t="s">
        <v>19</v>
      </c>
    </row>
    <row r="8" spans="1:5" x14ac:dyDescent="0.25">
      <c r="A8" s="23"/>
      <c r="B8" s="23"/>
      <c r="C8" s="23" t="s">
        <v>116</v>
      </c>
      <c r="D8" s="23"/>
      <c r="E8" s="23"/>
    </row>
    <row r="9" spans="1:5" x14ac:dyDescent="0.25">
      <c r="A9" s="18"/>
      <c r="B9" s="18"/>
      <c r="C9" s="18"/>
      <c r="D9" s="18"/>
      <c r="E9" s="18"/>
    </row>
    <row r="10" spans="1:5" x14ac:dyDescent="0.25">
      <c r="A10" s="18"/>
      <c r="B10" s="18"/>
      <c r="C10" s="18"/>
      <c r="D10" s="18"/>
      <c r="E10" s="18"/>
    </row>
    <row r="11" spans="1:5" x14ac:dyDescent="0.25">
      <c r="A11" s="18" t="s">
        <v>115</v>
      </c>
      <c r="B11" s="18"/>
      <c r="C11" s="18"/>
      <c r="D11" s="18"/>
      <c r="E11" s="18"/>
    </row>
    <row r="12" spans="1:5" x14ac:dyDescent="0.25">
      <c r="A12" s="18"/>
      <c r="B12" s="18"/>
      <c r="C12" s="18"/>
      <c r="D12" s="18"/>
      <c r="E12" s="18"/>
    </row>
    <row r="13" spans="1:5" x14ac:dyDescent="0.25">
      <c r="A13" s="18"/>
      <c r="B13" s="18"/>
      <c r="C13" s="18"/>
      <c r="D13" s="18"/>
      <c r="E13" s="18"/>
    </row>
    <row r="14" spans="1:5" x14ac:dyDescent="0.25">
      <c r="A14" s="18"/>
      <c r="B14" s="18"/>
      <c r="C14" s="18"/>
      <c r="D14" s="18"/>
      <c r="E14" s="18"/>
    </row>
    <row r="15" spans="1:5" x14ac:dyDescent="0.25">
      <c r="A15" s="18" t="s">
        <v>114</v>
      </c>
      <c r="B15" s="18"/>
      <c r="C15" s="18"/>
      <c r="D15" s="18"/>
      <c r="E15" s="18"/>
    </row>
    <row r="16" spans="1:5" x14ac:dyDescent="0.25">
      <c r="A16" s="18"/>
      <c r="B16" s="18"/>
      <c r="C16" s="18"/>
      <c r="D16" s="18"/>
      <c r="E16" s="18"/>
    </row>
    <row r="17" spans="1:5" x14ac:dyDescent="0.25">
      <c r="A17" s="18"/>
      <c r="B17" s="18"/>
      <c r="C17" s="18"/>
      <c r="D17" s="18"/>
      <c r="E17" s="18"/>
    </row>
    <row r="18" spans="1:5" x14ac:dyDescent="0.25">
      <c r="A18" s="18" t="s">
        <v>113</v>
      </c>
      <c r="B18" s="18"/>
      <c r="C18" s="18"/>
      <c r="D18" s="18"/>
      <c r="E18" s="18"/>
    </row>
    <row r="19" spans="1:5" x14ac:dyDescent="0.25">
      <c r="A19" s="18"/>
      <c r="B19" s="18"/>
      <c r="C19" s="18"/>
      <c r="D19" s="18"/>
      <c r="E19" s="18"/>
    </row>
    <row r="20" spans="1:5" x14ac:dyDescent="0.25">
      <c r="A20" s="18"/>
      <c r="B20" s="18"/>
      <c r="C20" s="18"/>
      <c r="D20" s="18"/>
      <c r="E20" s="18"/>
    </row>
    <row r="21" spans="1:5" x14ac:dyDescent="0.25">
      <c r="A21" s="18"/>
      <c r="B21" s="18"/>
      <c r="C21" s="18"/>
      <c r="D21" s="18"/>
      <c r="E21" s="18"/>
    </row>
    <row r="22" spans="1:5" x14ac:dyDescent="0.25">
      <c r="A22" s="18"/>
      <c r="B22" s="18"/>
      <c r="C22" s="18"/>
      <c r="D22" s="18"/>
      <c r="E22" s="18"/>
    </row>
    <row r="23" spans="1:5" x14ac:dyDescent="0.25">
      <c r="A23" s="18"/>
      <c r="B23" s="18"/>
      <c r="C23" s="18"/>
      <c r="D23" s="18"/>
      <c r="E23" s="18"/>
    </row>
    <row r="24" spans="1:5" x14ac:dyDescent="0.25">
      <c r="A24" s="18"/>
      <c r="B24" s="18"/>
      <c r="C24" s="18"/>
      <c r="D24" s="18"/>
      <c r="E24" s="18"/>
    </row>
    <row r="25" spans="1:5" x14ac:dyDescent="0.25">
      <c r="A25" s="18"/>
      <c r="B25" s="18"/>
      <c r="C25" s="18"/>
      <c r="D25" s="18"/>
      <c r="E25" s="18"/>
    </row>
    <row r="26" spans="1:5" x14ac:dyDescent="0.25">
      <c r="A26" s="18"/>
      <c r="B26" s="18"/>
      <c r="C26" s="18"/>
      <c r="D26" s="18"/>
      <c r="E26" s="18"/>
    </row>
    <row r="27" spans="1:5" x14ac:dyDescent="0.25">
      <c r="A27" s="18"/>
      <c r="B27" s="18"/>
      <c r="C27" s="18"/>
      <c r="D27" s="18"/>
      <c r="E27" s="18"/>
    </row>
    <row r="28" spans="1:5" x14ac:dyDescent="0.25">
      <c r="A28" s="18"/>
      <c r="B28" s="18"/>
      <c r="C28" s="18"/>
      <c r="D28" s="18"/>
      <c r="E28" s="18"/>
    </row>
    <row r="29" spans="1:5" x14ac:dyDescent="0.25">
      <c r="A29" s="18"/>
      <c r="B29" s="18"/>
      <c r="C29" s="18"/>
      <c r="D29" s="18"/>
      <c r="E29" s="18"/>
    </row>
    <row r="30" spans="1:5" x14ac:dyDescent="0.25">
      <c r="A30" s="18"/>
      <c r="B30" s="18"/>
      <c r="C30" s="18"/>
      <c r="D30" s="18"/>
      <c r="E30" s="18"/>
    </row>
  </sheetData>
  <mergeCells count="2">
    <mergeCell ref="A2:C2"/>
    <mergeCell ref="D2:E2"/>
  </mergeCells>
  <pageMargins left="0.7" right="0.7" top="0.75" bottom="0.75" header="0.3" footer="0.3"/>
  <pageSetup scale="87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2025-08-13T18:51:02Z</cp:lastPrinted>
  <dcterms:created xsi:type="dcterms:W3CDTF">2025-08-13T18:40:15Z</dcterms:created>
  <dcterms:modified xsi:type="dcterms:W3CDTF">2025-08-13T19:01:46Z</dcterms:modified>
</cp:coreProperties>
</file>