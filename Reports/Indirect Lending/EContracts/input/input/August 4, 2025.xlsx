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DE2E49C-9AC4-4436-860B-CEA6F1C5003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1" i="1"/>
  <c r="F16" i="1"/>
  <c r="F13" i="1"/>
  <c r="F9" i="1"/>
  <c r="H32" i="1"/>
  <c r="H21" i="2"/>
  <c r="H31" i="1"/>
  <c r="E31" i="1"/>
  <c r="D31" i="1"/>
  <c r="C31" i="1"/>
</calcChain>
</file>

<file path=xl/sharedStrings.xml><?xml version="1.0" encoding="utf-8"?>
<sst xmlns="http://schemas.openxmlformats.org/spreadsheetml/2006/main" count="226" uniqueCount="118">
  <si>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</si>
  <si>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</si>
  <si>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</si>
  <si>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</si>
  <si>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</si>
  <si>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</si>
  <si>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</si>
  <si>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</si>
  <si>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</si>
  <si>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</si>
  <si>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</si>
  <si>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</si>
  <si>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Colonial South Chrysler Dodge</t>
  </si>
  <si>
    <t>Marlene Braganca</t>
  </si>
  <si>
    <t>Grieco Toyota</t>
  </si>
  <si>
    <t>Lucchettis Service Center Inc</t>
  </si>
  <si>
    <t>Mastria Mazda</t>
  </si>
  <si>
    <t>Metro Honda</t>
  </si>
  <si>
    <t>Patriot Auto Group Inc d/b/a</t>
  </si>
  <si>
    <t>Planet Automotive Sales LLC</t>
  </si>
  <si>
    <t>T F Murphy Enterprises Inc</t>
  </si>
  <si>
    <t>Volvo of Tiverton</t>
  </si>
  <si>
    <t>Wareham Ford</t>
  </si>
  <si>
    <t># 17</t>
  </si>
  <si>
    <t>PEREIRA</t>
  </si>
  <si>
    <t>CHAVES, OSCAR</t>
  </si>
  <si>
    <t>E Contract</t>
  </si>
  <si>
    <t>Route One</t>
  </si>
  <si>
    <t>THOMLINSON</t>
  </si>
  <si>
    <t>mcbrady08@yahoo.com</t>
  </si>
  <si>
    <t>BRADY, MARTIN</t>
  </si>
  <si>
    <t>TIROCCHI</t>
  </si>
  <si>
    <t>DAMBRAGARY@GMAIL.COM</t>
  </si>
  <si>
    <t>DAMBRA, GARY</t>
  </si>
  <si>
    <t>Paper</t>
  </si>
  <si>
    <t>DealerTrack</t>
  </si>
  <si>
    <t>151209668</t>
  </si>
  <si>
    <t>THIBAULT</t>
  </si>
  <si>
    <t>MUCHA</t>
  </si>
  <si>
    <t>CZERKOWICZ, KIMBERLY</t>
  </si>
  <si>
    <t>CZERKOWICZ, MICHAEL</t>
  </si>
  <si>
    <t>151209650</t>
  </si>
  <si>
    <t>MORGAN</t>
  </si>
  <si>
    <t>ERL1HOME@COMCAST.NET</t>
  </si>
  <si>
    <t>LAGAMBINA, ELIZABETH</t>
  </si>
  <si>
    <t>FERRIS</t>
  </si>
  <si>
    <t>hollymartz23@gmail.com</t>
  </si>
  <si>
    <t>MARTZ, HOLLY</t>
  </si>
  <si>
    <t>Fortuna</t>
  </si>
  <si>
    <t>Hardy</t>
  </si>
  <si>
    <t>kathryn.christmas.rioux@comcast.net</t>
  </si>
  <si>
    <t>james.rioux@comcast.net</t>
  </si>
  <si>
    <t>CHRISTMAS-RIOUX, KATHRYN</t>
  </si>
  <si>
    <t>RIOUX, JAMES</t>
  </si>
  <si>
    <t>Neves</t>
  </si>
  <si>
    <t>flexem1@comcast.net</t>
  </si>
  <si>
    <t>FERREIRA, JOSEPH</t>
  </si>
  <si>
    <t>Meraide Joseph</t>
  </si>
  <si>
    <t>AANTENOR@PROTONMAIL.COM</t>
  </si>
  <si>
    <t>ANTENOR, ANTONIO</t>
  </si>
  <si>
    <t>Coughlan</t>
  </si>
  <si>
    <t>Holden</t>
  </si>
  <si>
    <t>Giffsailea@gmail.com</t>
  </si>
  <si>
    <t>COUGHLAN-GIFFORD, ELAINE</t>
  </si>
  <si>
    <t>GIFFORD, ALAN</t>
  </si>
  <si>
    <t>Nute</t>
  </si>
  <si>
    <t>sunsetacres@verizon.net</t>
  </si>
  <si>
    <t>CORWIN, PATRICIA</t>
  </si>
  <si>
    <t>HOGAN</t>
  </si>
  <si>
    <t>RACHEL.CANDEE@GMAIL.COM</t>
  </si>
  <si>
    <t>CANDEE, RACHEL</t>
  </si>
  <si>
    <t>Edmunds</t>
  </si>
  <si>
    <t>GREGORYGNOLAN4242@GMAIL.COM</t>
  </si>
  <si>
    <t>NOLAN, GREGORY</t>
  </si>
  <si>
    <t>Florio</t>
  </si>
  <si>
    <t>sushicati@msn.com</t>
  </si>
  <si>
    <t>READ, KELLY</t>
  </si>
  <si>
    <t>Robertson</t>
  </si>
  <si>
    <t>MAXWELL, JOHN</t>
  </si>
  <si>
    <t>Souza</t>
  </si>
  <si>
    <t>moliveira@hornercs.com</t>
  </si>
  <si>
    <t>OLIVEIRA, MARC</t>
  </si>
  <si>
    <t>Vaslet</t>
  </si>
  <si>
    <t>PEREZ, ERIN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</si>
  <si>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</si>
  <si>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</si>
  <si>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</si>
  <si>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</si>
  <si>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</si>
  <si>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</si>
  <si>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</si>
  <si>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</si>
  <si>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</si>
  <si>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</si>
  <si>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</si>
  <si>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</si>
  <si>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</t>
  </si>
  <si>
    <t>Delivered By___________________________________________________________</t>
  </si>
  <si>
    <t># 2</t>
  </si>
  <si>
    <t>Funding Worksheet - Signoff Version</t>
  </si>
  <si>
    <t>Column1</t>
  </si>
  <si>
    <t>Column2</t>
  </si>
  <si>
    <t>5900      6390</t>
  </si>
  <si>
    <t>151209410E</t>
  </si>
  <si>
    <t>151209428E</t>
  </si>
  <si>
    <t>151209436E</t>
  </si>
  <si>
    <t>151209452E</t>
  </si>
  <si>
    <t>151209460E</t>
  </si>
  <si>
    <t>151209486E</t>
  </si>
  <si>
    <t>151209494E</t>
  </si>
  <si>
    <t>151209527E</t>
  </si>
  <si>
    <t>151209577E</t>
  </si>
  <si>
    <t>151209600E</t>
  </si>
  <si>
    <t>151209618E</t>
  </si>
  <si>
    <t>151209626E</t>
  </si>
  <si>
    <t>151209634E</t>
  </si>
  <si>
    <t>151209676E</t>
  </si>
  <si>
    <t>151209709E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</si>
</sst>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980CA0D6-4EC2-4DA4-BDA8-FBE261150CB1}"/>
  </cellStyles>
  <dxfs count="25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2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717A5ED5-0096-48EC-BCB3-5537626F7D14}" name="Column1" dataDxfId="0"/>
    <tableColumn id="8" xr3:uid="{1F92272E-EC0F-4ABF-ACBC-CD64C9C7A723}" name="Column2" dataDxfId="1"/>
    <tableColumn id="6" xr3:uid="{00000000-0010-0000-0000-000006000000}" name="Contracted Amount Financed" totalsRowFunction="custom">
      <totalsRowFormula>COUNT(H4:H30)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8A059-96E0-43DC-8054-548DD7B83A87}" name="Table_13" displayName="Table_13" ref="A3:L21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2A8574-D9EF-43C5-B0BA-6D9E1DF0247B}" name="Table_14" displayName="Table_14" ref="A3:E6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workbookViewId="0">
      <pane ySplit="3" topLeftCell="A4" activePane="bottomLeft" state="frozen"/>
      <selection pane="bottomLeft" activeCell="F30" sqref="F30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1.140625" bestFit="1" customWidth="1"/>
    <col min="4" max="4" width="1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45873</v>
      </c>
      <c r="E1" t="s">
        <v>2</v>
      </c>
      <c r="H1" s="4">
        <v>45873.999988425923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100</v>
      </c>
      <c r="G3" t="s">
        <v>101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58790.5</v>
      </c>
      <c r="F4" s="2"/>
      <c r="G4" s="2"/>
      <c r="H4" s="2">
        <v>58865.5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1050</v>
      </c>
      <c r="D6" s="2">
        <v>0</v>
      </c>
      <c r="E6" s="2">
        <v>44227.64</v>
      </c>
      <c r="F6" s="2"/>
      <c r="G6" s="2"/>
      <c r="H6" s="2">
        <v>44302.64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950</v>
      </c>
      <c r="D8" s="2">
        <v>0</v>
      </c>
      <c r="E8" s="2">
        <v>38838.29</v>
      </c>
      <c r="F8" s="2"/>
      <c r="G8" s="2"/>
      <c r="H8" s="2">
        <v>38913.29</v>
      </c>
    </row>
    <row r="9" spans="1:8" x14ac:dyDescent="0.25">
      <c r="A9" t="s">
        <v>14</v>
      </c>
      <c r="B9" t="s">
        <v>11</v>
      </c>
      <c r="C9" s="2">
        <v>850</v>
      </c>
      <c r="D9" s="2">
        <v>0</v>
      </c>
      <c r="E9" s="2">
        <v>32425</v>
      </c>
      <c r="F9" s="2">
        <f>SUM(E8:E9)</f>
        <v>71263.290000000008</v>
      </c>
      <c r="G9" s="2"/>
      <c r="H9" s="2">
        <v>32500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13</v>
      </c>
      <c r="C11" s="2">
        <v>750</v>
      </c>
      <c r="D11" s="2">
        <v>0</v>
      </c>
      <c r="E11" s="2">
        <v>25933.94</v>
      </c>
      <c r="F11" s="2"/>
      <c r="G11" s="2"/>
      <c r="H11" s="2">
        <v>26008.94</v>
      </c>
    </row>
    <row r="12" spans="1:8" x14ac:dyDescent="0.25">
      <c r="A12" t="s">
        <v>15</v>
      </c>
      <c r="B12" t="s">
        <v>13</v>
      </c>
      <c r="C12" s="2">
        <v>750</v>
      </c>
      <c r="D12" s="2">
        <v>0</v>
      </c>
      <c r="E12" s="2">
        <v>25767.38</v>
      </c>
      <c r="F12" s="2"/>
      <c r="G12" s="2"/>
      <c r="H12" s="2">
        <v>25842.38</v>
      </c>
    </row>
    <row r="13" spans="1:8" x14ac:dyDescent="0.25">
      <c r="A13" t="s">
        <v>15</v>
      </c>
      <c r="B13" t="s">
        <v>13</v>
      </c>
      <c r="C13" s="2">
        <v>850</v>
      </c>
      <c r="D13" s="2">
        <v>0</v>
      </c>
      <c r="E13" s="2">
        <v>33273.69</v>
      </c>
      <c r="F13" s="2">
        <f>SUM(E11:E13)</f>
        <v>84975.010000000009</v>
      </c>
      <c r="G13" s="2"/>
      <c r="H13" s="2">
        <v>33348.69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16</v>
      </c>
      <c r="B15" t="s">
        <v>13</v>
      </c>
      <c r="C15" s="2">
        <v>500</v>
      </c>
      <c r="D15" s="2">
        <v>0</v>
      </c>
      <c r="E15" s="2">
        <v>19634.48</v>
      </c>
      <c r="F15" s="2"/>
      <c r="G15" s="2"/>
      <c r="H15" s="2">
        <v>19709.48</v>
      </c>
    </row>
    <row r="16" spans="1:8" x14ac:dyDescent="0.25">
      <c r="A16" t="s">
        <v>16</v>
      </c>
      <c r="B16" t="s">
        <v>13</v>
      </c>
      <c r="C16" s="2">
        <v>850</v>
      </c>
      <c r="D16" s="2">
        <v>0</v>
      </c>
      <c r="E16" s="2">
        <v>31217.86</v>
      </c>
      <c r="F16" s="2">
        <f>SUM(E15:E16)</f>
        <v>50852.34</v>
      </c>
      <c r="G16" s="2" t="s">
        <v>102</v>
      </c>
      <c r="H16" s="2">
        <v>31292.86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17</v>
      </c>
      <c r="B18" t="s">
        <v>13</v>
      </c>
      <c r="C18" s="2">
        <v>750</v>
      </c>
      <c r="D18" s="2">
        <v>0</v>
      </c>
      <c r="E18" s="2">
        <v>28050.78</v>
      </c>
      <c r="F18" s="2"/>
      <c r="G18" s="2"/>
      <c r="H18" s="2">
        <v>28125.78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18</v>
      </c>
      <c r="B20" t="s">
        <v>11</v>
      </c>
      <c r="C20" s="2">
        <v>750</v>
      </c>
      <c r="D20" s="2">
        <v>0</v>
      </c>
      <c r="E20" s="2">
        <v>28837.360000000001</v>
      </c>
      <c r="F20" s="2"/>
      <c r="G20" s="2"/>
      <c r="H20" s="2">
        <v>28912.36</v>
      </c>
    </row>
    <row r="21" spans="1:8" x14ac:dyDescent="0.25">
      <c r="A21" t="s">
        <v>18</v>
      </c>
      <c r="B21" t="s">
        <v>11</v>
      </c>
      <c r="C21" s="2">
        <v>750</v>
      </c>
      <c r="D21" s="2">
        <v>0</v>
      </c>
      <c r="E21" s="2">
        <v>25358.31</v>
      </c>
      <c r="F21" s="2">
        <f>SUM(E20:E21)</f>
        <v>54195.67</v>
      </c>
      <c r="G21" s="2"/>
      <c r="H21" s="2">
        <v>25433.31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19</v>
      </c>
      <c r="B23" t="s">
        <v>11</v>
      </c>
      <c r="C23" s="2">
        <v>1050</v>
      </c>
      <c r="D23" s="2">
        <v>0</v>
      </c>
      <c r="E23" s="2">
        <v>40699.94</v>
      </c>
      <c r="F23" s="2"/>
      <c r="G23" s="2"/>
      <c r="H23" s="2">
        <v>40774.94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20</v>
      </c>
      <c r="B25" t="s">
        <v>13</v>
      </c>
      <c r="C25" s="2">
        <v>500</v>
      </c>
      <c r="D25" s="2">
        <v>0</v>
      </c>
      <c r="E25" s="2">
        <v>17180.63</v>
      </c>
      <c r="F25" s="2"/>
      <c r="G25" s="2"/>
      <c r="H25" s="2">
        <v>17255.63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21</v>
      </c>
      <c r="B27" t="s">
        <v>11</v>
      </c>
      <c r="C27" s="2">
        <v>1150</v>
      </c>
      <c r="D27" s="2">
        <v>0</v>
      </c>
      <c r="E27" s="2">
        <v>46328.12</v>
      </c>
      <c r="F27" s="2"/>
      <c r="G27" s="2"/>
      <c r="H27" s="2">
        <v>46403.12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22</v>
      </c>
      <c r="B29" t="s">
        <v>13</v>
      </c>
      <c r="C29" s="2">
        <v>750</v>
      </c>
      <c r="D29" s="2">
        <v>0</v>
      </c>
      <c r="E29" s="2">
        <v>28579.63</v>
      </c>
      <c r="F29" s="2"/>
      <c r="G29" s="2"/>
      <c r="H29" s="2">
        <v>28654.63</v>
      </c>
    </row>
    <row r="30" spans="1:8" x14ac:dyDescent="0.25">
      <c r="A30" t="s">
        <v>22</v>
      </c>
      <c r="B30" t="s">
        <v>13</v>
      </c>
      <c r="C30" s="2">
        <v>1350</v>
      </c>
      <c r="D30" s="2">
        <v>0</v>
      </c>
      <c r="E30" s="2">
        <v>51187.5</v>
      </c>
      <c r="F30" s="2">
        <f>SUM(E29:E30)</f>
        <v>79767.13</v>
      </c>
      <c r="G30" s="2"/>
      <c r="H30" s="2">
        <v>51262.5</v>
      </c>
    </row>
    <row r="31" spans="1:8" x14ac:dyDescent="0.25">
      <c r="A31" s="1"/>
      <c r="B31" s="1"/>
      <c r="C31" s="3">
        <f>SUM(C4:C30)</f>
        <v>14950</v>
      </c>
      <c r="D31" s="3">
        <f>SUM(D4:D30)</f>
        <v>0</v>
      </c>
      <c r="E31" s="3">
        <f>SUM(E4:E30)</f>
        <v>576331.04999999993</v>
      </c>
      <c r="F31" s="3"/>
      <c r="G31" s="3"/>
      <c r="H31" s="3">
        <f>SUM(H4:H30)</f>
        <v>577606.04999999993</v>
      </c>
    </row>
    <row r="32" spans="1:8" x14ac:dyDescent="0.25">
      <c r="H32">
        <f>COUNT(H4:H30)</f>
        <v>17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8A55-7F8E-4004-9E1A-8CD8A6047B5A}">
  <sheetPr>
    <pageSetUpPr fitToPage="1"/>
  </sheetPr>
  <dimension ref="A1:L33"/>
  <sheetViews>
    <sheetView tabSelected="1" workbookViewId="0">
      <pane ySplit="3" topLeftCell="A4" activePane="bottomLeft" state="frozen"/>
      <selection pane="bottomLeft" activeCell="G2" sqref="G2:L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28515625" style="8" bestFit="1" customWidth="1"/>
    <col min="5" max="5" width="28.140625" style="8" bestFit="1" customWidth="1"/>
    <col min="6" max="6" width="29.140625" style="8" bestFit="1" customWidth="1"/>
    <col min="7" max="7" width="17.7109375" style="8" bestFit="1" customWidth="1"/>
    <col min="8" max="8" width="17.140625" style="8" bestFit="1" customWidth="1"/>
    <col min="9" max="9" width="35.28515625" style="8" bestFit="1" customWidth="1"/>
    <col min="10" max="10" width="36" style="8" bestFit="1" customWidth="1"/>
    <col min="11" max="11" width="15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45873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94</v>
      </c>
      <c r="H2" s="12"/>
      <c r="I2" s="12"/>
      <c r="J2" s="12"/>
      <c r="K2" s="12"/>
      <c r="L2" s="12"/>
    </row>
    <row r="3" spans="1:12" ht="35.1" customHeight="1" x14ac:dyDescent="0.25">
      <c r="A3" s="9" t="s">
        <v>93</v>
      </c>
      <c r="B3" s="9" t="s">
        <v>92</v>
      </c>
      <c r="C3" s="9" t="s">
        <v>91</v>
      </c>
      <c r="D3" s="9" t="s">
        <v>90</v>
      </c>
      <c r="E3" s="9" t="s">
        <v>89</v>
      </c>
      <c r="F3" s="9" t="s">
        <v>4</v>
      </c>
      <c r="G3" s="9" t="s">
        <v>5</v>
      </c>
      <c r="H3" s="9" t="s">
        <v>88</v>
      </c>
      <c r="I3" s="9" t="s">
        <v>87</v>
      </c>
      <c r="J3" s="9" t="s">
        <v>86</v>
      </c>
      <c r="K3" s="9" t="s">
        <v>85</v>
      </c>
      <c r="L3" s="9" t="s">
        <v>84</v>
      </c>
    </row>
    <row r="4" spans="1:12" ht="35.1" customHeight="1" x14ac:dyDescent="0.25">
      <c r="A4" s="9" t="s">
        <v>103</v>
      </c>
      <c r="B4" s="9" t="s">
        <v>35</v>
      </c>
      <c r="C4" s="9" t="s">
        <v>26</v>
      </c>
      <c r="D4" s="9" t="s">
        <v>83</v>
      </c>
      <c r="E4" s="9"/>
      <c r="F4" s="9" t="s">
        <v>17</v>
      </c>
      <c r="G4" s="9" t="s">
        <v>13</v>
      </c>
      <c r="H4" s="14">
        <v>28125.78</v>
      </c>
      <c r="I4" s="9"/>
      <c r="J4" s="9"/>
      <c r="K4" s="9" t="s">
        <v>82</v>
      </c>
      <c r="L4" s="9"/>
    </row>
    <row r="5" spans="1:12" ht="35.1" customHeight="1" x14ac:dyDescent="0.25">
      <c r="A5" s="9" t="s">
        <v>104</v>
      </c>
      <c r="B5" s="9" t="s">
        <v>27</v>
      </c>
      <c r="C5" s="9" t="s">
        <v>26</v>
      </c>
      <c r="D5" s="9" t="s">
        <v>81</v>
      </c>
      <c r="E5" s="9"/>
      <c r="F5" s="9" t="s">
        <v>15</v>
      </c>
      <c r="G5" s="9" t="s">
        <v>13</v>
      </c>
      <c r="H5" s="14">
        <v>25842.38</v>
      </c>
      <c r="I5" s="9" t="s">
        <v>80</v>
      </c>
      <c r="J5" s="9"/>
      <c r="K5" s="9" t="s">
        <v>79</v>
      </c>
      <c r="L5" s="9"/>
    </row>
    <row r="6" spans="1:12" ht="35.1" customHeight="1" x14ac:dyDescent="0.25">
      <c r="A6" s="9" t="s">
        <v>105</v>
      </c>
      <c r="B6" s="9" t="s">
        <v>27</v>
      </c>
      <c r="C6" s="9" t="s">
        <v>26</v>
      </c>
      <c r="D6" s="9" t="s">
        <v>78</v>
      </c>
      <c r="E6" s="9"/>
      <c r="F6" s="9" t="s">
        <v>14</v>
      </c>
      <c r="G6" s="9" t="s">
        <v>13</v>
      </c>
      <c r="H6" s="14">
        <v>38913.29</v>
      </c>
      <c r="I6" s="9"/>
      <c r="J6" s="9"/>
      <c r="K6" s="9" t="s">
        <v>77</v>
      </c>
      <c r="L6" s="9"/>
    </row>
    <row r="7" spans="1:12" ht="35.1" customHeight="1" x14ac:dyDescent="0.25">
      <c r="A7" s="9" t="s">
        <v>106</v>
      </c>
      <c r="B7" s="9" t="s">
        <v>27</v>
      </c>
      <c r="C7" s="9" t="s">
        <v>26</v>
      </c>
      <c r="D7" s="9" t="s">
        <v>76</v>
      </c>
      <c r="E7" s="9"/>
      <c r="F7" s="9" t="s">
        <v>16</v>
      </c>
      <c r="G7" s="9" t="s">
        <v>13</v>
      </c>
      <c r="H7" s="14">
        <v>31292.86</v>
      </c>
      <c r="I7" s="9" t="s">
        <v>75</v>
      </c>
      <c r="J7" s="9"/>
      <c r="K7" s="9" t="s">
        <v>74</v>
      </c>
      <c r="L7" s="9"/>
    </row>
    <row r="8" spans="1:12" ht="35.1" customHeight="1" x14ac:dyDescent="0.25">
      <c r="A8" s="9" t="s">
        <v>107</v>
      </c>
      <c r="B8" s="9" t="s">
        <v>27</v>
      </c>
      <c r="C8" s="9" t="s">
        <v>26</v>
      </c>
      <c r="D8" s="9" t="s">
        <v>73</v>
      </c>
      <c r="E8" s="9"/>
      <c r="F8" s="9" t="s">
        <v>15</v>
      </c>
      <c r="G8" s="9" t="s">
        <v>13</v>
      </c>
      <c r="H8" s="14">
        <v>26008.94</v>
      </c>
      <c r="I8" s="9" t="s">
        <v>72</v>
      </c>
      <c r="J8" s="9"/>
      <c r="K8" s="9" t="s">
        <v>71</v>
      </c>
      <c r="L8" s="9"/>
    </row>
    <row r="9" spans="1:12" ht="35.1" customHeight="1" x14ac:dyDescent="0.25">
      <c r="A9" s="9" t="s">
        <v>108</v>
      </c>
      <c r="B9" s="9" t="s">
        <v>27</v>
      </c>
      <c r="C9" s="9" t="s">
        <v>26</v>
      </c>
      <c r="D9" s="9" t="s">
        <v>70</v>
      </c>
      <c r="E9" s="9"/>
      <c r="F9" s="9" t="s">
        <v>16</v>
      </c>
      <c r="G9" s="9" t="s">
        <v>13</v>
      </c>
      <c r="H9" s="14">
        <v>19709.48</v>
      </c>
      <c r="I9" s="9" t="s">
        <v>69</v>
      </c>
      <c r="J9" s="9"/>
      <c r="K9" s="9" t="s">
        <v>68</v>
      </c>
      <c r="L9" s="9"/>
    </row>
    <row r="10" spans="1:12" ht="35.1" customHeight="1" x14ac:dyDescent="0.25">
      <c r="A10" s="9" t="s">
        <v>109</v>
      </c>
      <c r="B10" s="9" t="s">
        <v>27</v>
      </c>
      <c r="C10" s="9" t="s">
        <v>26</v>
      </c>
      <c r="D10" s="9" t="s">
        <v>67</v>
      </c>
      <c r="E10" s="9"/>
      <c r="F10" s="9" t="s">
        <v>20</v>
      </c>
      <c r="G10" s="9" t="s">
        <v>13</v>
      </c>
      <c r="H10" s="14">
        <v>17255.63</v>
      </c>
      <c r="I10" s="9" t="s">
        <v>66</v>
      </c>
      <c r="J10" s="9"/>
      <c r="K10" s="9" t="s">
        <v>65</v>
      </c>
      <c r="L10" s="9"/>
    </row>
    <row r="11" spans="1:12" ht="35.1" customHeight="1" x14ac:dyDescent="0.25">
      <c r="A11" s="9" t="s">
        <v>110</v>
      </c>
      <c r="B11" s="9" t="s">
        <v>27</v>
      </c>
      <c r="C11" s="9" t="s">
        <v>26</v>
      </c>
      <c r="D11" s="9" t="s">
        <v>64</v>
      </c>
      <c r="E11" s="9" t="s">
        <v>63</v>
      </c>
      <c r="F11" s="9" t="s">
        <v>22</v>
      </c>
      <c r="G11" s="9" t="s">
        <v>13</v>
      </c>
      <c r="H11" s="14">
        <v>28654.63</v>
      </c>
      <c r="I11" s="9" t="s">
        <v>62</v>
      </c>
      <c r="J11" s="9" t="s">
        <v>62</v>
      </c>
      <c r="K11" s="9" t="s">
        <v>61</v>
      </c>
      <c r="L11" s="9" t="s">
        <v>60</v>
      </c>
    </row>
    <row r="12" spans="1:12" ht="35.1" customHeight="1" x14ac:dyDescent="0.25">
      <c r="A12" s="9" t="s">
        <v>111</v>
      </c>
      <c r="B12" s="9" t="s">
        <v>27</v>
      </c>
      <c r="C12" s="9" t="s">
        <v>26</v>
      </c>
      <c r="D12" s="9" t="s">
        <v>59</v>
      </c>
      <c r="E12" s="9"/>
      <c r="F12" s="9" t="s">
        <v>15</v>
      </c>
      <c r="G12" s="9" t="s">
        <v>13</v>
      </c>
      <c r="H12" s="14">
        <v>33348.69</v>
      </c>
      <c r="I12" s="9" t="s">
        <v>58</v>
      </c>
      <c r="J12" s="9"/>
      <c r="K12" s="9" t="s">
        <v>57</v>
      </c>
      <c r="L12" s="9"/>
    </row>
    <row r="13" spans="1:12" ht="35.1" customHeight="1" x14ac:dyDescent="0.25">
      <c r="A13" s="9" t="s">
        <v>112</v>
      </c>
      <c r="B13" s="9" t="s">
        <v>27</v>
      </c>
      <c r="C13" s="9" t="s">
        <v>26</v>
      </c>
      <c r="D13" s="9" t="s">
        <v>56</v>
      </c>
      <c r="E13" s="9"/>
      <c r="F13" s="9" t="s">
        <v>22</v>
      </c>
      <c r="G13" s="9" t="s">
        <v>13</v>
      </c>
      <c r="H13" s="14">
        <v>51262.5</v>
      </c>
      <c r="I13" s="9" t="s">
        <v>55</v>
      </c>
      <c r="J13" s="9"/>
      <c r="K13" s="9" t="s">
        <v>54</v>
      </c>
      <c r="L13" s="9"/>
    </row>
    <row r="14" spans="1:12" ht="35.1" customHeight="1" x14ac:dyDescent="0.25">
      <c r="A14" s="9" t="s">
        <v>113</v>
      </c>
      <c r="B14" s="9" t="s">
        <v>27</v>
      </c>
      <c r="C14" s="9" t="s">
        <v>26</v>
      </c>
      <c r="D14" s="9" t="s">
        <v>53</v>
      </c>
      <c r="E14" s="9" t="s">
        <v>52</v>
      </c>
      <c r="F14" s="9" t="s">
        <v>12</v>
      </c>
      <c r="G14" s="9" t="s">
        <v>13</v>
      </c>
      <c r="H14" s="14">
        <v>44302.64</v>
      </c>
      <c r="I14" s="9" t="s">
        <v>51</v>
      </c>
      <c r="J14" s="9" t="s">
        <v>50</v>
      </c>
      <c r="K14" s="9" t="s">
        <v>49</v>
      </c>
      <c r="L14" s="9" t="s">
        <v>48</v>
      </c>
    </row>
    <row r="15" spans="1:12" ht="35.1" customHeight="1" x14ac:dyDescent="0.25">
      <c r="A15" s="9" t="s">
        <v>114</v>
      </c>
      <c r="B15" s="9" t="s">
        <v>27</v>
      </c>
      <c r="C15" s="9" t="s">
        <v>26</v>
      </c>
      <c r="D15" s="9" t="s">
        <v>47</v>
      </c>
      <c r="E15" s="9"/>
      <c r="F15" s="9" t="s">
        <v>18</v>
      </c>
      <c r="G15" s="9" t="s">
        <v>11</v>
      </c>
      <c r="H15" s="14">
        <v>25433.31</v>
      </c>
      <c r="I15" s="9" t="s">
        <v>46</v>
      </c>
      <c r="J15" s="9"/>
      <c r="K15" s="9" t="s">
        <v>45</v>
      </c>
      <c r="L15" s="9"/>
    </row>
    <row r="16" spans="1:12" ht="35.1" customHeight="1" x14ac:dyDescent="0.25">
      <c r="A16" s="9" t="s">
        <v>115</v>
      </c>
      <c r="B16" s="9" t="s">
        <v>27</v>
      </c>
      <c r="C16" s="9" t="s">
        <v>26</v>
      </c>
      <c r="D16" s="9" t="s">
        <v>44</v>
      </c>
      <c r="E16" s="9"/>
      <c r="F16" s="9" t="s">
        <v>18</v>
      </c>
      <c r="G16" s="9" t="s">
        <v>11</v>
      </c>
      <c r="H16" s="14">
        <v>28912.36</v>
      </c>
      <c r="I16" s="9" t="s">
        <v>43</v>
      </c>
      <c r="J16" s="9"/>
      <c r="K16" s="9" t="s">
        <v>42</v>
      </c>
      <c r="L16" s="9"/>
    </row>
    <row r="17" spans="1:12" ht="35.1" customHeight="1" x14ac:dyDescent="0.25">
      <c r="A17" s="9" t="s">
        <v>41</v>
      </c>
      <c r="B17" s="9" t="s">
        <v>35</v>
      </c>
      <c r="C17" s="9" t="s">
        <v>34</v>
      </c>
      <c r="D17" s="9" t="s">
        <v>40</v>
      </c>
      <c r="E17" s="9" t="s">
        <v>39</v>
      </c>
      <c r="F17" s="9" t="s">
        <v>19</v>
      </c>
      <c r="G17" s="9" t="s">
        <v>11</v>
      </c>
      <c r="H17" s="14">
        <v>40774.94</v>
      </c>
      <c r="I17" s="9"/>
      <c r="J17" s="9"/>
      <c r="K17" s="9" t="s">
        <v>38</v>
      </c>
      <c r="L17" s="9" t="s">
        <v>37</v>
      </c>
    </row>
    <row r="18" spans="1:12" ht="35.1" customHeight="1" x14ac:dyDescent="0.25">
      <c r="A18" s="9" t="s">
        <v>36</v>
      </c>
      <c r="B18" s="9" t="s">
        <v>35</v>
      </c>
      <c r="C18" s="9" t="s">
        <v>34</v>
      </c>
      <c r="D18" s="9" t="s">
        <v>33</v>
      </c>
      <c r="E18" s="9"/>
      <c r="F18" s="9" t="s">
        <v>21</v>
      </c>
      <c r="G18" s="9" t="s">
        <v>11</v>
      </c>
      <c r="H18" s="14">
        <v>46403.12</v>
      </c>
      <c r="I18" s="9" t="s">
        <v>32</v>
      </c>
      <c r="J18" s="9"/>
      <c r="K18" s="9" t="s">
        <v>31</v>
      </c>
      <c r="L18" s="9"/>
    </row>
    <row r="19" spans="1:12" ht="35.1" customHeight="1" x14ac:dyDescent="0.25">
      <c r="A19" s="9" t="s">
        <v>116</v>
      </c>
      <c r="B19" s="9" t="s">
        <v>27</v>
      </c>
      <c r="C19" s="9" t="s">
        <v>26</v>
      </c>
      <c r="D19" s="9" t="s">
        <v>30</v>
      </c>
      <c r="E19" s="9"/>
      <c r="F19" s="9" t="s">
        <v>10</v>
      </c>
      <c r="G19" s="9" t="s">
        <v>11</v>
      </c>
      <c r="H19" s="14">
        <v>58865.5</v>
      </c>
      <c r="I19" s="9" t="s">
        <v>29</v>
      </c>
      <c r="J19" s="9"/>
      <c r="K19" s="9" t="s">
        <v>28</v>
      </c>
      <c r="L19" s="9"/>
    </row>
    <row r="20" spans="1:12" ht="35.1" customHeight="1" x14ac:dyDescent="0.25">
      <c r="A20" s="9" t="s">
        <v>117</v>
      </c>
      <c r="B20" s="9" t="s">
        <v>27</v>
      </c>
      <c r="C20" s="9" t="s">
        <v>26</v>
      </c>
      <c r="D20" s="9" t="s">
        <v>25</v>
      </c>
      <c r="E20" s="9"/>
      <c r="F20" s="9" t="s">
        <v>14</v>
      </c>
      <c r="G20" s="9" t="s">
        <v>11</v>
      </c>
      <c r="H20" s="14">
        <v>32500</v>
      </c>
      <c r="I20" s="9"/>
      <c r="J20" s="9"/>
      <c r="K20" s="9" t="s">
        <v>24</v>
      </c>
      <c r="L20" s="9"/>
    </row>
    <row r="21" spans="1:12" ht="35.1" customHeight="1" x14ac:dyDescent="0.25">
      <c r="A21" s="15"/>
      <c r="B21" s="15"/>
      <c r="C21" s="15"/>
      <c r="D21" s="15" t="s">
        <v>23</v>
      </c>
      <c r="E21" s="15"/>
      <c r="F21" s="15"/>
      <c r="G21" s="15"/>
      <c r="H21" s="16">
        <f>SUM(H4:H20)</f>
        <v>577606.05000000005</v>
      </c>
      <c r="I21" s="15"/>
      <c r="J21" s="15"/>
      <c r="K21" s="15"/>
      <c r="L21" s="15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</sheetData>
  <mergeCells count="2">
    <mergeCell ref="A2:F2"/>
    <mergeCell ref="G2:L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DCF-699B-417A-8787-FC901D9D5237}">
  <sheetPr>
    <pageSetUpPr fitToPage="1"/>
  </sheetPr>
  <dimension ref="A1:E28"/>
  <sheetViews>
    <sheetView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28515625" style="8" bestFit="1" customWidth="1"/>
    <col min="4" max="4" width="28.140625" style="8" bestFit="1" customWidth="1"/>
    <col min="5" max="5" width="29.1406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45873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99</v>
      </c>
      <c r="E2" s="12"/>
    </row>
    <row r="3" spans="1:5" x14ac:dyDescent="0.25">
      <c r="A3" s="9" t="s">
        <v>93</v>
      </c>
      <c r="B3" s="9" t="s">
        <v>91</v>
      </c>
      <c r="C3" s="9" t="s">
        <v>90</v>
      </c>
      <c r="D3" s="9" t="s">
        <v>89</v>
      </c>
      <c r="E3" s="9" t="s">
        <v>4</v>
      </c>
    </row>
    <row r="4" spans="1:5" x14ac:dyDescent="0.25">
      <c r="A4" s="9" t="s">
        <v>41</v>
      </c>
      <c r="B4" s="9" t="s">
        <v>34</v>
      </c>
      <c r="C4" s="9" t="s">
        <v>40</v>
      </c>
      <c r="D4" s="9" t="s">
        <v>39</v>
      </c>
      <c r="E4" s="9" t="s">
        <v>19</v>
      </c>
    </row>
    <row r="5" spans="1:5" x14ac:dyDescent="0.25">
      <c r="A5" s="9" t="s">
        <v>36</v>
      </c>
      <c r="B5" s="9" t="s">
        <v>34</v>
      </c>
      <c r="C5" s="9" t="s">
        <v>33</v>
      </c>
      <c r="D5" s="9"/>
      <c r="E5" s="9" t="s">
        <v>21</v>
      </c>
    </row>
    <row r="6" spans="1:5" x14ac:dyDescent="0.25">
      <c r="A6" s="15"/>
      <c r="B6" s="15"/>
      <c r="C6" s="15" t="s">
        <v>98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97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96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95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2025-08-04T18:09:14Z</cp:lastPrinted>
  <dcterms:created xsi:type="dcterms:W3CDTF">2025-08-04T17:56:48Z</dcterms:created>
  <dcterms:modified xsi:type="dcterms:W3CDTF">2025-08-04T18:38:17Z</dcterms:modified>
</cp:coreProperties>
</file>