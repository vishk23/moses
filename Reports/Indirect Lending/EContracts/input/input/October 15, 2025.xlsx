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4919DF3C-15E7-436E-8E22-F726705D0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H23" i="2"/>
  <c r="F33" i="1"/>
  <c r="F30" i="1"/>
  <c r="F7" i="1"/>
  <c r="H37" i="1"/>
  <c r="E37" i="1"/>
  <c r="D37" i="1"/>
  <c r="C37" i="1"/>
</calcChain>
</file>

<file path=xl/sharedStrings.xml><?xml version="1.0" encoding="utf-8"?>
<sst xmlns="http://schemas.openxmlformats.org/spreadsheetml/2006/main" count="250" uniqueCount="132">
  <si>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</si>
  <si>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</si>
  <si>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</si>
  <si>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</si>
  <si>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</si>
  <si>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</si>
  <si>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</si>
  <si>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</si>
  <si>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</si>
  <si>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</si>
  <si>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</si>
  <si>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</si>
  <si>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Battles Nissan, LLC</t>
  </si>
  <si>
    <t>First Hyundai</t>
  </si>
  <si>
    <t>Neli Oliveira</t>
  </si>
  <si>
    <t>Flood Mazda</t>
  </si>
  <si>
    <t>Gesner Auto Inc</t>
  </si>
  <si>
    <t>Grieco Enterprises, LLC d/b/a</t>
  </si>
  <si>
    <t>Hiller Co Inc</t>
  </si>
  <si>
    <t>Langway Toyota of Newport</t>
  </si>
  <si>
    <t>Mastria Kia</t>
  </si>
  <si>
    <t>Rachel Gorham</t>
  </si>
  <si>
    <t>Mathieu Ford Sales, Inc</t>
  </si>
  <si>
    <t>NARSA AMC LLC d/b/a</t>
  </si>
  <si>
    <t>Planet Subaru</t>
  </si>
  <si>
    <t>RAH FALL RIVER VW, LLC</t>
  </si>
  <si>
    <t>T F Murphy Enterprises Inc</t>
  </si>
  <si>
    <t>Wareham Ford</t>
  </si>
  <si>
    <t>Column1</t>
  </si>
  <si>
    <t>Column2</t>
  </si>
  <si>
    <t>2330    8209</t>
  </si>
  <si>
    <t>5099    5689</t>
  </si>
  <si>
    <t># 19</t>
  </si>
  <si>
    <t>WILSON</t>
  </si>
  <si>
    <t>KYLE.WILSON04@YAHOO.COM</t>
  </si>
  <si>
    <t>WILSON, KYLE</t>
  </si>
  <si>
    <t>E Contract</t>
  </si>
  <si>
    <t>Route One</t>
  </si>
  <si>
    <t>COSTA</t>
  </si>
  <si>
    <t>VIDAL</t>
  </si>
  <si>
    <t>RICH@BLUBLK.COM</t>
  </si>
  <si>
    <t>Abbieecorner@gmail.com</t>
  </si>
  <si>
    <t>CORNER, RICHARD</t>
  </si>
  <si>
    <t>CORNER, ABIGAIL</t>
  </si>
  <si>
    <t>MOCELLA</t>
  </si>
  <si>
    <t>DAMISCHR@GMAIL.COM</t>
  </si>
  <si>
    <t>DAMISCH, RACHEL</t>
  </si>
  <si>
    <t>DealerTrack</t>
  </si>
  <si>
    <t>DOHERTY</t>
  </si>
  <si>
    <t>NOREEN.GAUDET@YAHOO.COM</t>
  </si>
  <si>
    <t>GAUDET, NOREEN</t>
  </si>
  <si>
    <t>Espinal</t>
  </si>
  <si>
    <t>cruznahomi26@gmail.com</t>
  </si>
  <si>
    <t>CRUZ ESPINAL, NAHOMI</t>
  </si>
  <si>
    <t>ROYAL</t>
  </si>
  <si>
    <t>ASHLEYCONTENT@YAHOO.COM</t>
  </si>
  <si>
    <t>CONTENT, NAHIDA</t>
  </si>
  <si>
    <t>Paper</t>
  </si>
  <si>
    <t>151235837</t>
  </si>
  <si>
    <t>LINDSEY</t>
  </si>
  <si>
    <t>ERICAP2012@OUTLOOK.COM</t>
  </si>
  <si>
    <t>POLLITT, ERICA</t>
  </si>
  <si>
    <t>FREEMAN</t>
  </si>
  <si>
    <t>tfoeller@icloud.com</t>
  </si>
  <si>
    <t>FOELLER, THEODORE</t>
  </si>
  <si>
    <t>151235811</t>
  </si>
  <si>
    <t>GREEN</t>
  </si>
  <si>
    <t>HCORRENIA@YAHOO.COM</t>
  </si>
  <si>
    <t>GREEN, CORRENIA</t>
  </si>
  <si>
    <t>HOWE</t>
  </si>
  <si>
    <t>BPORTMANN@VERIZON.NET</t>
  </si>
  <si>
    <t>PORTMANN, BRIAN</t>
  </si>
  <si>
    <t>Cooke</t>
  </si>
  <si>
    <t>matthenry94@yahoo.com</t>
  </si>
  <si>
    <t>HENRY, MATTHEW</t>
  </si>
  <si>
    <t>Devine</t>
  </si>
  <si>
    <t>HANNAH.BINETTE@YAHOO.COM</t>
  </si>
  <si>
    <t>BINETTE, HANNAH</t>
  </si>
  <si>
    <t>Lantz</t>
  </si>
  <si>
    <t>ENF3.1965@GMAIL.COM</t>
  </si>
  <si>
    <t>FLETCHER, EDWARD</t>
  </si>
  <si>
    <t>Cormay</t>
  </si>
  <si>
    <t>jcormay@yahoo.com</t>
  </si>
  <si>
    <t>CORMAY, JAMESON</t>
  </si>
  <si>
    <t>Bergeron</t>
  </si>
  <si>
    <t>Russo, Jason</t>
  </si>
  <si>
    <t>Gunerson</t>
  </si>
  <si>
    <t>gbrun70@yahoo.com</t>
  </si>
  <si>
    <t>BRUN, GREGORY</t>
  </si>
  <si>
    <t>Cardarelli</t>
  </si>
  <si>
    <t>BERTONCINI17@MSN.COM</t>
  </si>
  <si>
    <t>BERTONCINI, ISABELLA</t>
  </si>
  <si>
    <t>PAYSON</t>
  </si>
  <si>
    <t>DEANE</t>
  </si>
  <si>
    <t>LADNER, ELIZABETH</t>
  </si>
  <si>
    <t>LADNER, RUSSELL</t>
  </si>
  <si>
    <t>151235572</t>
  </si>
  <si>
    <t>LeFleur</t>
  </si>
  <si>
    <t>DOUGLASRODRIGUES@HOTMAIL.COM</t>
  </si>
  <si>
    <t>RODRIGUES, DOUGLAS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</si>
  <si>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</si>
  <si>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</si>
  <si>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</si>
  <si>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</si>
  <si>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</si>
  <si>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</si>
  <si>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</si>
  <si>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</si>
  <si>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</si>
  <si>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</si>
  <si>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</si>
  <si>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151235564E</t>
  </si>
  <si>
    <t>151235580E</t>
  </si>
  <si>
    <t>151235598E</t>
  </si>
  <si>
    <t>151235639E</t>
  </si>
  <si>
    <t>151235655E</t>
  </si>
  <si>
    <t>151235663E</t>
  </si>
  <si>
    <t>151235689E</t>
  </si>
  <si>
    <t>151235738E</t>
  </si>
  <si>
    <t>151235754E</t>
  </si>
  <si>
    <t>151235788E</t>
  </si>
  <si>
    <t>151235829E</t>
  </si>
  <si>
    <t>151235845E</t>
  </si>
  <si>
    <t>151235928E</t>
  </si>
  <si>
    <t>151235861E</t>
  </si>
  <si>
    <t>151235936E</t>
  </si>
  <si>
    <t>151235944E</t>
  </si>
  <si>
    <t>Date Signed________________________________________________________</t>
  </si>
  <si>
    <t>Received BY_________________________________________________________________________</t>
  </si>
  <si>
    <t>Delivered BY_________________________________________________________________________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</si>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</sst>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BB884BA-C763-4A38-A59E-BB1DAE56FA45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A4DFE7C-E7D7-4E51-A170-CA642F115706}" name="Column1" dataDxfId="23"/>
    <tableColumn id="8" xr3:uid="{2F40A421-D387-4B71-9963-9BC092FE2EB3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534F2B-4491-46FB-9FC7-5EAEE322082B}" name="Table_13" displayName="Table_13" ref="A3:L23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C1E4C-CB35-497D-9B69-83A08A2E5368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workbookViewId="0">
      <pane ySplit="3" topLeftCell="A13" activePane="bottomLeft" state="frozen"/>
      <selection pane="bottomLeft" activeCell="F36" sqref="F36"/>
    </sheetView>
  </sheetViews>
  <sheetFormatPr defaultRowHeight="15" x14ac:dyDescent="0.25"/>
  <cols>
    <col min="1" max="1" width="27.7109375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45945</v>
      </c>
      <c r="E1" t="s">
        <v>2</v>
      </c>
      <c r="H1" s="4">
        <v>45945.999988425923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28</v>
      </c>
      <c r="G3" t="s">
        <v>29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20756.64</v>
      </c>
      <c r="F4" s="2"/>
      <c r="G4" s="2"/>
      <c r="H4" s="2">
        <v>20831.64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19164.82</v>
      </c>
      <c r="F6" s="2"/>
      <c r="G6" s="2"/>
      <c r="H6" s="2">
        <v>19239.82</v>
      </c>
    </row>
    <row r="7" spans="1:8" x14ac:dyDescent="0.25">
      <c r="A7" t="s">
        <v>12</v>
      </c>
      <c r="B7" t="s">
        <v>11</v>
      </c>
      <c r="C7" s="2">
        <v>650</v>
      </c>
      <c r="D7" s="2">
        <v>0</v>
      </c>
      <c r="E7" s="2">
        <v>24000.880000000001</v>
      </c>
      <c r="F7" s="2">
        <f>SUM(E6:E7)</f>
        <v>43165.7</v>
      </c>
      <c r="G7" s="2"/>
      <c r="H7" s="2">
        <v>24075.88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13</v>
      </c>
      <c r="B9" t="s">
        <v>14</v>
      </c>
      <c r="C9" s="2">
        <v>650</v>
      </c>
      <c r="D9" s="2">
        <v>0</v>
      </c>
      <c r="E9" s="2">
        <v>24569.94</v>
      </c>
      <c r="F9" s="2"/>
      <c r="G9" s="2" t="s">
        <v>30</v>
      </c>
      <c r="H9" s="2">
        <v>24644.94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14</v>
      </c>
      <c r="C11" s="2">
        <v>650</v>
      </c>
      <c r="D11" s="2">
        <v>0</v>
      </c>
      <c r="E11" s="2">
        <v>21044.880000000001</v>
      </c>
      <c r="F11" s="2"/>
      <c r="G11" s="2"/>
      <c r="H11" s="2">
        <v>21119.88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500</v>
      </c>
      <c r="D13" s="2">
        <v>0</v>
      </c>
      <c r="E13" s="2">
        <v>17237.5</v>
      </c>
      <c r="F13" s="2"/>
      <c r="G13" s="2"/>
      <c r="H13" s="2">
        <v>17312.5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650</v>
      </c>
      <c r="D15" s="2">
        <v>0</v>
      </c>
      <c r="E15" s="2">
        <v>21446.44</v>
      </c>
      <c r="F15" s="2"/>
      <c r="G15" s="2"/>
      <c r="H15" s="2">
        <v>21521.439999999999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300</v>
      </c>
      <c r="D17" s="2">
        <v>0</v>
      </c>
      <c r="E17" s="2">
        <v>13023.94</v>
      </c>
      <c r="F17" s="2"/>
      <c r="G17" s="2"/>
      <c r="H17" s="2">
        <v>13098.94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14</v>
      </c>
      <c r="C19" s="2">
        <v>950</v>
      </c>
      <c r="D19" s="2">
        <v>0</v>
      </c>
      <c r="E19" s="2">
        <v>37611.199999999997</v>
      </c>
      <c r="F19" s="2"/>
      <c r="G19" s="2"/>
      <c r="H19" s="2">
        <v>37686.199999999997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21</v>
      </c>
      <c r="C21" s="2">
        <v>750</v>
      </c>
      <c r="D21" s="2">
        <v>0</v>
      </c>
      <c r="E21" s="2">
        <v>28827.75</v>
      </c>
      <c r="F21" s="2"/>
      <c r="G21" s="2" t="s">
        <v>31</v>
      </c>
      <c r="H21" s="2">
        <v>28902.75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11</v>
      </c>
      <c r="C23" s="2">
        <v>850</v>
      </c>
      <c r="D23" s="2">
        <v>0</v>
      </c>
      <c r="E23" s="2">
        <v>33267.69</v>
      </c>
      <c r="F23" s="2"/>
      <c r="G23" s="2"/>
      <c r="H23" s="2">
        <v>33342.69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23</v>
      </c>
      <c r="B25" t="s">
        <v>21</v>
      </c>
      <c r="C25" s="2">
        <v>650</v>
      </c>
      <c r="D25" s="2">
        <v>0</v>
      </c>
      <c r="E25" s="2">
        <v>24363.439999999999</v>
      </c>
      <c r="F25" s="2"/>
      <c r="G25" s="2"/>
      <c r="H25" s="2">
        <v>24438.44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24</v>
      </c>
      <c r="B27" t="s">
        <v>21</v>
      </c>
      <c r="C27" s="2">
        <v>500</v>
      </c>
      <c r="D27" s="2">
        <v>0</v>
      </c>
      <c r="E27" s="2">
        <v>16269.25</v>
      </c>
      <c r="F27" s="2"/>
      <c r="G27" s="2"/>
      <c r="H27" s="2">
        <v>16344.25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25</v>
      </c>
      <c r="B29" t="s">
        <v>11</v>
      </c>
      <c r="C29" s="2">
        <v>500</v>
      </c>
      <c r="D29" s="2">
        <v>0</v>
      </c>
      <c r="E29" s="2">
        <v>18103.93</v>
      </c>
      <c r="F29" s="2"/>
      <c r="G29" s="2"/>
      <c r="H29" s="2">
        <v>18178.93</v>
      </c>
    </row>
    <row r="30" spans="1:8" x14ac:dyDescent="0.25">
      <c r="A30" t="s">
        <v>25</v>
      </c>
      <c r="B30" t="s">
        <v>11</v>
      </c>
      <c r="C30" s="2">
        <v>1050</v>
      </c>
      <c r="D30" s="2">
        <v>0</v>
      </c>
      <c r="E30" s="2">
        <v>42665.19</v>
      </c>
      <c r="F30" s="2">
        <f>SUM(E29:E30)</f>
        <v>60769.120000000003</v>
      </c>
      <c r="G30" s="2"/>
      <c r="H30" s="2">
        <v>42740.19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26</v>
      </c>
      <c r="B32" t="s">
        <v>21</v>
      </c>
      <c r="C32" s="2">
        <v>1350</v>
      </c>
      <c r="D32" s="2">
        <v>0</v>
      </c>
      <c r="E32" s="2">
        <v>50370.63</v>
      </c>
      <c r="F32" s="2"/>
      <c r="G32" s="2"/>
      <c r="H32" s="2">
        <v>50445.63</v>
      </c>
    </row>
    <row r="33" spans="1:8" x14ac:dyDescent="0.25">
      <c r="A33" t="s">
        <v>26</v>
      </c>
      <c r="B33" t="s">
        <v>21</v>
      </c>
      <c r="C33" s="2">
        <v>1150</v>
      </c>
      <c r="D33" s="2">
        <v>0</v>
      </c>
      <c r="E33" s="2">
        <v>47110.31</v>
      </c>
      <c r="F33" s="2">
        <f>SUM(E32:E33)</f>
        <v>97480.94</v>
      </c>
      <c r="G33" s="2"/>
      <c r="H33" s="2">
        <v>47185.31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27</v>
      </c>
      <c r="B35" t="s">
        <v>11</v>
      </c>
      <c r="C35" s="2">
        <v>1150</v>
      </c>
      <c r="D35" s="2">
        <v>0</v>
      </c>
      <c r="E35" s="2">
        <v>49905</v>
      </c>
      <c r="F35" s="2"/>
      <c r="G35" s="2"/>
      <c r="H35" s="2">
        <v>49980</v>
      </c>
    </row>
    <row r="36" spans="1:8" x14ac:dyDescent="0.25">
      <c r="A36" t="s">
        <v>27</v>
      </c>
      <c r="B36" t="s">
        <v>11</v>
      </c>
      <c r="C36" s="2">
        <v>950</v>
      </c>
      <c r="D36" s="2">
        <v>0</v>
      </c>
      <c r="E36" s="2">
        <v>35333.370000000003</v>
      </c>
      <c r="F36" s="2">
        <f>SUM(E35:E36)</f>
        <v>85238.37</v>
      </c>
      <c r="G36" s="2"/>
      <c r="H36" s="2">
        <v>35408.370000000003</v>
      </c>
    </row>
    <row r="37" spans="1:8" x14ac:dyDescent="0.25">
      <c r="A37" s="1"/>
      <c r="B37" s="1"/>
      <c r="C37" s="3">
        <f>SUM(C4:C36)</f>
        <v>14400</v>
      </c>
      <c r="D37" s="3">
        <f>SUM(D4:D36)</f>
        <v>0</v>
      </c>
      <c r="E37" s="3">
        <f>SUM(E4:E36)</f>
        <v>545072.80000000005</v>
      </c>
      <c r="F37" s="3"/>
      <c r="G37" s="3"/>
      <c r="H37" s="3">
        <f>SUM(H4:H36)</f>
        <v>546497.80000000005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2239-DF06-4A15-8F7D-07377B8D70A8}">
  <sheetPr>
    <pageSetUpPr fitToPage="1"/>
  </sheetPr>
  <dimension ref="A1:L29"/>
  <sheetViews>
    <sheetView workbookViewId="0">
      <pane ySplit="3" topLeftCell="A13" activePane="bottomLeft" state="frozen"/>
      <selection pane="bottomLeft" activeCell="A4" sqref="A4:A2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140625" style="8" bestFit="1" customWidth="1"/>
    <col min="5" max="5" width="19.85546875" style="8" bestFit="1" customWidth="1"/>
    <col min="6" max="6" width="27.7109375" style="8" bestFit="1" customWidth="1"/>
    <col min="7" max="7" width="17.7109375" style="8" bestFit="1" customWidth="1"/>
    <col min="8" max="8" width="17.140625" style="8" bestFit="1" customWidth="1"/>
    <col min="9" max="9" width="36.140625" style="8" bestFit="1" customWidth="1"/>
    <col min="10" max="10" width="19.28515625" style="8" bestFit="1" customWidth="1"/>
    <col min="11" max="11" width="17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45945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110</v>
      </c>
      <c r="H2" s="12"/>
      <c r="I2" s="12"/>
      <c r="J2" s="12"/>
      <c r="K2" s="12"/>
      <c r="L2" s="12"/>
    </row>
    <row r="3" spans="1:12" ht="35.1" customHeight="1" x14ac:dyDescent="0.25">
      <c r="A3" s="9" t="s">
        <v>109</v>
      </c>
      <c r="B3" s="9" t="s">
        <v>108</v>
      </c>
      <c r="C3" s="9" t="s">
        <v>107</v>
      </c>
      <c r="D3" s="9" t="s">
        <v>106</v>
      </c>
      <c r="E3" s="9" t="s">
        <v>105</v>
      </c>
      <c r="F3" s="9" t="s">
        <v>4</v>
      </c>
      <c r="G3" s="9" t="s">
        <v>5</v>
      </c>
      <c r="H3" s="9" t="s">
        <v>104</v>
      </c>
      <c r="I3" s="9" t="s">
        <v>103</v>
      </c>
      <c r="J3" s="9" t="s">
        <v>102</v>
      </c>
      <c r="K3" s="9" t="s">
        <v>101</v>
      </c>
      <c r="L3" s="9" t="s">
        <v>100</v>
      </c>
    </row>
    <row r="4" spans="1:12" ht="35.1" customHeight="1" x14ac:dyDescent="0.25">
      <c r="A4" s="9" t="s">
        <v>111</v>
      </c>
      <c r="B4" s="9" t="s">
        <v>47</v>
      </c>
      <c r="C4" s="9" t="s">
        <v>36</v>
      </c>
      <c r="D4" s="9" t="s">
        <v>99</v>
      </c>
      <c r="E4" s="9"/>
      <c r="F4" s="9" t="s">
        <v>25</v>
      </c>
      <c r="G4" s="9" t="s">
        <v>11</v>
      </c>
      <c r="H4" s="14">
        <v>42740.19</v>
      </c>
      <c r="I4" s="9" t="s">
        <v>98</v>
      </c>
      <c r="J4" s="9"/>
      <c r="K4" s="9" t="s">
        <v>97</v>
      </c>
      <c r="L4" s="9"/>
    </row>
    <row r="5" spans="1:12" ht="35.1" customHeight="1" x14ac:dyDescent="0.25">
      <c r="A5" s="9" t="s">
        <v>96</v>
      </c>
      <c r="B5" s="9" t="s">
        <v>37</v>
      </c>
      <c r="C5" s="9" t="s">
        <v>57</v>
      </c>
      <c r="D5" s="9" t="s">
        <v>95</v>
      </c>
      <c r="E5" s="9" t="s">
        <v>94</v>
      </c>
      <c r="F5" s="9" t="s">
        <v>18</v>
      </c>
      <c r="G5" s="9" t="s">
        <v>11</v>
      </c>
      <c r="H5" s="14">
        <v>13098.94</v>
      </c>
      <c r="I5" s="9"/>
      <c r="J5" s="9"/>
      <c r="K5" s="9" t="s">
        <v>93</v>
      </c>
      <c r="L5" s="9" t="s">
        <v>92</v>
      </c>
    </row>
    <row r="6" spans="1:12" ht="35.1" customHeight="1" x14ac:dyDescent="0.25">
      <c r="A6" s="9" t="s">
        <v>112</v>
      </c>
      <c r="B6" s="9" t="s">
        <v>47</v>
      </c>
      <c r="C6" s="9" t="s">
        <v>36</v>
      </c>
      <c r="D6" s="9" t="s">
        <v>91</v>
      </c>
      <c r="E6" s="9"/>
      <c r="F6" s="9" t="s">
        <v>25</v>
      </c>
      <c r="G6" s="9" t="s">
        <v>11</v>
      </c>
      <c r="H6" s="14">
        <v>18178.93</v>
      </c>
      <c r="I6" s="9" t="s">
        <v>90</v>
      </c>
      <c r="J6" s="9"/>
      <c r="K6" s="9" t="s">
        <v>89</v>
      </c>
      <c r="L6" s="9"/>
    </row>
    <row r="7" spans="1:12" ht="35.1" customHeight="1" x14ac:dyDescent="0.25">
      <c r="A7" s="9" t="s">
        <v>113</v>
      </c>
      <c r="B7" s="9" t="s">
        <v>37</v>
      </c>
      <c r="C7" s="9" t="s">
        <v>36</v>
      </c>
      <c r="D7" s="9" t="s">
        <v>88</v>
      </c>
      <c r="E7" s="9"/>
      <c r="F7" s="9" t="s">
        <v>27</v>
      </c>
      <c r="G7" s="9" t="s">
        <v>11</v>
      </c>
      <c r="H7" s="14">
        <v>49980</v>
      </c>
      <c r="I7" s="9" t="s">
        <v>87</v>
      </c>
      <c r="J7" s="9"/>
      <c r="K7" s="9" t="s">
        <v>86</v>
      </c>
      <c r="L7" s="9"/>
    </row>
    <row r="8" spans="1:12" ht="35.1" customHeight="1" x14ac:dyDescent="0.25">
      <c r="A8" s="9" t="s">
        <v>114</v>
      </c>
      <c r="B8" s="9" t="s">
        <v>37</v>
      </c>
      <c r="C8" s="9" t="s">
        <v>36</v>
      </c>
      <c r="D8" s="9" t="s">
        <v>85</v>
      </c>
      <c r="E8" s="9"/>
      <c r="F8" s="9" t="s">
        <v>22</v>
      </c>
      <c r="G8" s="9" t="s">
        <v>11</v>
      </c>
      <c r="H8" s="14">
        <v>33342.69</v>
      </c>
      <c r="I8" s="9"/>
      <c r="J8" s="9"/>
      <c r="K8" s="9" t="s">
        <v>84</v>
      </c>
      <c r="L8" s="9"/>
    </row>
    <row r="9" spans="1:12" ht="35.1" customHeight="1" x14ac:dyDescent="0.25">
      <c r="A9" s="9" t="s">
        <v>115</v>
      </c>
      <c r="B9" s="9" t="s">
        <v>47</v>
      </c>
      <c r="C9" s="9" t="s">
        <v>36</v>
      </c>
      <c r="D9" s="9" t="s">
        <v>83</v>
      </c>
      <c r="E9" s="9"/>
      <c r="F9" s="9" t="s">
        <v>16</v>
      </c>
      <c r="G9" s="9" t="s">
        <v>11</v>
      </c>
      <c r="H9" s="14">
        <v>17312.5</v>
      </c>
      <c r="I9" s="9" t="s">
        <v>82</v>
      </c>
      <c r="J9" s="9"/>
      <c r="K9" s="9" t="s">
        <v>81</v>
      </c>
      <c r="L9" s="9"/>
    </row>
    <row r="10" spans="1:12" ht="35.1" customHeight="1" x14ac:dyDescent="0.25">
      <c r="A10" s="9" t="s">
        <v>116</v>
      </c>
      <c r="B10" s="9" t="s">
        <v>47</v>
      </c>
      <c r="C10" s="9" t="s">
        <v>36</v>
      </c>
      <c r="D10" s="9" t="s">
        <v>80</v>
      </c>
      <c r="E10" s="9"/>
      <c r="F10" s="9" t="s">
        <v>12</v>
      </c>
      <c r="G10" s="9" t="s">
        <v>11</v>
      </c>
      <c r="H10" s="14">
        <v>24075.88</v>
      </c>
      <c r="I10" s="9" t="s">
        <v>79</v>
      </c>
      <c r="J10" s="9"/>
      <c r="K10" s="9" t="s">
        <v>78</v>
      </c>
      <c r="L10" s="9"/>
    </row>
    <row r="11" spans="1:12" ht="35.1" customHeight="1" x14ac:dyDescent="0.25">
      <c r="A11" s="9" t="s">
        <v>117</v>
      </c>
      <c r="B11" s="9" t="s">
        <v>47</v>
      </c>
      <c r="C11" s="9" t="s">
        <v>36</v>
      </c>
      <c r="D11" s="9" t="s">
        <v>77</v>
      </c>
      <c r="E11" s="9"/>
      <c r="F11" s="9" t="s">
        <v>12</v>
      </c>
      <c r="G11" s="9" t="s">
        <v>11</v>
      </c>
      <c r="H11" s="14">
        <v>19239.82</v>
      </c>
      <c r="I11" s="9" t="s">
        <v>76</v>
      </c>
      <c r="J11" s="9"/>
      <c r="K11" s="9" t="s">
        <v>75</v>
      </c>
      <c r="L11" s="9"/>
    </row>
    <row r="12" spans="1:12" ht="35.1" customHeight="1" x14ac:dyDescent="0.25">
      <c r="A12" s="9" t="s">
        <v>118</v>
      </c>
      <c r="B12" s="9" t="s">
        <v>37</v>
      </c>
      <c r="C12" s="9" t="s">
        <v>36</v>
      </c>
      <c r="D12" s="9" t="s">
        <v>74</v>
      </c>
      <c r="E12" s="9"/>
      <c r="F12" s="9" t="s">
        <v>27</v>
      </c>
      <c r="G12" s="9" t="s">
        <v>11</v>
      </c>
      <c r="H12" s="14">
        <v>35408.370000000003</v>
      </c>
      <c r="I12" s="9" t="s">
        <v>73</v>
      </c>
      <c r="J12" s="9"/>
      <c r="K12" s="9" t="s">
        <v>72</v>
      </c>
      <c r="L12" s="9"/>
    </row>
    <row r="13" spans="1:12" ht="35.1" customHeight="1" x14ac:dyDescent="0.25">
      <c r="A13" s="9" t="s">
        <v>119</v>
      </c>
      <c r="B13" s="9" t="s">
        <v>47</v>
      </c>
      <c r="C13" s="9" t="s">
        <v>36</v>
      </c>
      <c r="D13" s="9" t="s">
        <v>71</v>
      </c>
      <c r="E13" s="9"/>
      <c r="F13" s="9" t="s">
        <v>13</v>
      </c>
      <c r="G13" s="9" t="s">
        <v>14</v>
      </c>
      <c r="H13" s="14">
        <v>24644.94</v>
      </c>
      <c r="I13" s="9" t="s">
        <v>70</v>
      </c>
      <c r="J13" s="9"/>
      <c r="K13" s="9" t="s">
        <v>69</v>
      </c>
      <c r="L13" s="9"/>
    </row>
    <row r="14" spans="1:12" ht="35.1" customHeight="1" x14ac:dyDescent="0.25">
      <c r="A14" s="9" t="s">
        <v>120</v>
      </c>
      <c r="B14" s="9" t="s">
        <v>47</v>
      </c>
      <c r="C14" s="9" t="s">
        <v>36</v>
      </c>
      <c r="D14" s="9" t="s">
        <v>68</v>
      </c>
      <c r="E14" s="9"/>
      <c r="F14" s="9" t="s">
        <v>17</v>
      </c>
      <c r="G14" s="9" t="s">
        <v>11</v>
      </c>
      <c r="H14" s="14">
        <v>21521.439999999999</v>
      </c>
      <c r="I14" s="9" t="s">
        <v>67</v>
      </c>
      <c r="J14" s="9"/>
      <c r="K14" s="9" t="s">
        <v>66</v>
      </c>
      <c r="L14" s="9"/>
    </row>
    <row r="15" spans="1:12" ht="35.1" customHeight="1" x14ac:dyDescent="0.25">
      <c r="A15" s="9" t="s">
        <v>65</v>
      </c>
      <c r="B15" s="9" t="s">
        <v>37</v>
      </c>
      <c r="C15" s="9" t="s">
        <v>57</v>
      </c>
      <c r="D15" s="9" t="s">
        <v>64</v>
      </c>
      <c r="E15" s="9"/>
      <c r="F15" s="9" t="s">
        <v>15</v>
      </c>
      <c r="G15" s="9" t="s">
        <v>14</v>
      </c>
      <c r="H15" s="14">
        <v>21119.88</v>
      </c>
      <c r="I15" s="9" t="s">
        <v>63</v>
      </c>
      <c r="J15" s="9"/>
      <c r="K15" s="9" t="s">
        <v>62</v>
      </c>
      <c r="L15" s="9"/>
    </row>
    <row r="16" spans="1:12" ht="35.1" customHeight="1" x14ac:dyDescent="0.25">
      <c r="A16" s="9" t="s">
        <v>121</v>
      </c>
      <c r="B16" s="9" t="s">
        <v>37</v>
      </c>
      <c r="C16" s="9" t="s">
        <v>36</v>
      </c>
      <c r="D16" s="9" t="s">
        <v>61</v>
      </c>
      <c r="E16" s="9"/>
      <c r="F16" s="9" t="s">
        <v>19</v>
      </c>
      <c r="G16" s="9" t="s">
        <v>14</v>
      </c>
      <c r="H16" s="14">
        <v>37686.199999999997</v>
      </c>
      <c r="I16" s="9" t="s">
        <v>60</v>
      </c>
      <c r="J16" s="9"/>
      <c r="K16" s="9" t="s">
        <v>59</v>
      </c>
      <c r="L16" s="9"/>
    </row>
    <row r="17" spans="1:12" ht="35.1" customHeight="1" x14ac:dyDescent="0.25">
      <c r="A17" s="9" t="s">
        <v>58</v>
      </c>
      <c r="B17" s="9" t="s">
        <v>47</v>
      </c>
      <c r="C17" s="9" t="s">
        <v>57</v>
      </c>
      <c r="D17" s="9" t="s">
        <v>56</v>
      </c>
      <c r="E17" s="9"/>
      <c r="F17" s="9" t="s">
        <v>23</v>
      </c>
      <c r="G17" s="9" t="s">
        <v>21</v>
      </c>
      <c r="H17" s="14">
        <v>24438.44</v>
      </c>
      <c r="I17" s="9" t="s">
        <v>55</v>
      </c>
      <c r="J17" s="9"/>
      <c r="K17" s="9" t="s">
        <v>54</v>
      </c>
      <c r="L17" s="9"/>
    </row>
    <row r="18" spans="1:12" ht="35.1" customHeight="1" x14ac:dyDescent="0.25">
      <c r="A18" s="9" t="s">
        <v>122</v>
      </c>
      <c r="B18" s="9" t="s">
        <v>37</v>
      </c>
      <c r="C18" s="9" t="s">
        <v>36</v>
      </c>
      <c r="D18" s="9" t="s">
        <v>53</v>
      </c>
      <c r="E18" s="9"/>
      <c r="F18" s="9" t="s">
        <v>10</v>
      </c>
      <c r="G18" s="9" t="s">
        <v>11</v>
      </c>
      <c r="H18" s="14">
        <v>20831.64</v>
      </c>
      <c r="I18" s="9" t="s">
        <v>52</v>
      </c>
      <c r="J18" s="9"/>
      <c r="K18" s="9" t="s">
        <v>51</v>
      </c>
      <c r="L18" s="9"/>
    </row>
    <row r="19" spans="1:12" ht="35.1" customHeight="1" x14ac:dyDescent="0.25">
      <c r="A19" s="9" t="s">
        <v>124</v>
      </c>
      <c r="B19" s="9" t="s">
        <v>47</v>
      </c>
      <c r="C19" s="9" t="s">
        <v>36</v>
      </c>
      <c r="D19" s="9" t="s">
        <v>50</v>
      </c>
      <c r="E19" s="9"/>
      <c r="F19" s="9" t="s">
        <v>24</v>
      </c>
      <c r="G19" s="9" t="s">
        <v>21</v>
      </c>
      <c r="H19" s="14">
        <v>16344.25</v>
      </c>
      <c r="I19" s="9" t="s">
        <v>49</v>
      </c>
      <c r="J19" s="9"/>
      <c r="K19" s="9" t="s">
        <v>48</v>
      </c>
      <c r="L19" s="9"/>
    </row>
    <row r="20" spans="1:12" ht="35.1" customHeight="1" x14ac:dyDescent="0.25">
      <c r="A20" s="9" t="s">
        <v>123</v>
      </c>
      <c r="B20" s="9" t="s">
        <v>47</v>
      </c>
      <c r="C20" s="9" t="s">
        <v>36</v>
      </c>
      <c r="D20" s="9" t="s">
        <v>46</v>
      </c>
      <c r="E20" s="9"/>
      <c r="F20" s="9" t="s">
        <v>20</v>
      </c>
      <c r="G20" s="9" t="s">
        <v>21</v>
      </c>
      <c r="H20" s="14">
        <v>28902.75</v>
      </c>
      <c r="I20" s="9" t="s">
        <v>45</v>
      </c>
      <c r="J20" s="9"/>
      <c r="K20" s="9" t="s">
        <v>44</v>
      </c>
      <c r="L20" s="9"/>
    </row>
    <row r="21" spans="1:12" ht="35.1" customHeight="1" x14ac:dyDescent="0.25">
      <c r="A21" s="9" t="s">
        <v>125</v>
      </c>
      <c r="B21" s="9" t="s">
        <v>37</v>
      </c>
      <c r="C21" s="9" t="s">
        <v>36</v>
      </c>
      <c r="D21" s="9" t="s">
        <v>43</v>
      </c>
      <c r="E21" s="9" t="s">
        <v>42</v>
      </c>
      <c r="F21" s="9" t="s">
        <v>26</v>
      </c>
      <c r="G21" s="9" t="s">
        <v>21</v>
      </c>
      <c r="H21" s="14">
        <v>50445.63</v>
      </c>
      <c r="I21" s="9" t="s">
        <v>41</v>
      </c>
      <c r="J21" s="9" t="s">
        <v>40</v>
      </c>
      <c r="K21" s="9" t="s">
        <v>39</v>
      </c>
      <c r="L21" s="9" t="s">
        <v>38</v>
      </c>
    </row>
    <row r="22" spans="1:12" ht="35.1" customHeight="1" x14ac:dyDescent="0.25">
      <c r="A22" s="9" t="s">
        <v>126</v>
      </c>
      <c r="B22" s="9" t="s">
        <v>37</v>
      </c>
      <c r="C22" s="9" t="s">
        <v>36</v>
      </c>
      <c r="D22" s="9" t="s">
        <v>35</v>
      </c>
      <c r="E22" s="9"/>
      <c r="F22" s="9" t="s">
        <v>26</v>
      </c>
      <c r="G22" s="9" t="s">
        <v>21</v>
      </c>
      <c r="H22" s="14">
        <v>47185.31</v>
      </c>
      <c r="I22" s="9" t="s">
        <v>34</v>
      </c>
      <c r="J22" s="9"/>
      <c r="K22" s="9" t="s">
        <v>33</v>
      </c>
      <c r="L22" s="9"/>
    </row>
    <row r="23" spans="1:12" ht="35.1" customHeight="1" x14ac:dyDescent="0.25">
      <c r="A23" s="15"/>
      <c r="B23" s="15"/>
      <c r="C23" s="15"/>
      <c r="D23" s="15" t="s">
        <v>32</v>
      </c>
      <c r="E23" s="15"/>
      <c r="F23" s="15"/>
      <c r="G23" s="15"/>
      <c r="H23" s="16">
        <f>SUM(H4:H22)</f>
        <v>546497.80000000005</v>
      </c>
      <c r="I23" s="15"/>
      <c r="J23" s="15"/>
      <c r="K23" s="15"/>
      <c r="L23" s="15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5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5.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5.1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9319-168D-4859-8DD6-10B62B8A701A}">
  <sheetPr>
    <pageSetUpPr fitToPage="1"/>
  </sheetPr>
  <dimension ref="A1:E29"/>
  <sheetViews>
    <sheetView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140625" style="8" bestFit="1" customWidth="1"/>
    <col min="4" max="4" width="19.85546875" style="8" bestFit="1" customWidth="1"/>
    <col min="5" max="5" width="27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45945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131</v>
      </c>
      <c r="E2" s="12"/>
    </row>
    <row r="3" spans="1:5" x14ac:dyDescent="0.25">
      <c r="A3" s="9" t="s">
        <v>109</v>
      </c>
      <c r="B3" s="9" t="s">
        <v>107</v>
      </c>
      <c r="C3" s="9" t="s">
        <v>106</v>
      </c>
      <c r="D3" s="9" t="s">
        <v>105</v>
      </c>
      <c r="E3" s="9" t="s">
        <v>4</v>
      </c>
    </row>
    <row r="4" spans="1:5" x14ac:dyDescent="0.25">
      <c r="A4" s="9" t="s">
        <v>96</v>
      </c>
      <c r="B4" s="9" t="s">
        <v>57</v>
      </c>
      <c r="C4" s="9" t="s">
        <v>95</v>
      </c>
      <c r="D4" s="9" t="s">
        <v>94</v>
      </c>
      <c r="E4" s="9" t="s">
        <v>18</v>
      </c>
    </row>
    <row r="5" spans="1:5" x14ac:dyDescent="0.25">
      <c r="A5" s="9" t="s">
        <v>65</v>
      </c>
      <c r="B5" s="9" t="s">
        <v>57</v>
      </c>
      <c r="C5" s="9" t="s">
        <v>64</v>
      </c>
      <c r="D5" s="9"/>
      <c r="E5" s="9" t="s">
        <v>15</v>
      </c>
    </row>
    <row r="6" spans="1:5" x14ac:dyDescent="0.25">
      <c r="A6" s="9" t="s">
        <v>58</v>
      </c>
      <c r="B6" s="9" t="s">
        <v>57</v>
      </c>
      <c r="C6" s="9" t="s">
        <v>56</v>
      </c>
      <c r="D6" s="9"/>
      <c r="E6" s="9" t="s">
        <v>23</v>
      </c>
    </row>
    <row r="7" spans="1:5" x14ac:dyDescent="0.25">
      <c r="A7" s="15"/>
      <c r="B7" s="15"/>
      <c r="C7" s="15" t="s">
        <v>130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129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128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127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2025-10-15T18:15:08Z</cp:lastPrinted>
  <dcterms:created xsi:type="dcterms:W3CDTF">2025-10-15T18:05:23Z</dcterms:created>
  <dcterms:modified xsi:type="dcterms:W3CDTF">2025-10-15T18:35:32Z</dcterms:modified>
</cp:coreProperties>
</file>