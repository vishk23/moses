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92B9F3D5-FC9C-4FCF-84FF-E94AADB87AE9}" xr6:coauthVersionLast="47" xr6:coauthVersionMax="47" xr10:uidLastSave="{00000000-0000-0000-0000-000000000000}"/>
  <bookViews>
    <workbookView xWindow="30360" yWindow="0" windowWidth="27090" windowHeight="15090" xr2:uid="{00000000-000D-0000-FFFF-FFFF00000000}"/>
  </bookViews>
  <sheets>
    <sheet name="Funding Worksheet - Folder Vers" sheetId="1" r:id="rId1"/>
    <sheet name="Funding Worksheet - ACH" sheetId="3" r:id="rId2"/>
    <sheet name="Original Note Log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3" l="1"/>
  <c r="F35" i="3"/>
  <c r="E35" i="3"/>
  <c r="D35" i="3"/>
  <c r="G26" i="3"/>
  <c r="G21" i="3"/>
  <c r="G18" i="3"/>
  <c r="G13" i="3"/>
  <c r="H22" i="1" l="1"/>
</calcChain>
</file>

<file path=xl/sharedStrings.xml><?xml version="1.0" encoding="utf-8"?>
<sst xmlns="http://schemas.openxmlformats.org/spreadsheetml/2006/main" count="220" uniqueCount="120">
  <si>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</si>
  <si>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</si>
  <si>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</si>
  <si>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</si>
  <si>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</si>
  <si>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</si>
  <si>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</si>
  <si>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</si>
  <si>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</si>
  <si>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</si>
  <si>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</si>
  <si>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</si>
  <si>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</si>
  <si>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</si>
  <si>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</si>
  <si>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</si>
  <si>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</si>
  <si>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BORGHI, BRANDON</t>
  </si>
  <si>
    <t>Mathieu Ford Sales, Inc</t>
  </si>
  <si>
    <t>Marlene Braganca</t>
  </si>
  <si>
    <t>BRANDONJBORGHI@GMAIL.COM</t>
  </si>
  <si>
    <t>Messina</t>
  </si>
  <si>
    <t>Logan, Jacob</t>
  </si>
  <si>
    <t>Cote</t>
  </si>
  <si>
    <t>DealerTrack</t>
  </si>
  <si>
    <t>ESPINAL ESPINAL, ADALBERTO</t>
  </si>
  <si>
    <t>Metro Honda</t>
  </si>
  <si>
    <t>Espinal</t>
  </si>
  <si>
    <t>GRAZEWICZ, ROBERT</t>
  </si>
  <si>
    <t>Grieco Toyota</t>
  </si>
  <si>
    <t>Neli Oliveira</t>
  </si>
  <si>
    <t>ROBERT.GRAZEWICZ@GMAIL.COM</t>
  </si>
  <si>
    <t>LORETTE</t>
  </si>
  <si>
    <t>FOX, JOHN</t>
  </si>
  <si>
    <t>Langway Toyota of Newport</t>
  </si>
  <si>
    <t>JTFOX@IEEE.ORG</t>
  </si>
  <si>
    <t>Carr</t>
  </si>
  <si>
    <t>151225995</t>
  </si>
  <si>
    <t>Paper</t>
  </si>
  <si>
    <t>SENTNER, MARK</t>
  </si>
  <si>
    <t>Saccucci Honda</t>
  </si>
  <si>
    <t>MARKSENTAR@GMAIL.COM</t>
  </si>
  <si>
    <t>SENTNER</t>
  </si>
  <si>
    <t>JOY, KAREN</t>
  </si>
  <si>
    <t>R3V Motors, Inc</t>
  </si>
  <si>
    <t>SCAREWCROWRN1@COMCAST.NET</t>
  </si>
  <si>
    <t>Clapp</t>
  </si>
  <si>
    <t>CAMPBELL, VICTORIA</t>
  </si>
  <si>
    <t>Coastal Volkswagon</t>
  </si>
  <si>
    <t>TORICAMPBELL210@GMAIL.COM</t>
  </si>
  <si>
    <t>ARENA</t>
  </si>
  <si>
    <t>SALVERIO, LEEANNE</t>
  </si>
  <si>
    <t>Planet Subaru</t>
  </si>
  <si>
    <t>LEEANNEMPEARSON@GMAIL.COM</t>
  </si>
  <si>
    <t>palladino</t>
  </si>
  <si>
    <t>ALVES, STACEY</t>
  </si>
  <si>
    <t>RAH FALL RIVER VW, LLC</t>
  </si>
  <si>
    <t>STACEYANN789@HOTMAIL.COM</t>
  </si>
  <si>
    <t>RODRIGUES</t>
  </si>
  <si>
    <t>ROWLAND, ANNE</t>
  </si>
  <si>
    <t>WILSON, SUSAN</t>
  </si>
  <si>
    <t>ROWLANDWILSON1@GMAIL.COM</t>
  </si>
  <si>
    <t>DRRUEWILSON@GMAIL.COM</t>
  </si>
  <si>
    <t>TRAVERS</t>
  </si>
  <si>
    <t>BROWN</t>
  </si>
  <si>
    <t>ALLEGRO, MARTHA</t>
  </si>
  <si>
    <t>Volvo of Tiverton</t>
  </si>
  <si>
    <t>MARTHA.ALLEGRO@GMAIL.COM</t>
  </si>
  <si>
    <t>Bozell</t>
  </si>
  <si>
    <t>PINHO, BETSY</t>
  </si>
  <si>
    <t>Rachel Gorham</t>
  </si>
  <si>
    <t>BETSYBOO139@GMAIL.COM</t>
  </si>
  <si>
    <t>MATIAS</t>
  </si>
  <si>
    <t>DUPRE, RICHARD</t>
  </si>
  <si>
    <t>Bald Hill Kia</t>
  </si>
  <si>
    <t>RDUPRE1979@GMAIL.COM</t>
  </si>
  <si>
    <t>PAPA</t>
  </si>
  <si>
    <t>KELL, SEAN</t>
  </si>
  <si>
    <t>Priority Automotive LLC</t>
  </si>
  <si>
    <t>RICHARDSON</t>
  </si>
  <si>
    <t>BUTLER, WALTER</t>
  </si>
  <si>
    <t>Robertson's GMC Truck, Inc</t>
  </si>
  <si>
    <t>WALTER.BUTLER09@GMAIL.COM</t>
  </si>
  <si>
    <t>BEVILACQUA</t>
  </si>
  <si>
    <t>GUERIN, RICHARD</t>
  </si>
  <si>
    <t>FIBERWAY11@GMAIL.COM</t>
  </si>
  <si>
    <t>PARKER</t>
  </si>
  <si>
    <t>O'DONNELL, MARK</t>
  </si>
  <si>
    <t>Salvadore Chevrolet</t>
  </si>
  <si>
    <t>STELLUTO</t>
  </si>
  <si>
    <t># 18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</si>
  <si>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</si>
  <si>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</si>
  <si>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</si>
  <si>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</si>
  <si>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</si>
  <si>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</si>
  <si>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</si>
  <si>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151225846 E</t>
  </si>
  <si>
    <t>151225854 E</t>
  </si>
  <si>
    <t>151225937 E</t>
  </si>
  <si>
    <t>151225953 E</t>
  </si>
  <si>
    <t>151225961 E</t>
  </si>
  <si>
    <t>151226000 E</t>
  </si>
  <si>
    <t>151226018 E</t>
  </si>
  <si>
    <t>151226026 E</t>
  </si>
  <si>
    <t>151226034 E</t>
  </si>
  <si>
    <t>151226042 E</t>
  </si>
  <si>
    <t>151226068 E</t>
  </si>
  <si>
    <t>151226092 E</t>
  </si>
  <si>
    <t>151226125 E</t>
  </si>
  <si>
    <t>151226133 E</t>
  </si>
  <si>
    <t>151226159 E</t>
  </si>
  <si>
    <t>151226167 E</t>
  </si>
  <si>
    <t>151226183 E</t>
  </si>
  <si>
    <t>Funding Worksheet - Signoff Version</t>
  </si>
  <si>
    <t># 1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</si>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</sst>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7" fontId="2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2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79D535-F960-4BD8-8014-428802A6F46E}" name="Table_13" displayName="Table_13" ref="A3:H35">
  <tableColumns count="8">
    <tableColumn id="1" xr3:uid="{85F60894-3F4F-4510-99F3-092EC2F8ADBA}" name="Dealer Name"/>
    <tableColumn id="8" xr3:uid="{EE1C9E83-FA8D-48DE-8A6C-102218BE8097}" name="Column2"/>
    <tableColumn id="2" xr3:uid="{622A3F81-F2A1-481C-A10E-9F60653A0509}" name="Funded by"/>
    <tableColumn id="3" xr3:uid="{86FBFF38-73E4-420B-9E81-02D224304024}" name="Dealer Flat"/>
    <tableColumn id="4" xr3:uid="{CB4B7366-58EE-4C6C-8D8E-3E6B590AE142}" name="Dealer Split"/>
    <tableColumn id="5" xr3:uid="{C3E04C0A-B2BE-4697-9562-EBFDAE768B2B}" name="Net to Dealer"/>
    <tableColumn id="7" xr3:uid="{19EAF705-9221-4C41-8078-06DB93134350}" name="Column1" dataDxfId="0"/>
    <tableColumn id="6" xr3:uid="{D9F643F0-F4D8-42F7-B229-CD78519A5CEC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E0B447-C694-47D7-9449-EB1FB4434FE5}" name="Table_15" displayName="Table_15" ref="A3:F5">
  <tableColumns count="6">
    <tableColumn id="1" xr3:uid="{F76763D2-39F4-43DC-97C2-CC8B464FC6FC}" name="Account Number"/>
    <tableColumn id="2" xr3:uid="{27C16658-F9A6-496F-87A1-5BC3B9F4AF64}" name="Contract Type"/>
    <tableColumn id="3" xr3:uid="{F7CB83DA-17E3-4D11-89E1-96B70CD238E9}" name="Applicant Name"/>
    <tableColumn id="4" xr3:uid="{6F6D41FC-A5D1-4506-BBCB-E9AA686357A0}" name="Co-Applicant Name"/>
    <tableColumn id="5" xr3:uid="{CBB2BFD3-BCA2-4D03-BA7B-5849B43120D8}" name="Dealer Name"/>
    <tableColumn id="6" xr3:uid="{F6D38B24-F7D8-4673-A600-4ADFAAB99214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workbookViewId="0">
      <pane ySplit="3" topLeftCell="A14" activePane="bottomLeft" state="frozen"/>
      <selection pane="bottomLeft" activeCell="D18" sqref="D18"/>
    </sheetView>
  </sheetViews>
  <sheetFormatPr defaultRowHeight="15" x14ac:dyDescent="0.25"/>
  <cols>
    <col min="1" max="1" width="13.28515625" customWidth="1"/>
    <col min="2" max="2" width="12.140625" bestFit="1" customWidth="1"/>
    <col min="3" max="3" width="12.42578125" customWidth="1"/>
    <col min="4" max="4" width="25.7109375" customWidth="1"/>
    <col min="5" max="5" width="16" customWidth="1"/>
    <col min="6" max="6" width="26.7109375" bestFit="1" customWidth="1"/>
    <col min="7" max="7" width="17.7109375" bestFit="1" customWidth="1"/>
    <col min="8" max="8" width="17.140625" bestFit="1" customWidth="1"/>
    <col min="9" max="9" width="33.85546875" bestFit="1" customWidth="1"/>
    <col min="10" max="10" width="24.28515625" customWidth="1"/>
    <col min="11" max="11" width="20.28515625" customWidth="1"/>
    <col min="12" max="12" width="12.85546875" bestFit="1" customWidth="1"/>
  </cols>
  <sheetData>
    <row r="1" spans="1:12" x14ac:dyDescent="0.25">
      <c r="K1" s="4">
        <v>45918</v>
      </c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0" customHeight="1" x14ac:dyDescent="0.25">
      <c r="A4" t="s">
        <v>98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95160.78</v>
      </c>
      <c r="I4" t="s">
        <v>20</v>
      </c>
      <c r="K4" t="s">
        <v>21</v>
      </c>
    </row>
    <row r="5" spans="1:12" ht="30" customHeight="1" x14ac:dyDescent="0.25">
      <c r="A5" t="s">
        <v>99</v>
      </c>
      <c r="B5" t="s">
        <v>15</v>
      </c>
      <c r="C5" t="s">
        <v>16</v>
      </c>
      <c r="D5" t="s">
        <v>22</v>
      </c>
      <c r="F5" t="s">
        <v>18</v>
      </c>
      <c r="G5" t="s">
        <v>19</v>
      </c>
      <c r="H5" s="2">
        <v>37659.42</v>
      </c>
      <c r="K5" t="s">
        <v>23</v>
      </c>
    </row>
    <row r="6" spans="1:12" ht="30" customHeight="1" x14ac:dyDescent="0.25">
      <c r="A6" t="s">
        <v>100</v>
      </c>
      <c r="B6" t="s">
        <v>24</v>
      </c>
      <c r="C6" t="s">
        <v>16</v>
      </c>
      <c r="D6" t="s">
        <v>25</v>
      </c>
      <c r="F6" t="s">
        <v>26</v>
      </c>
      <c r="G6" t="s">
        <v>19</v>
      </c>
      <c r="H6" s="2">
        <v>40639.9</v>
      </c>
      <c r="K6" t="s">
        <v>27</v>
      </c>
    </row>
    <row r="7" spans="1:12" ht="30" customHeight="1" x14ac:dyDescent="0.25">
      <c r="A7" t="s">
        <v>101</v>
      </c>
      <c r="B7" t="s">
        <v>15</v>
      </c>
      <c r="C7" t="s">
        <v>16</v>
      </c>
      <c r="D7" t="s">
        <v>28</v>
      </c>
      <c r="F7" t="s">
        <v>29</v>
      </c>
      <c r="G7" t="s">
        <v>30</v>
      </c>
      <c r="H7" s="2">
        <v>36296.559999999998</v>
      </c>
      <c r="I7" t="s">
        <v>31</v>
      </c>
      <c r="K7" t="s">
        <v>32</v>
      </c>
    </row>
    <row r="8" spans="1:12" ht="30" customHeight="1" x14ac:dyDescent="0.25">
      <c r="A8" t="s">
        <v>102</v>
      </c>
      <c r="B8" t="s">
        <v>15</v>
      </c>
      <c r="C8" t="s">
        <v>16</v>
      </c>
      <c r="D8" t="s">
        <v>33</v>
      </c>
      <c r="F8" t="s">
        <v>34</v>
      </c>
      <c r="G8" t="s">
        <v>19</v>
      </c>
      <c r="H8" s="2">
        <v>53925</v>
      </c>
      <c r="I8" t="s">
        <v>35</v>
      </c>
      <c r="K8" t="s">
        <v>36</v>
      </c>
    </row>
    <row r="9" spans="1:12" ht="30" customHeight="1" x14ac:dyDescent="0.25">
      <c r="A9" t="s">
        <v>37</v>
      </c>
      <c r="B9" t="s">
        <v>24</v>
      </c>
      <c r="C9" t="s">
        <v>38</v>
      </c>
      <c r="D9" t="s">
        <v>39</v>
      </c>
      <c r="F9" t="s">
        <v>40</v>
      </c>
      <c r="G9" t="s">
        <v>19</v>
      </c>
      <c r="H9" s="2">
        <v>18034.560000000001</v>
      </c>
      <c r="I9" t="s">
        <v>41</v>
      </c>
      <c r="K9" t="s">
        <v>42</v>
      </c>
    </row>
    <row r="10" spans="1:12" ht="30" customHeight="1" x14ac:dyDescent="0.25">
      <c r="A10" t="s">
        <v>103</v>
      </c>
      <c r="B10" t="s">
        <v>15</v>
      </c>
      <c r="C10" t="s">
        <v>16</v>
      </c>
      <c r="D10" t="s">
        <v>43</v>
      </c>
      <c r="F10" t="s">
        <v>44</v>
      </c>
      <c r="G10" t="s">
        <v>19</v>
      </c>
      <c r="H10" s="2">
        <v>17860.25</v>
      </c>
      <c r="I10" t="s">
        <v>45</v>
      </c>
      <c r="K10" t="s">
        <v>46</v>
      </c>
    </row>
    <row r="11" spans="1:12" ht="30" customHeight="1" x14ac:dyDescent="0.25">
      <c r="A11" t="s">
        <v>104</v>
      </c>
      <c r="B11" t="s">
        <v>24</v>
      </c>
      <c r="C11" t="s">
        <v>16</v>
      </c>
      <c r="D11" t="s">
        <v>47</v>
      </c>
      <c r="F11" t="s">
        <v>48</v>
      </c>
      <c r="G11" t="s">
        <v>30</v>
      </c>
      <c r="H11" s="2">
        <v>45213.440000000002</v>
      </c>
      <c r="I11" t="s">
        <v>49</v>
      </c>
      <c r="K11" t="s">
        <v>50</v>
      </c>
    </row>
    <row r="12" spans="1:12" ht="30" customHeight="1" x14ac:dyDescent="0.25">
      <c r="A12" t="s">
        <v>105</v>
      </c>
      <c r="B12" t="s">
        <v>24</v>
      </c>
      <c r="C12" t="s">
        <v>16</v>
      </c>
      <c r="D12" t="s">
        <v>51</v>
      </c>
      <c r="F12" t="s">
        <v>52</v>
      </c>
      <c r="G12" t="s">
        <v>30</v>
      </c>
      <c r="H12" s="2">
        <v>26982.31</v>
      </c>
      <c r="I12" t="s">
        <v>53</v>
      </c>
      <c r="K12" t="s">
        <v>54</v>
      </c>
    </row>
    <row r="13" spans="1:12" ht="30" customHeight="1" x14ac:dyDescent="0.25">
      <c r="A13" t="s">
        <v>106</v>
      </c>
      <c r="B13" t="s">
        <v>24</v>
      </c>
      <c r="C13" t="s">
        <v>16</v>
      </c>
      <c r="D13" t="s">
        <v>55</v>
      </c>
      <c r="F13" t="s">
        <v>56</v>
      </c>
      <c r="G13" t="s">
        <v>30</v>
      </c>
      <c r="H13" s="2">
        <v>28425.06</v>
      </c>
      <c r="I13" t="s">
        <v>57</v>
      </c>
      <c r="K13" t="s">
        <v>58</v>
      </c>
    </row>
    <row r="14" spans="1:12" ht="30" customHeight="1" x14ac:dyDescent="0.25">
      <c r="A14" t="s">
        <v>107</v>
      </c>
      <c r="B14" t="s">
        <v>24</v>
      </c>
      <c r="C14" t="s">
        <v>16</v>
      </c>
      <c r="D14" t="s">
        <v>59</v>
      </c>
      <c r="E14" t="s">
        <v>60</v>
      </c>
      <c r="F14" t="s">
        <v>52</v>
      </c>
      <c r="G14" t="s">
        <v>30</v>
      </c>
      <c r="H14" s="2">
        <v>15805.75</v>
      </c>
      <c r="I14" t="s">
        <v>61</v>
      </c>
      <c r="J14" t="s">
        <v>62</v>
      </c>
      <c r="K14" t="s">
        <v>63</v>
      </c>
      <c r="L14" t="s">
        <v>64</v>
      </c>
    </row>
    <row r="15" spans="1:12" ht="30" customHeight="1" x14ac:dyDescent="0.25">
      <c r="A15" t="s">
        <v>108</v>
      </c>
      <c r="B15" t="s">
        <v>24</v>
      </c>
      <c r="C15" t="s">
        <v>16</v>
      </c>
      <c r="D15" t="s">
        <v>65</v>
      </c>
      <c r="F15" t="s">
        <v>66</v>
      </c>
      <c r="G15" t="s">
        <v>19</v>
      </c>
      <c r="H15" s="2">
        <v>32557.54</v>
      </c>
      <c r="I15" t="s">
        <v>67</v>
      </c>
      <c r="K15" t="s">
        <v>68</v>
      </c>
    </row>
    <row r="16" spans="1:12" ht="30" customHeight="1" x14ac:dyDescent="0.25">
      <c r="A16" t="s">
        <v>109</v>
      </c>
      <c r="B16" t="s">
        <v>24</v>
      </c>
      <c r="C16" t="s">
        <v>16</v>
      </c>
      <c r="D16" t="s">
        <v>69</v>
      </c>
      <c r="F16" t="s">
        <v>56</v>
      </c>
      <c r="G16" t="s">
        <v>70</v>
      </c>
      <c r="H16" s="2">
        <v>23430.81</v>
      </c>
      <c r="I16" t="s">
        <v>71</v>
      </c>
      <c r="K16" t="s">
        <v>72</v>
      </c>
    </row>
    <row r="17" spans="1:12" ht="30" customHeight="1" x14ac:dyDescent="0.25">
      <c r="A17" t="s">
        <v>110</v>
      </c>
      <c r="B17" t="s">
        <v>24</v>
      </c>
      <c r="C17" t="s">
        <v>16</v>
      </c>
      <c r="D17" t="s">
        <v>73</v>
      </c>
      <c r="F17" t="s">
        <v>74</v>
      </c>
      <c r="G17" t="s">
        <v>70</v>
      </c>
      <c r="H17" s="2">
        <v>27396.880000000001</v>
      </c>
      <c r="I17" t="s">
        <v>75</v>
      </c>
      <c r="K17" t="s">
        <v>76</v>
      </c>
    </row>
    <row r="18" spans="1:12" ht="30" customHeight="1" x14ac:dyDescent="0.25">
      <c r="A18" t="s">
        <v>111</v>
      </c>
      <c r="B18" t="s">
        <v>24</v>
      </c>
      <c r="C18" t="s">
        <v>16</v>
      </c>
      <c r="D18" t="s">
        <v>77</v>
      </c>
      <c r="F18" t="s">
        <v>78</v>
      </c>
      <c r="G18" t="s">
        <v>70</v>
      </c>
      <c r="H18" s="2">
        <v>10427</v>
      </c>
      <c r="K18" t="s">
        <v>79</v>
      </c>
    </row>
    <row r="19" spans="1:12" ht="30" customHeight="1" x14ac:dyDescent="0.25">
      <c r="A19" t="s">
        <v>112</v>
      </c>
      <c r="B19" t="s">
        <v>24</v>
      </c>
      <c r="C19" t="s">
        <v>16</v>
      </c>
      <c r="D19" t="s">
        <v>80</v>
      </c>
      <c r="F19" t="s">
        <v>81</v>
      </c>
      <c r="G19" t="s">
        <v>70</v>
      </c>
      <c r="H19" s="2">
        <v>51476.03</v>
      </c>
      <c r="I19" t="s">
        <v>82</v>
      </c>
      <c r="K19" t="s">
        <v>83</v>
      </c>
    </row>
    <row r="20" spans="1:12" ht="30" customHeight="1" x14ac:dyDescent="0.25">
      <c r="A20" t="s">
        <v>113</v>
      </c>
      <c r="B20" t="s">
        <v>24</v>
      </c>
      <c r="C20" t="s">
        <v>16</v>
      </c>
      <c r="D20" t="s">
        <v>84</v>
      </c>
      <c r="F20" t="s">
        <v>78</v>
      </c>
      <c r="G20" t="s">
        <v>70</v>
      </c>
      <c r="H20" s="2">
        <v>18419.75</v>
      </c>
      <c r="I20" t="s">
        <v>85</v>
      </c>
      <c r="K20" t="s">
        <v>86</v>
      </c>
    </row>
    <row r="21" spans="1:12" ht="30" customHeight="1" x14ac:dyDescent="0.25">
      <c r="A21" t="s">
        <v>114</v>
      </c>
      <c r="B21" t="s">
        <v>15</v>
      </c>
      <c r="C21" t="s">
        <v>16</v>
      </c>
      <c r="D21" t="s">
        <v>87</v>
      </c>
      <c r="F21" t="s">
        <v>88</v>
      </c>
      <c r="G21" t="s">
        <v>70</v>
      </c>
      <c r="H21" s="2">
        <v>20050</v>
      </c>
      <c r="K21" t="s">
        <v>89</v>
      </c>
    </row>
    <row r="22" spans="1:12" x14ac:dyDescent="0.25">
      <c r="A22" s="1"/>
      <c r="B22" s="1"/>
      <c r="C22" s="1"/>
      <c r="D22" s="1" t="s">
        <v>90</v>
      </c>
      <c r="E22" s="1"/>
      <c r="F22" s="1"/>
      <c r="G22" s="1"/>
      <c r="H22" s="3">
        <f>SUM(H4:H21)</f>
        <v>599761.04</v>
      </c>
      <c r="I22" s="1"/>
      <c r="J22" s="1"/>
      <c r="K22" s="1"/>
      <c r="L22" s="1"/>
    </row>
  </sheetData>
  <mergeCells count="2">
    <mergeCell ref="A2:F2"/>
    <mergeCell ref="G2:L2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EE55-6721-471D-AB26-5FD11DC89910}">
  <dimension ref="A1:H35"/>
  <sheetViews>
    <sheetView workbookViewId="0">
      <selection activeCell="O20" sqref="O20"/>
    </sheetView>
  </sheetViews>
  <sheetFormatPr defaultRowHeight="15" x14ac:dyDescent="0.25"/>
  <cols>
    <col min="2" max="2" width="17.28515625" customWidth="1"/>
    <col min="3" max="3" width="16.5703125" customWidth="1"/>
    <col min="4" max="4" width="13.5703125" customWidth="1"/>
    <col min="5" max="5" width="12.7109375" customWidth="1"/>
    <col min="6" max="6" width="14.28515625" customWidth="1"/>
    <col min="8" max="8" width="13.140625" customWidth="1"/>
  </cols>
  <sheetData>
    <row r="1" spans="1:8" x14ac:dyDescent="0.25">
      <c r="E1" s="4"/>
      <c r="H1" s="4">
        <v>45918.999988425923</v>
      </c>
    </row>
    <row r="2" spans="1:8" x14ac:dyDescent="0.25">
      <c r="A2" s="8" t="s">
        <v>0</v>
      </c>
      <c r="B2" s="8"/>
      <c r="C2" s="6"/>
      <c r="D2" s="6"/>
      <c r="E2" s="9" t="s">
        <v>91</v>
      </c>
      <c r="F2" s="6"/>
      <c r="G2" s="6"/>
      <c r="H2" s="6"/>
    </row>
    <row r="3" spans="1:8" x14ac:dyDescent="0.25">
      <c r="A3" t="s">
        <v>7</v>
      </c>
      <c r="B3" t="s">
        <v>97</v>
      </c>
      <c r="C3" t="s">
        <v>8</v>
      </c>
      <c r="D3" t="s">
        <v>92</v>
      </c>
      <c r="E3" t="s">
        <v>93</v>
      </c>
      <c r="F3" t="s">
        <v>94</v>
      </c>
      <c r="G3" t="s">
        <v>96</v>
      </c>
      <c r="H3" t="s">
        <v>95</v>
      </c>
    </row>
    <row r="4" spans="1:8" x14ac:dyDescent="0.25">
      <c r="A4" t="s">
        <v>74</v>
      </c>
      <c r="C4" t="s">
        <v>70</v>
      </c>
      <c r="D4" s="2">
        <v>750</v>
      </c>
      <c r="E4" s="2">
        <v>0</v>
      </c>
      <c r="F4" s="2">
        <v>27321.88</v>
      </c>
      <c r="G4" s="2"/>
      <c r="H4" s="2">
        <v>27396.880000000001</v>
      </c>
    </row>
    <row r="5" spans="1:8" x14ac:dyDescent="0.25">
      <c r="D5" s="2"/>
      <c r="E5" s="2"/>
      <c r="F5" s="2"/>
      <c r="G5" s="2"/>
      <c r="H5" s="2"/>
    </row>
    <row r="6" spans="1:8" x14ac:dyDescent="0.25">
      <c r="A6" t="s">
        <v>48</v>
      </c>
      <c r="C6" t="s">
        <v>30</v>
      </c>
      <c r="D6" s="2">
        <v>1150</v>
      </c>
      <c r="E6" s="2">
        <v>0</v>
      </c>
      <c r="F6" s="2">
        <v>45138.44</v>
      </c>
      <c r="G6" s="2"/>
      <c r="H6" s="2">
        <v>45213.440000000002</v>
      </c>
    </row>
    <row r="7" spans="1:8" x14ac:dyDescent="0.25">
      <c r="D7" s="2"/>
      <c r="E7" s="2"/>
      <c r="F7" s="2"/>
      <c r="G7" s="2"/>
      <c r="H7" s="2"/>
    </row>
    <row r="8" spans="1:8" x14ac:dyDescent="0.25">
      <c r="A8" t="s">
        <v>29</v>
      </c>
      <c r="C8" t="s">
        <v>30</v>
      </c>
      <c r="D8" s="2">
        <v>950</v>
      </c>
      <c r="E8" s="2">
        <v>0</v>
      </c>
      <c r="F8" s="2">
        <v>36221.56</v>
      </c>
      <c r="G8" s="2"/>
      <c r="H8" s="2">
        <v>36296.559999999998</v>
      </c>
    </row>
    <row r="9" spans="1:8" x14ac:dyDescent="0.25">
      <c r="D9" s="2"/>
      <c r="E9" s="2"/>
      <c r="F9" s="2"/>
      <c r="G9" s="2"/>
      <c r="H9" s="2"/>
    </row>
    <row r="10" spans="1:8" x14ac:dyDescent="0.25">
      <c r="A10" t="s">
        <v>34</v>
      </c>
      <c r="C10" t="s">
        <v>19</v>
      </c>
      <c r="D10" s="2">
        <v>1350</v>
      </c>
      <c r="E10" s="2">
        <v>0</v>
      </c>
      <c r="F10" s="2">
        <v>53850</v>
      </c>
      <c r="G10" s="2"/>
      <c r="H10" s="2">
        <v>53925</v>
      </c>
    </row>
    <row r="11" spans="1:8" x14ac:dyDescent="0.25">
      <c r="D11" s="2"/>
      <c r="E11" s="2"/>
      <c r="F11" s="2"/>
      <c r="G11" s="2"/>
      <c r="H11" s="2"/>
    </row>
    <row r="12" spans="1:8" x14ac:dyDescent="0.25">
      <c r="A12" t="s">
        <v>18</v>
      </c>
      <c r="C12" t="s">
        <v>19</v>
      </c>
      <c r="D12" s="2">
        <v>950</v>
      </c>
      <c r="E12" s="2">
        <v>0</v>
      </c>
      <c r="F12" s="2">
        <v>37584.42</v>
      </c>
      <c r="G12" s="2"/>
      <c r="H12" s="2">
        <v>37659.42</v>
      </c>
    </row>
    <row r="13" spans="1:8" x14ac:dyDescent="0.25">
      <c r="A13" t="s">
        <v>18</v>
      </c>
      <c r="C13" t="s">
        <v>19</v>
      </c>
      <c r="D13" s="2">
        <v>1500</v>
      </c>
      <c r="E13" s="2">
        <v>0</v>
      </c>
      <c r="F13" s="2">
        <v>95085.78</v>
      </c>
      <c r="G13" s="2">
        <f>SUM(F12:F13)</f>
        <v>132670.20000000001</v>
      </c>
      <c r="H13" s="2">
        <v>95160.78</v>
      </c>
    </row>
    <row r="14" spans="1:8" x14ac:dyDescent="0.25">
      <c r="D14" s="2"/>
      <c r="E14" s="2"/>
      <c r="F14" s="2"/>
      <c r="G14" s="2"/>
      <c r="H14" s="2"/>
    </row>
    <row r="15" spans="1:8" x14ac:dyDescent="0.25">
      <c r="A15" t="s">
        <v>26</v>
      </c>
      <c r="C15" t="s">
        <v>19</v>
      </c>
      <c r="D15" s="2">
        <v>1050</v>
      </c>
      <c r="E15" s="2">
        <v>0</v>
      </c>
      <c r="F15" s="2">
        <v>40564.9</v>
      </c>
      <c r="G15" s="2"/>
      <c r="H15" s="2">
        <v>40639.9</v>
      </c>
    </row>
    <row r="16" spans="1:8" ht="15.75" customHeight="1" x14ac:dyDescent="0.25">
      <c r="D16" s="2"/>
      <c r="E16" s="2"/>
      <c r="F16" s="2"/>
      <c r="G16" s="2"/>
      <c r="H16" s="2"/>
    </row>
    <row r="17" spans="1:8" x14ac:dyDescent="0.25">
      <c r="A17" t="s">
        <v>52</v>
      </c>
      <c r="C17" t="s">
        <v>30</v>
      </c>
      <c r="D17" s="2">
        <v>500</v>
      </c>
      <c r="E17" s="2">
        <v>0</v>
      </c>
      <c r="F17" s="2">
        <v>15730.75</v>
      </c>
      <c r="G17" s="2"/>
      <c r="H17" s="2">
        <v>15805.75</v>
      </c>
    </row>
    <row r="18" spans="1:8" x14ac:dyDescent="0.25">
      <c r="A18" t="s">
        <v>52</v>
      </c>
      <c r="C18" t="s">
        <v>30</v>
      </c>
      <c r="D18" s="2">
        <v>750</v>
      </c>
      <c r="E18" s="2">
        <v>0</v>
      </c>
      <c r="F18" s="2">
        <v>26907.31</v>
      </c>
      <c r="G18" s="2">
        <f>SUM(F17:F18)</f>
        <v>42638.06</v>
      </c>
      <c r="H18" s="2">
        <v>26982.31</v>
      </c>
    </row>
    <row r="19" spans="1:8" x14ac:dyDescent="0.25">
      <c r="D19" s="2"/>
      <c r="E19" s="2"/>
      <c r="F19" s="2"/>
      <c r="G19" s="2"/>
      <c r="H19" s="2"/>
    </row>
    <row r="20" spans="1:8" x14ac:dyDescent="0.25">
      <c r="A20" t="s">
        <v>78</v>
      </c>
      <c r="C20" t="s">
        <v>70</v>
      </c>
      <c r="D20" s="2">
        <v>300</v>
      </c>
      <c r="E20" s="2">
        <v>0</v>
      </c>
      <c r="F20" s="2">
        <v>10352</v>
      </c>
      <c r="G20" s="2"/>
      <c r="H20" s="2">
        <v>10427</v>
      </c>
    </row>
    <row r="21" spans="1:8" x14ac:dyDescent="0.25">
      <c r="A21" t="s">
        <v>78</v>
      </c>
      <c r="C21" t="s">
        <v>70</v>
      </c>
      <c r="D21" s="2">
        <v>500</v>
      </c>
      <c r="E21" s="2">
        <v>0</v>
      </c>
      <c r="F21" s="2">
        <v>18344.75</v>
      </c>
      <c r="G21" s="2">
        <f>SUM(F20:F21)</f>
        <v>28696.75</v>
      </c>
      <c r="H21" s="2">
        <v>18419.75</v>
      </c>
    </row>
    <row r="22" spans="1:8" x14ac:dyDescent="0.25">
      <c r="D22" s="2"/>
      <c r="E22" s="2"/>
      <c r="F22" s="2"/>
      <c r="G22" s="2"/>
      <c r="H22" s="2"/>
    </row>
    <row r="23" spans="1:8" x14ac:dyDescent="0.25">
      <c r="A23" t="s">
        <v>44</v>
      </c>
      <c r="C23" t="s">
        <v>19</v>
      </c>
      <c r="D23" s="2">
        <v>500</v>
      </c>
      <c r="E23" s="2">
        <v>0</v>
      </c>
      <c r="F23" s="2">
        <v>17785.25</v>
      </c>
      <c r="G23" s="2"/>
      <c r="H23" s="2">
        <v>17860.25</v>
      </c>
    </row>
    <row r="24" spans="1:8" x14ac:dyDescent="0.25">
      <c r="D24" s="2"/>
      <c r="E24" s="2"/>
      <c r="F24" s="2"/>
      <c r="G24" s="2"/>
      <c r="H24" s="2"/>
    </row>
    <row r="25" spans="1:8" x14ac:dyDescent="0.25">
      <c r="A25" t="s">
        <v>56</v>
      </c>
      <c r="C25" t="s">
        <v>70</v>
      </c>
      <c r="D25" s="2">
        <v>650</v>
      </c>
      <c r="E25" s="2">
        <v>0</v>
      </c>
      <c r="F25" s="2">
        <v>23355.81</v>
      </c>
      <c r="G25" s="2"/>
      <c r="H25" s="2">
        <v>23430.81</v>
      </c>
    </row>
    <row r="26" spans="1:8" x14ac:dyDescent="0.25">
      <c r="A26" t="s">
        <v>56</v>
      </c>
      <c r="C26" t="s">
        <v>30</v>
      </c>
      <c r="D26" s="2">
        <v>750</v>
      </c>
      <c r="E26" s="2">
        <v>0</v>
      </c>
      <c r="F26" s="2">
        <v>28350.06</v>
      </c>
      <c r="G26" s="2">
        <f>SUM(F25:F26)</f>
        <v>51705.87</v>
      </c>
      <c r="H26" s="2">
        <v>28425.06</v>
      </c>
    </row>
    <row r="27" spans="1:8" x14ac:dyDescent="0.25">
      <c r="D27" s="2"/>
      <c r="E27" s="2"/>
      <c r="F27" s="2"/>
      <c r="G27" s="2"/>
      <c r="H27" s="2"/>
    </row>
    <row r="28" spans="1:8" x14ac:dyDescent="0.25">
      <c r="A28" t="s">
        <v>81</v>
      </c>
      <c r="C28" t="s">
        <v>70</v>
      </c>
      <c r="D28" s="2">
        <v>1350</v>
      </c>
      <c r="E28" s="2">
        <v>0</v>
      </c>
      <c r="F28" s="2">
        <v>51401.03</v>
      </c>
      <c r="G28" s="2"/>
      <c r="H28" s="2">
        <v>51476.03</v>
      </c>
    </row>
    <row r="29" spans="1:8" x14ac:dyDescent="0.25">
      <c r="D29" s="2"/>
      <c r="E29" s="2"/>
      <c r="F29" s="2"/>
      <c r="G29" s="2"/>
      <c r="H29" s="2"/>
    </row>
    <row r="30" spans="1:8" x14ac:dyDescent="0.25">
      <c r="A30" t="s">
        <v>40</v>
      </c>
      <c r="C30" t="s">
        <v>19</v>
      </c>
      <c r="D30" s="2">
        <v>500</v>
      </c>
      <c r="E30" s="2">
        <v>0</v>
      </c>
      <c r="F30" s="2">
        <v>17959.560000000001</v>
      </c>
      <c r="G30" s="2"/>
      <c r="H30" s="2">
        <v>18034.560000000001</v>
      </c>
    </row>
    <row r="31" spans="1:8" x14ac:dyDescent="0.25">
      <c r="D31" s="2"/>
      <c r="E31" s="2"/>
      <c r="F31" s="2"/>
      <c r="G31" s="2"/>
      <c r="H31" s="2"/>
    </row>
    <row r="32" spans="1:8" x14ac:dyDescent="0.25">
      <c r="A32" t="s">
        <v>88</v>
      </c>
      <c r="C32" t="s">
        <v>70</v>
      </c>
      <c r="D32" s="2">
        <v>650</v>
      </c>
      <c r="E32" s="2">
        <v>0</v>
      </c>
      <c r="F32" s="2">
        <v>19975</v>
      </c>
      <c r="G32" s="2"/>
      <c r="H32" s="2">
        <v>20050</v>
      </c>
    </row>
    <row r="33" spans="1:8" x14ac:dyDescent="0.25">
      <c r="D33" s="2"/>
      <c r="E33" s="2"/>
      <c r="F33" s="2"/>
      <c r="G33" s="2"/>
      <c r="H33" s="2"/>
    </row>
    <row r="34" spans="1:8" x14ac:dyDescent="0.25">
      <c r="A34" t="s">
        <v>66</v>
      </c>
      <c r="C34" t="s">
        <v>19</v>
      </c>
      <c r="D34" s="2">
        <v>850</v>
      </c>
      <c r="E34" s="2">
        <v>0</v>
      </c>
      <c r="F34" s="2">
        <v>32482.54</v>
      </c>
      <c r="G34" s="2"/>
      <c r="H34" s="2">
        <v>32557.54</v>
      </c>
    </row>
    <row r="35" spans="1:8" x14ac:dyDescent="0.25">
      <c r="A35" s="10"/>
      <c r="B35" s="10"/>
      <c r="C35" s="10"/>
      <c r="D35" s="11">
        <f>SUM(D4:D34)</f>
        <v>15000</v>
      </c>
      <c r="E35" s="11">
        <f>SUM(E4:E34)</f>
        <v>0</v>
      </c>
      <c r="F35" s="11">
        <f>SUM(F4:F34)</f>
        <v>598411.04</v>
      </c>
      <c r="G35" s="11"/>
      <c r="H35" s="11">
        <f>SUM(H4:H34)</f>
        <v>599761.04</v>
      </c>
    </row>
  </sheetData>
  <mergeCells count="2">
    <mergeCell ref="A2:D2"/>
    <mergeCell ref="E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AB79-9FA4-4972-B28F-149E994C15CE}">
  <dimension ref="A1:F20"/>
  <sheetViews>
    <sheetView workbookViewId="0">
      <selection activeCell="L12" sqref="L12"/>
    </sheetView>
  </sheetViews>
  <sheetFormatPr defaultRowHeight="15" x14ac:dyDescent="0.25"/>
  <sheetData>
    <row r="1" spans="1:6" x14ac:dyDescent="0.25">
      <c r="D1" s="4"/>
      <c r="F1" s="4">
        <v>45918.999988425923</v>
      </c>
    </row>
    <row r="2" spans="1:6" x14ac:dyDescent="0.25">
      <c r="A2" s="8" t="s">
        <v>0</v>
      </c>
      <c r="B2" s="6"/>
      <c r="C2" s="6"/>
      <c r="D2" s="9" t="s">
        <v>115</v>
      </c>
      <c r="E2" s="6"/>
      <c r="F2" s="6"/>
    </row>
    <row r="3" spans="1:6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x14ac:dyDescent="0.25">
      <c r="A4" t="s">
        <v>37</v>
      </c>
      <c r="B4" t="s">
        <v>38</v>
      </c>
      <c r="C4" t="s">
        <v>39</v>
      </c>
      <c r="E4" t="s">
        <v>40</v>
      </c>
    </row>
    <row r="5" spans="1:6" x14ac:dyDescent="0.25">
      <c r="A5" s="10"/>
      <c r="B5" s="10"/>
      <c r="C5" s="10" t="s">
        <v>116</v>
      </c>
      <c r="D5" s="10"/>
      <c r="E5" s="10"/>
      <c r="F5" s="10"/>
    </row>
    <row r="10" spans="1:6" x14ac:dyDescent="0.25">
      <c r="A10" t="s">
        <v>117</v>
      </c>
      <c r="B10" s="12"/>
      <c r="C10" s="12"/>
      <c r="D10" s="12"/>
    </row>
    <row r="15" spans="1:6" x14ac:dyDescent="0.25">
      <c r="A15" t="s">
        <v>118</v>
      </c>
      <c r="B15" s="12"/>
      <c r="C15" s="12"/>
      <c r="D15" s="12"/>
    </row>
    <row r="20" spans="1:3" x14ac:dyDescent="0.25">
      <c r="A20" t="s">
        <v>119</v>
      </c>
      <c r="B20" s="12"/>
      <c r="C20" s="12"/>
    </row>
  </sheetData>
  <mergeCells count="2">
    <mergeCell ref="A2:C2"/>
    <mergeCell ref="D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2025-09-18T19:14:54Z</cp:lastPrinted>
  <dcterms:created xsi:type="dcterms:W3CDTF">2025-09-18T18:47:22Z</dcterms:created>
  <dcterms:modified xsi:type="dcterms:W3CDTF">2025-09-18T19:31:20Z</dcterms:modified>
</cp:coreProperties>
</file>