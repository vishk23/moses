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arlene\"/>
    </mc:Choice>
  </mc:AlternateContent>
  <xr:revisionPtr revIDLastSave="0" documentId="8_{764F8D9E-5453-43AC-BB54-5D12957382AC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Funding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L10" i="1"/>
  <c r="K10" i="1"/>
  <c r="J10" i="1"/>
</calcChain>
</file>

<file path=xl/sharedStrings.xml><?xml version="1.0" encoding="utf-8"?>
<sst xmlns="http://schemas.openxmlformats.org/spreadsheetml/2006/main" count="74" uniqueCount="48">
  <si>
    <t>Bristol County Savings Bank</t>
  </si>
  <si>
    <t>Funding worksheet</t>
  </si>
  <si>
    <t>To</t>
  </si>
  <si>
    <t>From</t>
  </si>
  <si>
    <t>Application Number</t>
  </si>
  <si>
    <t>Application Date</t>
  </si>
  <si>
    <t>Application Status</t>
  </si>
  <si>
    <t>Applicant Name</t>
  </si>
  <si>
    <t>Co-Applicant Name</t>
  </si>
  <si>
    <t>Portal</t>
  </si>
  <si>
    <t>Dealer Name</t>
  </si>
  <si>
    <t>Effective Fund Date</t>
  </si>
  <si>
    <t>Funded by</t>
  </si>
  <si>
    <t>Dealer Flat</t>
  </si>
  <si>
    <t>Dealer Split</t>
  </si>
  <si>
    <t>Net to Dealer</t>
  </si>
  <si>
    <t>Contracted Amount Financed (Funding)</t>
  </si>
  <si>
    <t>Business Name</t>
  </si>
  <si>
    <t>X V S I</t>
  </si>
  <si>
    <t>X Contract Type</t>
  </si>
  <si>
    <t>X Account Number Funding Applicant</t>
  </si>
  <si>
    <t>X Contract Type 1</t>
  </si>
  <si>
    <t>X Account Number Funding Co Applicant</t>
  </si>
  <si>
    <t>Submitted</t>
  </si>
  <si>
    <t>BEAULIEU, MARISSA</t>
  </si>
  <si>
    <t>Route One</t>
  </si>
  <si>
    <t>Wareham Ford</t>
  </si>
  <si>
    <t>Marlene Braganca</t>
  </si>
  <si>
    <t>75</t>
  </si>
  <si>
    <t>E Contract</t>
  </si>
  <si>
    <t>151152768</t>
  </si>
  <si>
    <t>harkin, kim</t>
  </si>
  <si>
    <t>Alden Buick Pontiac GMC</t>
  </si>
  <si>
    <t>151152750</t>
  </si>
  <si>
    <t>Storer, James</t>
  </si>
  <si>
    <t>Mathieu Ford Sales, Inc</t>
  </si>
  <si>
    <t>151152825</t>
  </si>
  <si>
    <t>OMALLEY, STEPHEN</t>
  </si>
  <si>
    <t>OMALLEY, KELLY</t>
  </si>
  <si>
    <t>151152776</t>
  </si>
  <si>
    <t>DUFROMONT, KERRY</t>
  </si>
  <si>
    <t>T F Murphy Enterprises Inc</t>
  </si>
  <si>
    <t>Neli Oliveira</t>
  </si>
  <si>
    <t>151152809</t>
  </si>
  <si>
    <t>BLODGETT, ARIEL</t>
  </si>
  <si>
    <t>151152833</t>
  </si>
  <si>
    <t>Total</t>
  </si>
  <si>
    <t>#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</si>
</sst>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S10">
  <tableColumns count="19">
    <tableColumn id="1" xr3:uid="{00000000-0010-0000-0000-000001000000}" name="Application Number"/>
    <tableColumn id="2" xr3:uid="{00000000-0010-0000-0000-000002000000}" name="Application Date"/>
    <tableColumn id="3" xr3:uid="{00000000-0010-0000-0000-000003000000}" name="Application Status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Portal"/>
    <tableColumn id="7" xr3:uid="{00000000-0010-0000-0000-000007000000}" name="Dealer Name"/>
    <tableColumn id="8" xr3:uid="{00000000-0010-0000-0000-000008000000}" name="Effective Fund Date"/>
    <tableColumn id="9" xr3:uid="{00000000-0010-0000-0000-000009000000}" name="Funded by"/>
    <tableColumn id="10" xr3:uid="{00000000-0010-0000-0000-00000A000000}" name="Dealer Flat"/>
    <tableColumn id="11" xr3:uid="{00000000-0010-0000-0000-00000B000000}" name="Dealer Split"/>
    <tableColumn id="12" xr3:uid="{00000000-0010-0000-0000-00000C000000}" name="Net to Dealer"/>
    <tableColumn id="13" xr3:uid="{00000000-0010-0000-0000-00000D000000}" name="Contracted Amount Financed (Funding)"/>
    <tableColumn id="14" xr3:uid="{00000000-0010-0000-0000-00000E000000}" name="Business Name"/>
    <tableColumn id="15" xr3:uid="{00000000-0010-0000-0000-00000F000000}" name="X V S I"/>
    <tableColumn id="16" xr3:uid="{00000000-0010-0000-0000-000010000000}" name="X Contract Type"/>
    <tableColumn id="17" xr3:uid="{00000000-0010-0000-0000-000011000000}" name="X Account Number Funding Applicant"/>
    <tableColumn id="18" xr3:uid="{00000000-0010-0000-0000-000012000000}" name="X Contract Type 1"/>
    <tableColumn id="19" xr3:uid="{00000000-0010-0000-0000-000013000000}" name="X Account Number Funding Co Applica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19.28515625" bestFit="1" customWidth="1"/>
    <col min="2" max="2" width="18" bestFit="1" customWidth="1"/>
    <col min="3" max="3" width="17.7109375" bestFit="1" customWidth="1"/>
    <col min="4" max="4" width="20.28515625" bestFit="1" customWidth="1"/>
    <col min="5" max="5" width="18.7109375" bestFit="1" customWidth="1"/>
    <col min="6" max="6" width="10.7109375" bestFit="1" customWidth="1"/>
    <col min="7" max="7" width="25.5703125" bestFit="1" customWidth="1"/>
    <col min="8" max="8" width="19.140625" bestFit="1" customWidth="1"/>
    <col min="9" max="9" width="17.7109375" bestFit="1" customWidth="1"/>
    <col min="10" max="10" width="11.140625" bestFit="1" customWidth="1"/>
    <col min="11" max="11" width="11.7109375" bestFit="1" customWidth="1"/>
    <col min="12" max="12" width="13.28515625" bestFit="1" customWidth="1"/>
    <col min="13" max="13" width="37.28515625" bestFit="1" customWidth="1"/>
    <col min="14" max="14" width="15.140625" bestFit="1" customWidth="1"/>
    <col min="15" max="15" width="7" bestFit="1" customWidth="1"/>
    <col min="16" max="16" width="15.85546875" bestFit="1" customWidth="1"/>
    <col min="17" max="17" width="35.42578125" bestFit="1" customWidth="1"/>
    <col min="18" max="18" width="17.5703125" bestFit="1" customWidth="1"/>
    <col min="19" max="19" width="38.42578125" bestFit="1" customWidth="1"/>
  </cols>
  <sheetData>
    <row r="1" spans="1:19" x14ac:dyDescent="0.25">
      <c r="P1" t="s">
        <v>3</v>
      </c>
      <c r="Q1" s="4">
        <v>45717</v>
      </c>
      <c r="R1" t="s">
        <v>2</v>
      </c>
      <c r="S1" s="4">
        <v>45717.999988425923</v>
      </c>
    </row>
    <row r="2" spans="1:19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7" t="s">
        <v>1</v>
      </c>
      <c r="K2" s="6"/>
      <c r="L2" s="6"/>
      <c r="M2" s="6"/>
      <c r="N2" s="6"/>
      <c r="O2" s="6"/>
      <c r="P2" s="6"/>
      <c r="Q2" s="6"/>
      <c r="R2" s="6"/>
      <c r="S2" s="6"/>
    </row>
    <row r="3" spans="1:19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</row>
    <row r="4" spans="1:19" x14ac:dyDescent="0.25">
      <c r="A4">
        <v>126519</v>
      </c>
      <c r="B4" s="4">
        <v>45710.557205983794</v>
      </c>
      <c r="C4" t="s">
        <v>23</v>
      </c>
      <c r="D4" t="s">
        <v>24</v>
      </c>
      <c r="F4" t="s">
        <v>25</v>
      </c>
      <c r="G4" t="s">
        <v>26</v>
      </c>
      <c r="I4" t="s">
        <v>27</v>
      </c>
      <c r="J4" s="2">
        <v>625</v>
      </c>
      <c r="K4" s="2">
        <v>0</v>
      </c>
      <c r="L4" s="2">
        <v>29792.34</v>
      </c>
      <c r="M4" s="2">
        <v>29867.34</v>
      </c>
      <c r="O4" t="s">
        <v>28</v>
      </c>
      <c r="P4" t="s">
        <v>29</v>
      </c>
      <c r="Q4" t="s">
        <v>30</v>
      </c>
    </row>
    <row r="5" spans="1:19" x14ac:dyDescent="0.25">
      <c r="A5">
        <v>126672</v>
      </c>
      <c r="B5" s="4">
        <v>45716.428259143519</v>
      </c>
      <c r="C5" t="s">
        <v>23</v>
      </c>
      <c r="D5" t="s">
        <v>31</v>
      </c>
      <c r="F5" t="s">
        <v>25</v>
      </c>
      <c r="G5" t="s">
        <v>32</v>
      </c>
      <c r="I5" t="s">
        <v>27</v>
      </c>
      <c r="J5" s="2">
        <v>1000</v>
      </c>
      <c r="K5" s="2">
        <v>0</v>
      </c>
      <c r="L5" s="2">
        <v>47004.31</v>
      </c>
      <c r="M5" s="2">
        <v>47079.31</v>
      </c>
      <c r="O5" t="s">
        <v>28</v>
      </c>
      <c r="P5" t="s">
        <v>29</v>
      </c>
      <c r="Q5" t="s">
        <v>33</v>
      </c>
    </row>
    <row r="6" spans="1:19" x14ac:dyDescent="0.25">
      <c r="A6">
        <v>126685</v>
      </c>
      <c r="B6" s="4">
        <v>45716.583715046298</v>
      </c>
      <c r="C6" t="s">
        <v>23</v>
      </c>
      <c r="D6" t="s">
        <v>34</v>
      </c>
      <c r="F6" t="s">
        <v>25</v>
      </c>
      <c r="G6" t="s">
        <v>35</v>
      </c>
      <c r="I6" t="s">
        <v>27</v>
      </c>
      <c r="J6" s="2">
        <v>625</v>
      </c>
      <c r="K6" s="2">
        <v>0</v>
      </c>
      <c r="L6" s="2">
        <v>29236.94</v>
      </c>
      <c r="M6" s="2">
        <v>29311.94</v>
      </c>
      <c r="O6" t="s">
        <v>28</v>
      </c>
      <c r="P6" t="s">
        <v>29</v>
      </c>
      <c r="Q6" t="s">
        <v>36</v>
      </c>
    </row>
    <row r="7" spans="1:19" x14ac:dyDescent="0.25">
      <c r="A7">
        <v>126686</v>
      </c>
      <c r="B7" s="4">
        <v>45716.584598460649</v>
      </c>
      <c r="C7" t="s">
        <v>23</v>
      </c>
      <c r="D7" t="s">
        <v>37</v>
      </c>
      <c r="E7" t="s">
        <v>38</v>
      </c>
      <c r="F7" t="s">
        <v>25</v>
      </c>
      <c r="G7" t="s">
        <v>32</v>
      </c>
      <c r="I7" t="s">
        <v>27</v>
      </c>
      <c r="J7" s="2">
        <v>875</v>
      </c>
      <c r="K7" s="2">
        <v>0</v>
      </c>
      <c r="L7" s="2">
        <v>41298.94</v>
      </c>
      <c r="M7" s="2">
        <v>41373.94</v>
      </c>
      <c r="O7" t="s">
        <v>28</v>
      </c>
      <c r="P7" t="s">
        <v>29</v>
      </c>
      <c r="Q7" t="s">
        <v>39</v>
      </c>
    </row>
    <row r="8" spans="1:19" x14ac:dyDescent="0.25">
      <c r="A8">
        <v>126699</v>
      </c>
      <c r="B8" s="4">
        <v>45716.731098495373</v>
      </c>
      <c r="C8" t="s">
        <v>23</v>
      </c>
      <c r="D8" t="s">
        <v>40</v>
      </c>
      <c r="F8" t="s">
        <v>25</v>
      </c>
      <c r="G8" t="s">
        <v>41</v>
      </c>
      <c r="I8" t="s">
        <v>42</v>
      </c>
      <c r="J8" s="2">
        <v>825</v>
      </c>
      <c r="K8" s="2">
        <v>0</v>
      </c>
      <c r="L8" s="2">
        <v>37186.94</v>
      </c>
      <c r="M8" s="2">
        <v>37261.94</v>
      </c>
      <c r="O8" t="s">
        <v>28</v>
      </c>
      <c r="P8" t="s">
        <v>29</v>
      </c>
      <c r="Q8" t="s">
        <v>43</v>
      </c>
    </row>
    <row r="9" spans="1:19" x14ac:dyDescent="0.25">
      <c r="A9">
        <v>126711</v>
      </c>
      <c r="B9" s="4">
        <v>45717.468790474537</v>
      </c>
      <c r="C9" t="s">
        <v>23</v>
      </c>
      <c r="D9" t="s">
        <v>44</v>
      </c>
      <c r="F9" t="s">
        <v>25</v>
      </c>
      <c r="G9" t="s">
        <v>35</v>
      </c>
      <c r="I9" t="s">
        <v>27</v>
      </c>
      <c r="J9" s="2">
        <v>250</v>
      </c>
      <c r="K9" s="2">
        <v>0</v>
      </c>
      <c r="L9" s="2">
        <v>13663.19</v>
      </c>
      <c r="M9" s="2">
        <v>13738.19</v>
      </c>
      <c r="O9" t="s">
        <v>28</v>
      </c>
      <c r="P9" t="s">
        <v>29</v>
      </c>
      <c r="Q9" t="s">
        <v>45</v>
      </c>
    </row>
    <row r="10" spans="1:19" x14ac:dyDescent="0.25">
      <c r="A10" s="1" t="s">
        <v>46</v>
      </c>
      <c r="B10" s="1"/>
      <c r="C10" s="1"/>
      <c r="D10" s="1" t="s">
        <v>47</v>
      </c>
      <c r="E10" s="1"/>
      <c r="F10" s="1"/>
      <c r="G10" s="1"/>
      <c r="H10" s="1"/>
      <c r="I10" s="1"/>
      <c r="J10" s="3">
        <f>SUM(J4:J9)</f>
        <v>4200</v>
      </c>
      <c r="K10" s="3">
        <f>SUM(K4:K9)</f>
        <v>0</v>
      </c>
      <c r="L10" s="3">
        <f>SUM(L4:L9)</f>
        <v>198182.66</v>
      </c>
      <c r="M10" s="3">
        <f>SUM(M4:M9)</f>
        <v>198632.66</v>
      </c>
      <c r="N10" s="1"/>
      <c r="O10" s="1"/>
      <c r="P10" s="1"/>
      <c r="Q10" s="1"/>
      <c r="R10" s="1"/>
      <c r="S10" s="1"/>
    </row>
  </sheetData>
  <mergeCells count="2">
    <mergeCell ref="A2:I2"/>
    <mergeCell ref="J2:S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dcterms:created xsi:type="dcterms:W3CDTF">2025-03-01T18:26:43Z</dcterms:created>
  <dcterms:modified xsi:type="dcterms:W3CDTF">2025-03-03T19:32:18Z</dcterms:modified>
</cp:coreProperties>
</file>