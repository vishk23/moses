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0D5043A2-D6BE-4E51-9D48-784388263950}" xr6:coauthVersionLast="47" xr6:coauthVersionMax="47" xr10:uidLastSave="{00000000-0000-0000-0000-000000000000}"/>
  <bookViews>
    <workbookView xWindow="30600" yWindow="150" windowWidth="19770" windowHeight="1489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F16" i="2"/>
  <c r="E16" i="2"/>
  <c r="D16" i="2"/>
  <c r="H10" i="1" l="1"/>
</calcChain>
</file>

<file path=xl/sharedStrings.xml><?xml version="1.0" encoding="utf-8"?>
<sst xmlns="http://schemas.openxmlformats.org/spreadsheetml/2006/main" count="106" uniqueCount="65">
  <si>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</si>
  <si>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</si>
  <si>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</si>
  <si>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</si>
  <si>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</si>
  <si>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</si>
  <si>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</si>
  <si>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</si>
  <si>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</si>
  <si>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</si>
  <si>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</si>
  <si>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</si>
  <si>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</si>
  <si>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Business Name</t>
  </si>
  <si>
    <t>DealerTrack</t>
  </si>
  <si>
    <t>E Contract</t>
  </si>
  <si>
    <t>GRACE, CLAIRE</t>
  </si>
  <si>
    <t>Planet Subaru</t>
  </si>
  <si>
    <t>Rachel Gorham</t>
  </si>
  <si>
    <t>CLAIREIGRACE@GMAIL.COM</t>
  </si>
  <si>
    <t>NORMAN</t>
  </si>
  <si>
    <t>BUTLER-FEURTADO, ALISON</t>
  </si>
  <si>
    <t>Coastal Volkswagon</t>
  </si>
  <si>
    <t>Neli Oliveira</t>
  </si>
  <si>
    <t>MOONBABYAFB@AOL.COM</t>
  </si>
  <si>
    <t>RYAN</t>
  </si>
  <si>
    <t>151143642</t>
  </si>
  <si>
    <t>Paper</t>
  </si>
  <si>
    <t>MELLO, CHRISTOPHER</t>
  </si>
  <si>
    <t>Volvo of Tiverton</t>
  </si>
  <si>
    <t>CMELLO43@GMAIL.COM</t>
  </si>
  <si>
    <t>FORTIN</t>
  </si>
  <si>
    <t>151143759</t>
  </si>
  <si>
    <t>AVELLANI, CAMERON</t>
  </si>
  <si>
    <t>S&amp;E Auto Services and Sales Inc</t>
  </si>
  <si>
    <t>CAMAVELLANI@GMAIL.COM</t>
  </si>
  <si>
    <t>LYONS</t>
  </si>
  <si>
    <t>Route One</t>
  </si>
  <si>
    <t>DOMINGUEZ, JUAN</t>
  </si>
  <si>
    <t>Herb Chambers Lexus of Hingham</t>
  </si>
  <si>
    <t>MRPINK350@GMAIL.COM</t>
  </si>
  <si>
    <t>CRUZ</t>
  </si>
  <si>
    <t>VADOKLIS, VILMA</t>
  </si>
  <si>
    <t>T F Murphy Enterprises Inc</t>
  </si>
  <si>
    <t>VILMAVADOKLIS@GMAIL.COM</t>
  </si>
  <si>
    <t>VAICIUNAITE</t>
  </si>
  <si>
    <t>VILMA VADOKLIS INC</t>
  </si>
  <si>
    <t># 6</t>
  </si>
  <si>
    <t>151143600 E</t>
  </si>
  <si>
    <t>151143634 E</t>
  </si>
  <si>
    <t>151143816 E</t>
  </si>
  <si>
    <t>151143824 E</t>
  </si>
  <si>
    <t>Funding Worksheet - Signoff Version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</si>
  <si>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</si>
  <si>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</si>
  <si>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</si>
  <si>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</si>
  <si>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</si>
  <si>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</si>
  <si>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</si>
  <si>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# 2</t>
  </si>
  <si>
    <t>Original Notes Delivered</t>
  </si>
  <si>
    <t>Delivered by:</t>
  </si>
  <si>
    <t>Received by;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</si>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</sst>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9" formatCode="[$-F800]dddd\,\ mmmm\ dd\,\ yyyy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7" fontId="5" fillId="0" borderId="0" xfId="0" applyNumberFormat="1" applyFont="1"/>
    <xf numFmtId="0" fontId="4" fillId="0" borderId="0" xfId="0" applyFont="1"/>
    <xf numFmtId="7" fontId="4" fillId="0" borderId="0" xfId="0" applyNumberFormat="1" applyFont="1"/>
    <xf numFmtId="0" fontId="2" fillId="0" borderId="0" xfId="0" applyFont="1"/>
    <xf numFmtId="0" fontId="0" fillId="0" borderId="1" xfId="0" applyBorder="1"/>
    <xf numFmtId="169" fontId="3" fillId="0" borderId="0" xfId="0" applyNumberFormat="1" applyFont="1" applyAlignment="1"/>
    <xf numFmtId="169" fontId="0" fillId="0" borderId="0" xfId="0" applyNumberFormat="1" applyAlignment="1"/>
  </cellXfs>
  <cellStyles count="1">
    <cellStyle name="Normal" xfId="0" builtinId="0"/>
  </cellStyles>
  <dxfs count="25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10" headerRowDxfId="2" dataDxfId="0" totalsRowDxfId="1">
  <tableColumns count="11">
    <tableColumn id="1" xr3:uid="{00000000-0010-0000-0000-000001000000}" name="Account Number" dataDxfId="13"/>
    <tableColumn id="2" xr3:uid="{00000000-0010-0000-0000-000002000000}" name="Portal" dataDxfId="12"/>
    <tableColumn id="3" xr3:uid="{00000000-0010-0000-0000-000003000000}" name="Contract Type" dataDxfId="11"/>
    <tableColumn id="4" xr3:uid="{00000000-0010-0000-0000-000004000000}" name="Applicant Name" dataDxfId="10"/>
    <tableColumn id="5" xr3:uid="{00000000-0010-0000-0000-000005000000}" name="Co-Applicant Name" dataDxfId="9"/>
    <tableColumn id="6" xr3:uid="{00000000-0010-0000-0000-000006000000}" name="Dealer Name" dataDxfId="8"/>
    <tableColumn id="7" xr3:uid="{00000000-0010-0000-0000-000007000000}" name="Funded by" dataDxfId="7"/>
    <tableColumn id="8" xr3:uid="{00000000-0010-0000-0000-000008000000}" name="Amount Financed" dataDxfId="6"/>
    <tableColumn id="9" xr3:uid="{00000000-0010-0000-0000-000009000000}" name="Applicant Email" dataDxfId="5"/>
    <tableColumn id="10" xr3:uid="{00000000-0010-0000-0000-00000A000000}" name="Co-Applicant Email" dataDxfId="4"/>
    <tableColumn id="11" xr3:uid="{00000000-0010-0000-0000-00000B000000}" name="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BEDF1F-98A7-4E72-B404-50AF2F053663}" name="Table_14" displayName="Table_14" ref="A3:H16" headerRowDxfId="16" dataDxfId="14" totalsRowDxfId="15">
  <tableColumns count="8">
    <tableColumn id="1" xr3:uid="{035C355A-DF31-4FA2-BC62-E9018103B6D9}" name="Dealer Name" dataDxfId="24"/>
    <tableColumn id="8" xr3:uid="{278B9F64-CDD6-451E-BB63-18D344231ACA}" name="Column2" dataDxfId="23"/>
    <tableColumn id="2" xr3:uid="{29654DEE-8A27-4167-A219-099A02496FC6}" name="Funded by" dataDxfId="22"/>
    <tableColumn id="3" xr3:uid="{E383F0FE-8382-41AD-884D-CE7C65D83753}" name="Dealer Flat" dataDxfId="21"/>
    <tableColumn id="4" xr3:uid="{41D05B84-69AF-4E8E-8AFC-5A036C02E7B1}" name="Dealer Split" dataDxfId="20"/>
    <tableColumn id="5" xr3:uid="{448AAB06-B344-420F-90BC-BF14E7539DF7}" name="Net to Dealer" dataDxfId="19"/>
    <tableColumn id="7" xr3:uid="{707190A2-8938-4DC3-B7AF-BE7E13D32B0E}" name="Column1" dataDxfId="18"/>
    <tableColumn id="6" xr3:uid="{0E80BE58-B403-4D2E-B32E-18C7233BE9D3}" name="Contracted Amount Financed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52B094-D26D-4960-9BE8-B981CADD9D1C}" name="Table_13" displayName="Table_13" ref="A3:F6">
  <tableColumns count="6">
    <tableColumn id="1" xr3:uid="{0092ABA0-D8CE-4719-BDFC-4E81A4AC78E0}" name="Account Number"/>
    <tableColumn id="2" xr3:uid="{18AE9FF9-C5CF-48FC-AF6E-0408F944D01C}" name="Contract Type"/>
    <tableColumn id="3" xr3:uid="{524D78A3-81B6-44C3-A7A5-4D595F6A7F80}" name="Applicant Name"/>
    <tableColumn id="4" xr3:uid="{6051B1AA-3A62-494B-BDB2-511B23325639}" name="Co-Applicant Name"/>
    <tableColumn id="5" xr3:uid="{04339800-118C-4DD2-B502-C88778CDF200}" name="Dealer Name"/>
    <tableColumn id="6" xr3:uid="{DF6A4C8D-3CFA-4247-8FDE-F5014B31A4EE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abSelected="1" workbookViewId="0">
      <pane ySplit="3" topLeftCell="A4" activePane="bottomLeft" state="frozen"/>
      <selection pane="bottomLeft" activeCell="B15" sqref="B15"/>
    </sheetView>
  </sheetViews>
  <sheetFormatPr defaultRowHeight="15.75" x14ac:dyDescent="0.25"/>
  <cols>
    <col min="1" max="1" width="13.42578125" style="6" customWidth="1"/>
    <col min="2" max="2" width="12.140625" style="6" bestFit="1" customWidth="1"/>
    <col min="3" max="3" width="14" style="6" bestFit="1" customWidth="1"/>
    <col min="4" max="4" width="25.5703125" style="6" customWidth="1"/>
    <col min="5" max="5" width="22" style="6" customWidth="1"/>
    <col min="6" max="6" width="32.5703125" style="6" bestFit="1" customWidth="1"/>
    <col min="7" max="7" width="15.140625" style="6" bestFit="1" customWidth="1"/>
    <col min="8" max="8" width="17.140625" style="6" bestFit="1" customWidth="1"/>
    <col min="9" max="9" width="28.5703125" style="6" bestFit="1" customWidth="1"/>
    <col min="10" max="10" width="5.7109375" style="6" customWidth="1"/>
    <col min="11" max="11" width="16.7109375" style="6" bestFit="1" customWidth="1"/>
    <col min="12" max="16384" width="9.140625" style="6"/>
  </cols>
  <sheetData>
    <row r="1" spans="1:11" ht="35.25" customHeight="1" x14ac:dyDescent="0.25">
      <c r="I1" s="17">
        <v>45687</v>
      </c>
      <c r="J1" s="18"/>
      <c r="K1" s="18"/>
    </row>
    <row r="2" spans="1:11" ht="33" customHeight="1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</row>
    <row r="3" spans="1:11" ht="33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spans="1:11" ht="33" customHeight="1" x14ac:dyDescent="0.25">
      <c r="A4" s="6" t="s">
        <v>48</v>
      </c>
      <c r="B4" s="6" t="s">
        <v>14</v>
      </c>
      <c r="C4" s="6" t="s">
        <v>15</v>
      </c>
      <c r="D4" s="6" t="s">
        <v>16</v>
      </c>
      <c r="F4" s="6" t="s">
        <v>17</v>
      </c>
      <c r="G4" s="6" t="s">
        <v>18</v>
      </c>
      <c r="H4" s="11">
        <v>22849.5</v>
      </c>
      <c r="I4" s="6" t="s">
        <v>19</v>
      </c>
      <c r="K4" s="6" t="s">
        <v>20</v>
      </c>
    </row>
    <row r="5" spans="1:11" ht="33" customHeight="1" x14ac:dyDescent="0.25">
      <c r="A5" s="6" t="s">
        <v>49</v>
      </c>
      <c r="B5" s="6" t="s">
        <v>14</v>
      </c>
      <c r="C5" s="6" t="s">
        <v>15</v>
      </c>
      <c r="D5" s="6" t="s">
        <v>21</v>
      </c>
      <c r="F5" s="6" t="s">
        <v>22</v>
      </c>
      <c r="G5" s="6" t="s">
        <v>23</v>
      </c>
      <c r="H5" s="11">
        <v>20613.63</v>
      </c>
      <c r="I5" s="6" t="s">
        <v>24</v>
      </c>
      <c r="K5" s="6" t="s">
        <v>25</v>
      </c>
    </row>
    <row r="6" spans="1:11" ht="33" customHeight="1" x14ac:dyDescent="0.25">
      <c r="A6" s="6" t="s">
        <v>26</v>
      </c>
      <c r="B6" s="6" t="s">
        <v>14</v>
      </c>
      <c r="C6" s="6" t="s">
        <v>27</v>
      </c>
      <c r="D6" s="6" t="s">
        <v>28</v>
      </c>
      <c r="F6" s="6" t="s">
        <v>29</v>
      </c>
      <c r="G6" s="6" t="s">
        <v>23</v>
      </c>
      <c r="H6" s="11">
        <v>30885.88</v>
      </c>
      <c r="I6" s="6" t="s">
        <v>30</v>
      </c>
      <c r="K6" s="6" t="s">
        <v>31</v>
      </c>
    </row>
    <row r="7" spans="1:11" ht="33" customHeight="1" x14ac:dyDescent="0.25">
      <c r="A7" s="6" t="s">
        <v>32</v>
      </c>
      <c r="B7" s="6" t="s">
        <v>14</v>
      </c>
      <c r="C7" s="6" t="s">
        <v>27</v>
      </c>
      <c r="D7" s="6" t="s">
        <v>33</v>
      </c>
      <c r="F7" s="6" t="s">
        <v>34</v>
      </c>
      <c r="G7" s="6" t="s">
        <v>18</v>
      </c>
      <c r="H7" s="11">
        <v>19054.560000000001</v>
      </c>
      <c r="I7" s="6" t="s">
        <v>35</v>
      </c>
      <c r="K7" s="6" t="s">
        <v>36</v>
      </c>
    </row>
    <row r="8" spans="1:11" ht="33" customHeight="1" x14ac:dyDescent="0.25">
      <c r="A8" s="6" t="s">
        <v>50</v>
      </c>
      <c r="B8" s="6" t="s">
        <v>37</v>
      </c>
      <c r="C8" s="6" t="s">
        <v>15</v>
      </c>
      <c r="D8" s="6" t="s">
        <v>38</v>
      </c>
      <c r="F8" s="6" t="s">
        <v>39</v>
      </c>
      <c r="G8" s="6" t="s">
        <v>23</v>
      </c>
      <c r="H8" s="11">
        <v>25127</v>
      </c>
      <c r="I8" s="6" t="s">
        <v>40</v>
      </c>
      <c r="K8" s="6" t="s">
        <v>41</v>
      </c>
    </row>
    <row r="9" spans="1:11" ht="33" customHeight="1" x14ac:dyDescent="0.25">
      <c r="A9" s="6" t="s">
        <v>51</v>
      </c>
      <c r="B9" s="6" t="s">
        <v>37</v>
      </c>
      <c r="C9" s="6" t="s">
        <v>15</v>
      </c>
      <c r="D9" s="6" t="s">
        <v>42</v>
      </c>
      <c r="E9" s="6" t="s">
        <v>46</v>
      </c>
      <c r="F9" s="6" t="s">
        <v>43</v>
      </c>
      <c r="G9" s="6" t="s">
        <v>18</v>
      </c>
      <c r="H9" s="11">
        <v>48057.88</v>
      </c>
      <c r="I9" s="6" t="s">
        <v>44</v>
      </c>
      <c r="K9" s="6" t="s">
        <v>45</v>
      </c>
    </row>
    <row r="10" spans="1:11" ht="33" customHeight="1" x14ac:dyDescent="0.25">
      <c r="A10" s="13"/>
      <c r="B10" s="13"/>
      <c r="C10" s="13"/>
      <c r="D10" s="13" t="s">
        <v>47</v>
      </c>
      <c r="E10" s="13"/>
      <c r="F10" s="13"/>
      <c r="G10" s="13"/>
      <c r="H10" s="14">
        <f>SUM(H4:H9)</f>
        <v>166588.45000000001</v>
      </c>
      <c r="I10" s="13"/>
      <c r="J10" s="13"/>
      <c r="K10" s="13"/>
    </row>
    <row r="11" spans="1:11" ht="33" customHeight="1" x14ac:dyDescent="0.25"/>
  </sheetData>
  <mergeCells count="3">
    <mergeCell ref="A2:F2"/>
    <mergeCell ref="G2:K2"/>
    <mergeCell ref="I1:K1"/>
  </mergeCells>
  <pageMargins left="0.7" right="0.45" top="0.75" bottom="0.75" header="0.3" footer="0.3"/>
  <pageSetup paperSize="5" scale="8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7982-AC8A-46EF-B16F-5F6349FE1E70}">
  <sheetPr>
    <pageSetUpPr fitToPage="1"/>
  </sheetPr>
  <dimension ref="A1:H16"/>
  <sheetViews>
    <sheetView workbookViewId="0">
      <selection activeCell="A21" sqref="A21"/>
    </sheetView>
  </sheetViews>
  <sheetFormatPr defaultRowHeight="15.75" x14ac:dyDescent="0.25"/>
  <cols>
    <col min="1" max="1" width="20.42578125" style="6" customWidth="1"/>
    <col min="2" max="2" width="10.28515625" style="6" customWidth="1"/>
    <col min="3" max="3" width="20.85546875" style="6" customWidth="1"/>
    <col min="4" max="4" width="17" style="6" customWidth="1"/>
    <col min="5" max="5" width="22.140625" style="6" customWidth="1"/>
    <col min="6" max="6" width="18.7109375" style="6" customWidth="1"/>
    <col min="7" max="7" width="22.140625" style="6" customWidth="1"/>
    <col min="8" max="8" width="25.7109375" style="6" customWidth="1"/>
    <col min="9" max="16384" width="9.140625" style="6"/>
  </cols>
  <sheetData>
    <row r="1" spans="1:8" x14ac:dyDescent="0.25">
      <c r="E1" s="7"/>
      <c r="H1" s="7">
        <v>45687.999988425923</v>
      </c>
    </row>
    <row r="2" spans="1:8" x14ac:dyDescent="0.25">
      <c r="A2" s="8" t="s">
        <v>0</v>
      </c>
      <c r="B2" s="8"/>
      <c r="C2" s="9"/>
      <c r="D2" s="9"/>
      <c r="E2" s="10" t="s">
        <v>53</v>
      </c>
      <c r="F2" s="9"/>
      <c r="G2" s="9"/>
      <c r="H2" s="9"/>
    </row>
    <row r="3" spans="1:8" x14ac:dyDescent="0.25">
      <c r="A3" s="6" t="s">
        <v>7</v>
      </c>
      <c r="B3" s="6" t="s">
        <v>59</v>
      </c>
      <c r="C3" s="6" t="s">
        <v>8</v>
      </c>
      <c r="D3" s="6" t="s">
        <v>54</v>
      </c>
      <c r="E3" s="6" t="s">
        <v>55</v>
      </c>
      <c r="F3" s="6" t="s">
        <v>56</v>
      </c>
      <c r="G3" s="6" t="s">
        <v>58</v>
      </c>
      <c r="H3" s="6" t="s">
        <v>57</v>
      </c>
    </row>
    <row r="4" spans="1:8" ht="24.95" customHeight="1" x14ac:dyDescent="0.25">
      <c r="A4" s="6" t="s">
        <v>22</v>
      </c>
      <c r="C4" s="6" t="s">
        <v>23</v>
      </c>
      <c r="D4" s="11">
        <v>450</v>
      </c>
      <c r="E4" s="11">
        <v>0</v>
      </c>
      <c r="F4" s="12">
        <v>20538.63</v>
      </c>
      <c r="G4" s="11"/>
      <c r="H4" s="11">
        <v>20613.63</v>
      </c>
    </row>
    <row r="5" spans="1:8" ht="24.95" customHeight="1" x14ac:dyDescent="0.25">
      <c r="D5" s="11"/>
      <c r="E5" s="11"/>
      <c r="F5" s="12"/>
      <c r="G5" s="11"/>
      <c r="H5" s="11"/>
    </row>
    <row r="6" spans="1:8" ht="24.95" customHeight="1" x14ac:dyDescent="0.25">
      <c r="A6" s="6" t="s">
        <v>39</v>
      </c>
      <c r="C6" s="6" t="s">
        <v>23</v>
      </c>
      <c r="D6" s="11">
        <v>500</v>
      </c>
      <c r="E6" s="11">
        <v>0</v>
      </c>
      <c r="F6" s="12">
        <v>25052</v>
      </c>
      <c r="G6" s="11"/>
      <c r="H6" s="11">
        <v>25127</v>
      </c>
    </row>
    <row r="7" spans="1:8" ht="24.95" customHeight="1" x14ac:dyDescent="0.25">
      <c r="D7" s="11"/>
      <c r="E7" s="11"/>
      <c r="F7" s="12"/>
      <c r="G7" s="11"/>
      <c r="H7" s="11"/>
    </row>
    <row r="8" spans="1:8" ht="24.95" customHeight="1" x14ac:dyDescent="0.25">
      <c r="A8" s="6" t="s">
        <v>17</v>
      </c>
      <c r="C8" s="6" t="s">
        <v>18</v>
      </c>
      <c r="D8" s="11">
        <v>450</v>
      </c>
      <c r="E8" s="11">
        <v>0</v>
      </c>
      <c r="F8" s="12">
        <v>22774.5</v>
      </c>
      <c r="G8" s="11"/>
      <c r="H8" s="11">
        <v>22849.5</v>
      </c>
    </row>
    <row r="9" spans="1:8" ht="24.95" customHeight="1" x14ac:dyDescent="0.25">
      <c r="D9" s="11"/>
      <c r="E9" s="11"/>
      <c r="F9" s="12"/>
      <c r="G9" s="11"/>
      <c r="H9" s="11"/>
    </row>
    <row r="10" spans="1:8" ht="24.95" customHeight="1" x14ac:dyDescent="0.25">
      <c r="A10" s="6" t="s">
        <v>34</v>
      </c>
      <c r="C10" s="6" t="s">
        <v>18</v>
      </c>
      <c r="D10" s="11">
        <v>350</v>
      </c>
      <c r="E10" s="11">
        <v>0</v>
      </c>
      <c r="F10" s="12">
        <v>18979.560000000001</v>
      </c>
      <c r="G10" s="11"/>
      <c r="H10" s="11">
        <v>19054.560000000001</v>
      </c>
    </row>
    <row r="11" spans="1:8" ht="24.95" customHeight="1" x14ac:dyDescent="0.25">
      <c r="D11" s="11"/>
      <c r="E11" s="11"/>
      <c r="F11" s="12"/>
      <c r="G11" s="11"/>
      <c r="H11" s="11"/>
    </row>
    <row r="12" spans="1:8" ht="24.95" customHeight="1" x14ac:dyDescent="0.25">
      <c r="A12" s="6" t="s">
        <v>43</v>
      </c>
      <c r="C12" s="6" t="s">
        <v>18</v>
      </c>
      <c r="D12" s="11">
        <v>800</v>
      </c>
      <c r="E12" s="11">
        <v>0</v>
      </c>
      <c r="F12" s="12">
        <v>47982.879999999997</v>
      </c>
      <c r="G12" s="11"/>
      <c r="H12" s="11">
        <v>48057.88</v>
      </c>
    </row>
    <row r="13" spans="1:8" ht="24.95" customHeight="1" x14ac:dyDescent="0.25">
      <c r="D13" s="11"/>
      <c r="E13" s="11"/>
      <c r="F13" s="12"/>
      <c r="G13" s="11"/>
      <c r="H13" s="11"/>
    </row>
    <row r="14" spans="1:8" ht="24.95" customHeight="1" x14ac:dyDescent="0.25">
      <c r="A14" s="6" t="s">
        <v>29</v>
      </c>
      <c r="C14" s="6" t="s">
        <v>23</v>
      </c>
      <c r="D14" s="11">
        <v>600</v>
      </c>
      <c r="E14" s="11">
        <v>0</v>
      </c>
      <c r="F14" s="12">
        <v>30810.880000000001</v>
      </c>
      <c r="G14" s="11"/>
      <c r="H14" s="11">
        <v>30885.88</v>
      </c>
    </row>
    <row r="15" spans="1:8" ht="24" customHeight="1" x14ac:dyDescent="0.25">
      <c r="D15" s="11"/>
      <c r="E15" s="11"/>
      <c r="F15" s="11"/>
      <c r="G15" s="11"/>
      <c r="H15" s="11"/>
    </row>
    <row r="16" spans="1:8" x14ac:dyDescent="0.25">
      <c r="A16" s="13"/>
      <c r="B16" s="13"/>
      <c r="C16" s="13"/>
      <c r="D16" s="14">
        <f>SUM(D4:D14)</f>
        <v>3150</v>
      </c>
      <c r="E16" s="14">
        <f>SUM(E4:E14)</f>
        <v>0</v>
      </c>
      <c r="F16" s="14">
        <f>SUM(F4:F14)</f>
        <v>166138.45000000001</v>
      </c>
      <c r="G16" s="14"/>
      <c r="H16" s="14">
        <f>SUM(H4:H14)</f>
        <v>166588.45000000001</v>
      </c>
    </row>
  </sheetData>
  <mergeCells count="2">
    <mergeCell ref="A2:D2"/>
    <mergeCell ref="E2:H2"/>
  </mergeCells>
  <pageMargins left="0.7" right="0" top="0.75" bottom="0.75" header="0.3" footer="0.3"/>
  <pageSetup scale="7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7344-D43F-47A0-82BB-2D4E05EBB9DF}">
  <sheetPr>
    <pageSetUpPr fitToPage="1"/>
  </sheetPr>
  <dimension ref="A1:F21"/>
  <sheetViews>
    <sheetView workbookViewId="0">
      <selection activeCell="F20" sqref="F20"/>
    </sheetView>
  </sheetViews>
  <sheetFormatPr defaultRowHeight="15" x14ac:dyDescent="0.25"/>
  <cols>
    <col min="1" max="1" width="15.28515625" customWidth="1"/>
    <col min="2" max="2" width="10" customWidth="1"/>
    <col min="3" max="3" width="17.42578125" customWidth="1"/>
    <col min="4" max="4" width="5.42578125" customWidth="1"/>
    <col min="5" max="5" width="16.7109375" customWidth="1"/>
    <col min="6" max="6" width="20.7109375" customWidth="1"/>
  </cols>
  <sheetData>
    <row r="1" spans="1:6" ht="24.95" customHeight="1" x14ac:dyDescent="0.25">
      <c r="A1" t="s">
        <v>61</v>
      </c>
      <c r="D1" s="2"/>
      <c r="F1" s="2">
        <v>45687.999988425923</v>
      </c>
    </row>
    <row r="2" spans="1:6" ht="24.95" customHeight="1" x14ac:dyDescent="0.25">
      <c r="A2" s="3" t="s">
        <v>0</v>
      </c>
      <c r="B2" s="4"/>
      <c r="C2" s="4"/>
      <c r="D2" s="5" t="s">
        <v>52</v>
      </c>
      <c r="E2" s="4"/>
      <c r="F2" s="4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13</v>
      </c>
    </row>
    <row r="4" spans="1:6" ht="24.95" customHeight="1" x14ac:dyDescent="0.25">
      <c r="A4" t="s">
        <v>26</v>
      </c>
      <c r="B4" t="s">
        <v>27</v>
      </c>
      <c r="C4" t="s">
        <v>28</v>
      </c>
      <c r="E4" t="s">
        <v>29</v>
      </c>
    </row>
    <row r="5" spans="1:6" ht="24.95" customHeight="1" x14ac:dyDescent="0.25">
      <c r="A5" t="s">
        <v>32</v>
      </c>
      <c r="B5" t="s">
        <v>27</v>
      </c>
      <c r="C5" t="s">
        <v>33</v>
      </c>
      <c r="E5" t="s">
        <v>34</v>
      </c>
    </row>
    <row r="6" spans="1:6" ht="24.95" customHeight="1" x14ac:dyDescent="0.25">
      <c r="A6" s="1"/>
      <c r="B6" s="1"/>
      <c r="C6" s="15" t="s">
        <v>60</v>
      </c>
      <c r="D6" s="1"/>
      <c r="E6" s="1"/>
      <c r="F6" s="1"/>
    </row>
    <row r="11" spans="1:6" x14ac:dyDescent="0.25">
      <c r="A11" t="s">
        <v>62</v>
      </c>
      <c r="B11" s="16"/>
      <c r="C11" s="16"/>
      <c r="D11" s="16"/>
      <c r="E11" s="16"/>
    </row>
    <row r="16" spans="1:6" x14ac:dyDescent="0.25">
      <c r="A16" t="s">
        <v>63</v>
      </c>
      <c r="B16" s="16"/>
      <c r="C16" s="16"/>
      <c r="D16" s="16"/>
      <c r="E16" s="16"/>
    </row>
    <row r="21" spans="1:3" x14ac:dyDescent="0.25">
      <c r="A21" t="s">
        <v>64</v>
      </c>
      <c r="B21" s="16"/>
      <c r="C21" s="16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2025-01-30T19:37:55Z</cp:lastPrinted>
  <dcterms:created xsi:type="dcterms:W3CDTF">2025-01-30T19:25:07Z</dcterms:created>
  <dcterms:modified xsi:type="dcterms:W3CDTF">2025-01-30T19:57:37Z</dcterms:modified>
</cp:coreProperties>
</file>