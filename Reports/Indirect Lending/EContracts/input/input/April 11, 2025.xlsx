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46E9723B-86AF-4482-8F4F-76EC6D39B0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F5" i="1"/>
  <c r="F12" i="1"/>
  <c r="F21" i="1"/>
  <c r="F32" i="1"/>
  <c r="H36" i="1"/>
  <c r="H35" i="1"/>
  <c r="E35" i="1"/>
  <c r="D35" i="1"/>
  <c r="C35" i="1"/>
</calcChain>
</file>

<file path=xl/sharedStrings.xml><?xml version="1.0" encoding="utf-8"?>
<sst xmlns="http://schemas.openxmlformats.org/spreadsheetml/2006/main" count="241" uniqueCount="128">
  <si>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</si>
  <si>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</si>
  <si>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</si>
  <si>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</si>
  <si>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</si>
  <si>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</si>
  <si>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</si>
  <si>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</si>
  <si>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</si>
  <si>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</si>
  <si>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</si>
  <si>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</si>
  <si>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Bald Hill Dodge Chrysler</t>
  </si>
  <si>
    <t>Rachel Gorham</t>
  </si>
  <si>
    <t>Colonial Ford Inc</t>
  </si>
  <si>
    <t>Herb Chambers Lexus of Hingham</t>
  </si>
  <si>
    <t>Neli Oliveira</t>
  </si>
  <si>
    <t>Hiller Co Inc</t>
  </si>
  <si>
    <t>Hylan Auto Sales</t>
  </si>
  <si>
    <t>Mastria Kia</t>
  </si>
  <si>
    <t>Metro Honda</t>
  </si>
  <si>
    <t>Planet Subaru</t>
  </si>
  <si>
    <t>Priority Automotive LLC</t>
  </si>
  <si>
    <t>Saccucci Honda</t>
  </si>
  <si>
    <t>Salvadore Chevrolet</t>
  </si>
  <si>
    <t>T F Murphy Enterprises Inc</t>
  </si>
  <si>
    <t>Wareham Ford</t>
  </si>
  <si>
    <t>Column1</t>
  </si>
  <si>
    <t>Column2</t>
  </si>
  <si>
    <t>5099    5689</t>
  </si>
  <si>
    <t># 18</t>
  </si>
  <si>
    <t>SILVA</t>
  </si>
  <si>
    <t>jsmatias0709@gmail.com</t>
  </si>
  <si>
    <t>MATIAS, JOAO</t>
  </si>
  <si>
    <t>NATURAL LOOK DENTAL PROSTHETICS CORPORATION</t>
  </si>
  <si>
    <t>E Contract</t>
  </si>
  <si>
    <t>Route One</t>
  </si>
  <si>
    <t>151167238e</t>
  </si>
  <si>
    <t>Strang</t>
  </si>
  <si>
    <t>d-bonin@comcast.net</t>
  </si>
  <si>
    <t>BONIN, DEBORA</t>
  </si>
  <si>
    <t>151167220e</t>
  </si>
  <si>
    <t>RAPOSO</t>
  </si>
  <si>
    <t>SHAWNMELO@COMCAST.NET</t>
  </si>
  <si>
    <t>MELO, KELLY</t>
  </si>
  <si>
    <t>Paper</t>
  </si>
  <si>
    <t>DealerTrack</t>
  </si>
  <si>
    <t>151167155</t>
  </si>
  <si>
    <t>HORSMAN</t>
  </si>
  <si>
    <t>KPATRICO19@GMAIL.COM</t>
  </si>
  <si>
    <t>PATRICO, KAYLA</t>
  </si>
  <si>
    <t>151167147</t>
  </si>
  <si>
    <t>DAVIDSON</t>
  </si>
  <si>
    <t>vudidntget@gmail.com</t>
  </si>
  <si>
    <t>GOETZ, MICHELE</t>
  </si>
  <si>
    <t>151167113e</t>
  </si>
  <si>
    <t>SARLES</t>
  </si>
  <si>
    <t>DRISCOLL</t>
  </si>
  <si>
    <t>DPINCK1343@AOL.COM</t>
  </si>
  <si>
    <t>PINCKNEY, DANIEL</t>
  </si>
  <si>
    <t>PEARCE PINCKNEY, VIRGINIA</t>
  </si>
  <si>
    <t>151167105</t>
  </si>
  <si>
    <t>SOUSA</t>
  </si>
  <si>
    <t>ljbroman1@gmail.com</t>
  </si>
  <si>
    <t>CUNHA, MICHAEL</t>
  </si>
  <si>
    <t>151167098e</t>
  </si>
  <si>
    <t>RINALDI</t>
  </si>
  <si>
    <t>lucca, anthony</t>
  </si>
  <si>
    <t>151167080e</t>
  </si>
  <si>
    <t>Saraiva</t>
  </si>
  <si>
    <t>FERREIRA TAVARES, MARIA</t>
  </si>
  <si>
    <t>151167048e</t>
  </si>
  <si>
    <t>DZIALO</t>
  </si>
  <si>
    <t>darkdragon8769@msn.com</t>
  </si>
  <si>
    <t>SHANNON, KENNETH</t>
  </si>
  <si>
    <t>151167030e</t>
  </si>
  <si>
    <t>O'MALLEY</t>
  </si>
  <si>
    <t>LYONS</t>
  </si>
  <si>
    <t>MATTSCHELLER15@GMAIL.COM</t>
  </si>
  <si>
    <t>SCHELLER, MARGARET</t>
  </si>
  <si>
    <t>SCHELLER, MATTHEW</t>
  </si>
  <si>
    <t>151167022e</t>
  </si>
  <si>
    <t>SMITH</t>
  </si>
  <si>
    <t>OCEANVU26@GMAIL.COM</t>
  </si>
  <si>
    <t>MULLEN, RUTH</t>
  </si>
  <si>
    <t>151167006e</t>
  </si>
  <si>
    <t>REED</t>
  </si>
  <si>
    <t>ARCHAMBEAULT</t>
  </si>
  <si>
    <t>BOB@BRENNANMACHINE.COM</t>
  </si>
  <si>
    <t>GAUTHIER, DAWN</t>
  </si>
  <si>
    <t>GAUTHIER, ROBERT</t>
  </si>
  <si>
    <t>151166991e</t>
  </si>
  <si>
    <t>Kottakis</t>
  </si>
  <si>
    <t>georgeakopp@gmail.com</t>
  </si>
  <si>
    <t>Kopp, George</t>
  </si>
  <si>
    <t>151166983e</t>
  </si>
  <si>
    <t>SAGON</t>
  </si>
  <si>
    <t>KIMDFORGUE@GMAIL.COM</t>
  </si>
  <si>
    <t>FORGUE, KIMBERLY</t>
  </si>
  <si>
    <t>151166959e</t>
  </si>
  <si>
    <t>TANZILLO</t>
  </si>
  <si>
    <t>KJT23@COMCAST.NET</t>
  </si>
  <si>
    <t>TORCHIA, KATHERINE</t>
  </si>
  <si>
    <t>151166941e</t>
  </si>
  <si>
    <t>Hickey</t>
  </si>
  <si>
    <t>santadomann@aol.com</t>
  </si>
  <si>
    <t>MANN, DENNIS</t>
  </si>
  <si>
    <t>151166933e</t>
  </si>
  <si>
    <t>Gould</t>
  </si>
  <si>
    <t>goldie@sbtiming.com</t>
  </si>
  <si>
    <t>Bassett, Eileen</t>
  </si>
  <si>
    <t>151166884e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</si>
  <si>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</si>
  <si>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</si>
  <si>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</si>
  <si>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</si>
  <si>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</si>
  <si>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</si>
  <si>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</si>
  <si>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</si>
  <si>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</si>
  <si>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</si>
  <si>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</si>
  <si>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</t>
  </si>
  <si>
    <t>Received By______________________________________________________________________________</t>
  </si>
  <si>
    <t>Delivered BY_____________________________________________________________________________</t>
  </si>
  <si>
    <t># 3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</si>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</sst>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05D366F6-4B79-450C-9FA6-2584410477CD}"/>
  </cellStyles>
  <dxfs count="27">
    <dxf>
      <numFmt numFmtId="11" formatCode="&quot;$&quot;#,##0.00_);\(&quot;$&quot;#,##0.00\)"/>
    </dxf>
    <dxf>
      <numFmt numFmtId="11" formatCode="&quot;$&quot;#,##0.00_);\(&quot;$&quot;#,##0.00\)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6" totalsRowCount="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321530C9-0265-446A-89EA-A7A61244C4B3}" name="Column1" dataDxfId="25" totalsRowDxfId="1"/>
    <tableColumn id="8" xr3:uid="{EFD3509F-FF44-4E02-AB55-5B5401729CDC}" name="Column2" dataDxfId="26" totalsRowDxfId="0"/>
    <tableColumn id="6" xr3:uid="{00000000-0010-0000-0000-000006000000}" name="Contracted Amount Financed" totalsRowFunction="custom">
      <totalsRowFormula>COUNT(H4:H34)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107AE9-A14E-48B1-81CA-FFB6C806EA8E}" name="Table_13" displayName="Table_13" ref="A3:L22" headerRowDxfId="12" dataDxfId="10" totalsRowDxfId="11">
  <tableColumns count="12">
    <tableColumn id="1" xr3:uid="{00000000-0010-0000-0000-000001000000}" name="Account Number" dataDxfId="24"/>
    <tableColumn id="2" xr3:uid="{00000000-0010-0000-0000-000002000000}" name="Portal" dataDxfId="23"/>
    <tableColumn id="3" xr3:uid="{00000000-0010-0000-0000-000003000000}" name="Contract Type" dataDxfId="22"/>
    <tableColumn id="4" xr3:uid="{00000000-0010-0000-0000-000004000000}" name="Applicant Name" dataDxfId="21"/>
    <tableColumn id="5" xr3:uid="{00000000-0010-0000-0000-000005000000}" name="Co-Applicant Name" dataDxfId="20"/>
    <tableColumn id="6" xr3:uid="{00000000-0010-0000-0000-000006000000}" name="Dealer Name" dataDxfId="19"/>
    <tableColumn id="7" xr3:uid="{00000000-0010-0000-0000-000007000000}" name="Funded by" dataDxfId="18"/>
    <tableColumn id="8" xr3:uid="{00000000-0010-0000-0000-000008000000}" name="Amount Financed" dataDxfId="17"/>
    <tableColumn id="9" xr3:uid="{00000000-0010-0000-0000-000009000000}" name="Applicant Email" dataDxfId="16"/>
    <tableColumn id="10" xr3:uid="{00000000-0010-0000-0000-00000A000000}" name="Co-Applicant Email" dataDxfId="15"/>
    <tableColumn id="11" xr3:uid="{00000000-0010-0000-0000-00000B000000}" name="App MMN" dataDxfId="14"/>
    <tableColumn id="12" xr3:uid="{00000000-0010-0000-0000-00000C000000}" name="Co-App MMN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13D50-C696-4C3C-AFC2-D1741B69AB03}" name="Table_14" displayName="Table_14" ref="A3:E7" headerRowDxfId="4" dataDxfId="2" totalsRowDxfId="3">
  <tableColumns count="5">
    <tableColumn id="1" xr3:uid="{00000000-0010-0000-0000-000001000000}" name="Account Number" dataDxfId="9"/>
    <tableColumn id="2" xr3:uid="{00000000-0010-0000-0000-000002000000}" name="Contract Type" dataDxfId="8"/>
    <tableColumn id="3" xr3:uid="{00000000-0010-0000-0000-000003000000}" name="Applicant Name" dataDxfId="7"/>
    <tableColumn id="4" xr3:uid="{00000000-0010-0000-0000-000004000000}" name="Co-Applicant Name" dataDxfId="6"/>
    <tableColumn id="5" xr3:uid="{00000000-0010-0000-0000-000005000000}" name="Dealer Name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abSelected="1" workbookViewId="0">
      <pane ySplit="3" topLeftCell="A4" activePane="bottomLeft" state="frozen"/>
      <selection pane="bottomLeft" activeCell="E34" sqref="E34"/>
    </sheetView>
  </sheetViews>
  <sheetFormatPr defaultRowHeight="15" x14ac:dyDescent="0.25"/>
  <cols>
    <col min="1" max="1" width="32.5703125" bestFit="1" customWidth="1"/>
    <col min="2" max="2" width="17.7109375" bestFit="1" customWidth="1"/>
    <col min="3" max="3" width="11.140625" bestFit="1" customWidth="1"/>
    <col min="4" max="4" width="14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45758</v>
      </c>
      <c r="E1" t="s">
        <v>2</v>
      </c>
      <c r="H1" s="4">
        <v>45758.999988425923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27</v>
      </c>
      <c r="G3" t="s">
        <v>28</v>
      </c>
      <c r="H3" t="s">
        <v>9</v>
      </c>
    </row>
    <row r="4" spans="1:8" x14ac:dyDescent="0.25">
      <c r="A4" t="s">
        <v>10</v>
      </c>
      <c r="B4" t="s">
        <v>11</v>
      </c>
      <c r="C4" s="2">
        <v>750</v>
      </c>
      <c r="D4" s="2">
        <v>0</v>
      </c>
      <c r="E4" s="2">
        <v>29923.93</v>
      </c>
      <c r="F4" s="2"/>
      <c r="G4" s="2"/>
      <c r="H4" s="2">
        <v>29998.93</v>
      </c>
    </row>
    <row r="5" spans="1:8" x14ac:dyDescent="0.25">
      <c r="A5" t="s">
        <v>10</v>
      </c>
      <c r="B5" t="s">
        <v>11</v>
      </c>
      <c r="C5" s="2">
        <v>950</v>
      </c>
      <c r="D5" s="2">
        <v>0</v>
      </c>
      <c r="E5" s="2">
        <v>39490.129999999997</v>
      </c>
      <c r="F5" s="2">
        <f>SUM(E4:E5)</f>
        <v>69414.06</v>
      </c>
      <c r="G5" s="2"/>
      <c r="H5" s="2">
        <v>39565.129999999997</v>
      </c>
    </row>
    <row r="6" spans="1:8" x14ac:dyDescent="0.25">
      <c r="C6" s="2"/>
      <c r="D6" s="2"/>
      <c r="E6" s="2"/>
      <c r="F6" s="2"/>
      <c r="G6" s="2"/>
      <c r="H6" s="2"/>
    </row>
    <row r="7" spans="1:8" x14ac:dyDescent="0.25">
      <c r="A7" t="s">
        <v>12</v>
      </c>
      <c r="B7" t="s">
        <v>13</v>
      </c>
      <c r="C7" s="2">
        <v>1050</v>
      </c>
      <c r="D7" s="2">
        <v>0</v>
      </c>
      <c r="E7" s="2">
        <v>41731.629999999997</v>
      </c>
      <c r="F7" s="2"/>
      <c r="G7" s="2"/>
      <c r="H7" s="2">
        <v>41806.629999999997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13</v>
      </c>
      <c r="C9" s="2">
        <v>950</v>
      </c>
      <c r="D9" s="2">
        <v>0</v>
      </c>
      <c r="E9" s="2">
        <v>35616.879999999997</v>
      </c>
      <c r="F9" s="2"/>
      <c r="G9" s="2"/>
      <c r="H9" s="2">
        <v>35691.879999999997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13</v>
      </c>
      <c r="C11" s="2">
        <v>750</v>
      </c>
      <c r="D11" s="2">
        <v>0</v>
      </c>
      <c r="E11" s="2">
        <v>28613.38</v>
      </c>
      <c r="F11" s="2"/>
      <c r="G11" s="2"/>
      <c r="H11" s="2">
        <v>28688.38</v>
      </c>
    </row>
    <row r="12" spans="1:8" ht="16.5" customHeight="1" x14ac:dyDescent="0.25">
      <c r="A12" t="s">
        <v>15</v>
      </c>
      <c r="B12" t="s">
        <v>16</v>
      </c>
      <c r="C12" s="2">
        <v>750</v>
      </c>
      <c r="D12" s="2">
        <v>0</v>
      </c>
      <c r="E12" s="2">
        <v>29709</v>
      </c>
      <c r="F12" s="2">
        <f>SUM(E11:E12)</f>
        <v>58322.380000000005</v>
      </c>
      <c r="G12" s="2"/>
      <c r="H12" s="2">
        <v>29784</v>
      </c>
    </row>
    <row r="13" spans="1:8" ht="16.5" customHeight="1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13</v>
      </c>
      <c r="C14" s="2">
        <v>1350</v>
      </c>
      <c r="D14" s="2">
        <v>0</v>
      </c>
      <c r="E14" s="2">
        <v>49995.94</v>
      </c>
      <c r="F14" s="2"/>
      <c r="G14" s="2"/>
      <c r="H14" s="2">
        <v>50070.94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16</v>
      </c>
      <c r="C16" s="2">
        <v>850</v>
      </c>
      <c r="D16" s="2">
        <v>0</v>
      </c>
      <c r="E16" s="2">
        <v>30113.06</v>
      </c>
      <c r="F16" s="2"/>
      <c r="G16" s="2"/>
      <c r="H16" s="2">
        <v>30188.06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19</v>
      </c>
      <c r="B18" t="s">
        <v>13</v>
      </c>
      <c r="C18" s="2">
        <v>850</v>
      </c>
      <c r="D18" s="2">
        <v>0</v>
      </c>
      <c r="E18" s="2">
        <v>33747.980000000003</v>
      </c>
      <c r="F18" s="2"/>
      <c r="G18" s="2" t="s">
        <v>29</v>
      </c>
      <c r="H18" s="2">
        <v>33822.980000000003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20</v>
      </c>
      <c r="B20" t="s">
        <v>11</v>
      </c>
      <c r="C20" s="2">
        <v>850</v>
      </c>
      <c r="D20" s="2">
        <v>0</v>
      </c>
      <c r="E20" s="2">
        <v>30434.9</v>
      </c>
      <c r="F20" s="2"/>
      <c r="G20" s="2"/>
      <c r="H20" s="2">
        <v>30509.9</v>
      </c>
    </row>
    <row r="21" spans="1:8" x14ac:dyDescent="0.25">
      <c r="A21" t="s">
        <v>20</v>
      </c>
      <c r="B21" t="s">
        <v>13</v>
      </c>
      <c r="C21" s="2">
        <v>650</v>
      </c>
      <c r="D21" s="2">
        <v>0</v>
      </c>
      <c r="E21" s="2">
        <v>22134.48</v>
      </c>
      <c r="F21" s="2">
        <f>SUM(E20:E21)</f>
        <v>52569.380000000005</v>
      </c>
      <c r="G21" s="2"/>
      <c r="H21" s="2">
        <v>22209.48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21</v>
      </c>
      <c r="B23" t="s">
        <v>16</v>
      </c>
      <c r="C23" s="2">
        <v>750</v>
      </c>
      <c r="D23" s="2">
        <v>0</v>
      </c>
      <c r="E23" s="2">
        <v>26219.69</v>
      </c>
      <c r="F23" s="2"/>
      <c r="G23" s="2"/>
      <c r="H23" s="2">
        <v>26294.69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22</v>
      </c>
      <c r="B25" t="s">
        <v>11</v>
      </c>
      <c r="C25" s="2">
        <v>850</v>
      </c>
      <c r="D25" s="2">
        <v>0</v>
      </c>
      <c r="E25" s="2">
        <v>32353.32</v>
      </c>
      <c r="F25" s="2"/>
      <c r="G25" s="2"/>
      <c r="H25" s="2">
        <v>32428.32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23</v>
      </c>
      <c r="B27" t="s">
        <v>13</v>
      </c>
      <c r="C27" s="2">
        <v>500</v>
      </c>
      <c r="D27" s="2">
        <v>0</v>
      </c>
      <c r="E27" s="2">
        <v>18293.82</v>
      </c>
      <c r="F27" s="2"/>
      <c r="G27" s="2"/>
      <c r="H27" s="2">
        <v>18368.82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24</v>
      </c>
      <c r="B29" t="s">
        <v>11</v>
      </c>
      <c r="C29" s="2">
        <v>1050</v>
      </c>
      <c r="D29" s="2">
        <v>0</v>
      </c>
      <c r="E29" s="2">
        <v>40218.29</v>
      </c>
      <c r="F29" s="2"/>
      <c r="G29" s="2"/>
      <c r="H29" s="2">
        <v>40293.29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25</v>
      </c>
      <c r="B31" t="s">
        <v>11</v>
      </c>
      <c r="C31" s="2">
        <v>1050</v>
      </c>
      <c r="D31" s="2">
        <v>0</v>
      </c>
      <c r="E31" s="2">
        <v>42237.56</v>
      </c>
      <c r="F31" s="2"/>
      <c r="G31" s="2"/>
      <c r="H31" s="2">
        <v>42312.56</v>
      </c>
    </row>
    <row r="32" spans="1:8" x14ac:dyDescent="0.25">
      <c r="A32" t="s">
        <v>25</v>
      </c>
      <c r="B32" t="s">
        <v>13</v>
      </c>
      <c r="C32" s="2">
        <v>1150</v>
      </c>
      <c r="D32" s="2">
        <v>0</v>
      </c>
      <c r="E32" s="2">
        <v>46177.67</v>
      </c>
      <c r="F32" s="2">
        <f>SUM(E31:E32)</f>
        <v>88415.23</v>
      </c>
      <c r="G32" s="2"/>
      <c r="H32" s="2">
        <v>46252.67</v>
      </c>
    </row>
    <row r="33" spans="1:8" x14ac:dyDescent="0.25">
      <c r="C33" s="2"/>
      <c r="D33" s="2"/>
      <c r="E33" s="2"/>
      <c r="F33" s="2"/>
      <c r="G33" s="2"/>
      <c r="H33" s="2"/>
    </row>
    <row r="34" spans="1:8" x14ac:dyDescent="0.25">
      <c r="A34" t="s">
        <v>26</v>
      </c>
      <c r="B34" t="s">
        <v>13</v>
      </c>
      <c r="C34" s="2">
        <v>300</v>
      </c>
      <c r="D34" s="2">
        <v>0</v>
      </c>
      <c r="E34" s="2">
        <v>10834.83</v>
      </c>
      <c r="F34" s="2"/>
      <c r="G34" s="2"/>
      <c r="H34" s="2">
        <v>10909.83</v>
      </c>
    </row>
    <row r="35" spans="1:8" x14ac:dyDescent="0.25">
      <c r="A35" s="1"/>
      <c r="B35" s="1"/>
      <c r="C35" s="3">
        <f>SUM(C4:C34)</f>
        <v>15400</v>
      </c>
      <c r="D35" s="3">
        <f>SUM(D4:D34)</f>
        <v>0</v>
      </c>
      <c r="E35" s="3">
        <f>SUM(E4:E34)</f>
        <v>587846.49</v>
      </c>
      <c r="F35" s="3"/>
      <c r="G35" s="3"/>
      <c r="H35" s="3">
        <f>SUM(H4:H34)</f>
        <v>589196.49</v>
      </c>
    </row>
    <row r="36" spans="1:8" x14ac:dyDescent="0.25">
      <c r="F36" s="2"/>
      <c r="G36" s="2"/>
      <c r="H36">
        <f>COUNT(H4:H34)</f>
        <v>18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CE7F-C1FA-4CB1-9C2C-06AAD0719704}">
  <sheetPr>
    <pageSetUpPr fitToPage="1"/>
  </sheetPr>
  <dimension ref="A1:M24"/>
  <sheetViews>
    <sheetView workbookViewId="0">
      <pane ySplit="3" topLeftCell="A12" activePane="bottomLeft" state="frozen"/>
      <selection pane="bottomLeft" activeCell="E18" sqref="E18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7.42578125" style="8" bestFit="1" customWidth="1"/>
    <col min="5" max="5" width="22" style="8" bestFit="1" customWidth="1"/>
    <col min="6" max="6" width="32.5703125" style="8" bestFit="1" customWidth="1"/>
    <col min="7" max="7" width="17.7109375" style="8" bestFit="1" customWidth="1"/>
    <col min="8" max="8" width="17.140625" style="8" bestFit="1" customWidth="1"/>
    <col min="9" max="9" width="30.42578125" style="8" bestFit="1" customWidth="1"/>
    <col min="10" max="10" width="18.42578125" style="8" bestFit="1" customWidth="1"/>
    <col min="11" max="11" width="16.2851562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45758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122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121</v>
      </c>
      <c r="B3" s="9" t="s">
        <v>120</v>
      </c>
      <c r="C3" s="9" t="s">
        <v>119</v>
      </c>
      <c r="D3" s="9" t="s">
        <v>118</v>
      </c>
      <c r="E3" s="9" t="s">
        <v>117</v>
      </c>
      <c r="F3" s="9" t="s">
        <v>4</v>
      </c>
      <c r="G3" s="9" t="s">
        <v>5</v>
      </c>
      <c r="H3" s="9" t="s">
        <v>116</v>
      </c>
      <c r="I3" s="9" t="s">
        <v>115</v>
      </c>
      <c r="J3" s="9" t="s">
        <v>114</v>
      </c>
      <c r="K3" s="9" t="s">
        <v>113</v>
      </c>
      <c r="L3" s="9" t="s">
        <v>112</v>
      </c>
      <c r="M3" s="9"/>
    </row>
    <row r="4" spans="1:13" ht="35.1" customHeight="1" x14ac:dyDescent="0.25">
      <c r="A4" s="9" t="s">
        <v>111</v>
      </c>
      <c r="B4" s="9" t="s">
        <v>36</v>
      </c>
      <c r="C4" s="9" t="s">
        <v>35</v>
      </c>
      <c r="D4" s="9" t="s">
        <v>110</v>
      </c>
      <c r="E4" s="9"/>
      <c r="F4" s="9" t="s">
        <v>24</v>
      </c>
      <c r="G4" s="9" t="s">
        <v>11</v>
      </c>
      <c r="H4" s="14">
        <v>40293.29</v>
      </c>
      <c r="I4" s="9" t="s">
        <v>109</v>
      </c>
      <c r="J4" s="9"/>
      <c r="K4" s="9" t="s">
        <v>108</v>
      </c>
      <c r="L4" s="9"/>
      <c r="M4" s="9"/>
    </row>
    <row r="5" spans="1:13" ht="35.1" customHeight="1" x14ac:dyDescent="0.25">
      <c r="A5" s="9" t="s">
        <v>107</v>
      </c>
      <c r="B5" s="9" t="s">
        <v>46</v>
      </c>
      <c r="C5" s="9" t="s">
        <v>35</v>
      </c>
      <c r="D5" s="9" t="s">
        <v>106</v>
      </c>
      <c r="E5" s="9"/>
      <c r="F5" s="9" t="s">
        <v>22</v>
      </c>
      <c r="G5" s="9" t="s">
        <v>11</v>
      </c>
      <c r="H5" s="14">
        <v>32428.32</v>
      </c>
      <c r="I5" s="9" t="s">
        <v>105</v>
      </c>
      <c r="J5" s="9"/>
      <c r="K5" s="9" t="s">
        <v>104</v>
      </c>
      <c r="L5" s="9"/>
      <c r="M5" s="9"/>
    </row>
    <row r="6" spans="1:13" ht="35.1" customHeight="1" x14ac:dyDescent="0.25">
      <c r="A6" s="9" t="s">
        <v>103</v>
      </c>
      <c r="B6" s="9" t="s">
        <v>46</v>
      </c>
      <c r="C6" s="9" t="s">
        <v>35</v>
      </c>
      <c r="D6" s="9" t="s">
        <v>102</v>
      </c>
      <c r="E6" s="9"/>
      <c r="F6" s="9" t="s">
        <v>20</v>
      </c>
      <c r="G6" s="9" t="s">
        <v>13</v>
      </c>
      <c r="H6" s="14">
        <v>22209.48</v>
      </c>
      <c r="I6" s="9" t="s">
        <v>101</v>
      </c>
      <c r="J6" s="9"/>
      <c r="K6" s="9" t="s">
        <v>100</v>
      </c>
      <c r="L6" s="9"/>
      <c r="M6" s="9"/>
    </row>
    <row r="7" spans="1:13" ht="35.1" customHeight="1" x14ac:dyDescent="0.25">
      <c r="A7" s="9" t="s">
        <v>99</v>
      </c>
      <c r="B7" s="9" t="s">
        <v>46</v>
      </c>
      <c r="C7" s="9" t="s">
        <v>35</v>
      </c>
      <c r="D7" s="9" t="s">
        <v>98</v>
      </c>
      <c r="E7" s="9"/>
      <c r="F7" s="9" t="s">
        <v>19</v>
      </c>
      <c r="G7" s="9" t="s">
        <v>13</v>
      </c>
      <c r="H7" s="14">
        <v>33822.980000000003</v>
      </c>
      <c r="I7" s="9" t="s">
        <v>97</v>
      </c>
      <c r="J7" s="9"/>
      <c r="K7" s="9" t="s">
        <v>96</v>
      </c>
      <c r="L7" s="9"/>
      <c r="M7" s="9"/>
    </row>
    <row r="8" spans="1:13" ht="35.1" customHeight="1" x14ac:dyDescent="0.25">
      <c r="A8" s="9" t="s">
        <v>95</v>
      </c>
      <c r="B8" s="9" t="s">
        <v>36</v>
      </c>
      <c r="C8" s="9" t="s">
        <v>35</v>
      </c>
      <c r="D8" s="9" t="s">
        <v>94</v>
      </c>
      <c r="E8" s="9"/>
      <c r="F8" s="9" t="s">
        <v>10</v>
      </c>
      <c r="G8" s="9" t="s">
        <v>11</v>
      </c>
      <c r="H8" s="14">
        <v>39565.129999999997</v>
      </c>
      <c r="I8" s="9" t="s">
        <v>93</v>
      </c>
      <c r="J8" s="9"/>
      <c r="K8" s="9" t="s">
        <v>92</v>
      </c>
      <c r="L8" s="9"/>
      <c r="M8" s="9"/>
    </row>
    <row r="9" spans="1:13" ht="35.1" customHeight="1" x14ac:dyDescent="0.25">
      <c r="A9" s="9" t="s">
        <v>91</v>
      </c>
      <c r="B9" s="9" t="s">
        <v>36</v>
      </c>
      <c r="C9" s="9" t="s">
        <v>35</v>
      </c>
      <c r="D9" s="9" t="s">
        <v>90</v>
      </c>
      <c r="E9" s="9" t="s">
        <v>89</v>
      </c>
      <c r="F9" s="9" t="s">
        <v>15</v>
      </c>
      <c r="G9" s="9" t="s">
        <v>13</v>
      </c>
      <c r="H9" s="14">
        <v>28688.38</v>
      </c>
      <c r="I9" s="9" t="s">
        <v>88</v>
      </c>
      <c r="J9" s="9"/>
      <c r="K9" s="9" t="s">
        <v>87</v>
      </c>
      <c r="L9" s="9" t="s">
        <v>86</v>
      </c>
      <c r="M9" s="9"/>
    </row>
    <row r="10" spans="1:13" ht="35.1" customHeight="1" x14ac:dyDescent="0.25">
      <c r="A10" s="9" t="s">
        <v>85</v>
      </c>
      <c r="B10" s="9" t="s">
        <v>36</v>
      </c>
      <c r="C10" s="9" t="s">
        <v>35</v>
      </c>
      <c r="D10" s="9" t="s">
        <v>84</v>
      </c>
      <c r="E10" s="9"/>
      <c r="F10" s="9" t="s">
        <v>15</v>
      </c>
      <c r="G10" s="9" t="s">
        <v>16</v>
      </c>
      <c r="H10" s="14">
        <v>29784</v>
      </c>
      <c r="I10" s="9" t="s">
        <v>83</v>
      </c>
      <c r="J10" s="9"/>
      <c r="K10" s="9" t="s">
        <v>82</v>
      </c>
      <c r="L10" s="9"/>
      <c r="M10" s="9"/>
    </row>
    <row r="11" spans="1:13" ht="35.1" customHeight="1" x14ac:dyDescent="0.25">
      <c r="A11" s="9" t="s">
        <v>81</v>
      </c>
      <c r="B11" s="9" t="s">
        <v>46</v>
      </c>
      <c r="C11" s="9" t="s">
        <v>35</v>
      </c>
      <c r="D11" s="9" t="s">
        <v>80</v>
      </c>
      <c r="E11" s="9" t="s">
        <v>79</v>
      </c>
      <c r="F11" s="9" t="s">
        <v>21</v>
      </c>
      <c r="G11" s="9" t="s">
        <v>16</v>
      </c>
      <c r="H11" s="14">
        <v>26294.69</v>
      </c>
      <c r="I11" s="9" t="s">
        <v>78</v>
      </c>
      <c r="J11" s="9"/>
      <c r="K11" s="9" t="s">
        <v>77</v>
      </c>
      <c r="L11" s="9" t="s">
        <v>76</v>
      </c>
      <c r="M11" s="9"/>
    </row>
    <row r="12" spans="1:13" ht="35.1" customHeight="1" x14ac:dyDescent="0.25">
      <c r="A12" s="9" t="s">
        <v>75</v>
      </c>
      <c r="B12" s="9" t="s">
        <v>36</v>
      </c>
      <c r="C12" s="9" t="s">
        <v>35</v>
      </c>
      <c r="D12" s="9" t="s">
        <v>74</v>
      </c>
      <c r="E12" s="9"/>
      <c r="F12" s="9" t="s">
        <v>26</v>
      </c>
      <c r="G12" s="9" t="s">
        <v>13</v>
      </c>
      <c r="H12" s="14">
        <v>10909.83</v>
      </c>
      <c r="I12" s="9" t="s">
        <v>73</v>
      </c>
      <c r="J12" s="9"/>
      <c r="K12" s="9" t="s">
        <v>72</v>
      </c>
      <c r="L12" s="9"/>
      <c r="M12" s="9"/>
    </row>
    <row r="13" spans="1:13" ht="35.1" customHeight="1" x14ac:dyDescent="0.25">
      <c r="A13" s="9" t="s">
        <v>71</v>
      </c>
      <c r="B13" s="9" t="s">
        <v>46</v>
      </c>
      <c r="C13" s="9" t="s">
        <v>35</v>
      </c>
      <c r="D13" s="9" t="s">
        <v>70</v>
      </c>
      <c r="E13" s="9"/>
      <c r="F13" s="9" t="s">
        <v>20</v>
      </c>
      <c r="G13" s="9" t="s">
        <v>11</v>
      </c>
      <c r="H13" s="14">
        <v>30509.9</v>
      </c>
      <c r="I13" s="9"/>
      <c r="J13" s="9"/>
      <c r="K13" s="9" t="s">
        <v>69</v>
      </c>
      <c r="L13" s="9"/>
      <c r="M13" s="9"/>
    </row>
    <row r="14" spans="1:13" ht="35.1" customHeight="1" x14ac:dyDescent="0.25">
      <c r="A14" s="9" t="s">
        <v>68</v>
      </c>
      <c r="B14" s="9" t="s">
        <v>36</v>
      </c>
      <c r="C14" s="9" t="s">
        <v>35</v>
      </c>
      <c r="D14" s="9" t="s">
        <v>67</v>
      </c>
      <c r="E14" s="9"/>
      <c r="F14" s="9" t="s">
        <v>10</v>
      </c>
      <c r="G14" s="9" t="s">
        <v>11</v>
      </c>
      <c r="H14" s="14">
        <v>29998.93</v>
      </c>
      <c r="I14" s="9"/>
      <c r="J14" s="9"/>
      <c r="K14" s="9" t="s">
        <v>66</v>
      </c>
      <c r="L14" s="9"/>
      <c r="M14" s="9"/>
    </row>
    <row r="15" spans="1:13" ht="35.1" customHeight="1" x14ac:dyDescent="0.25">
      <c r="A15" s="9" t="s">
        <v>65</v>
      </c>
      <c r="B15" s="9" t="s">
        <v>36</v>
      </c>
      <c r="C15" s="9" t="s">
        <v>35</v>
      </c>
      <c r="D15" s="9" t="s">
        <v>64</v>
      </c>
      <c r="E15" s="9"/>
      <c r="F15" s="9" t="s">
        <v>12</v>
      </c>
      <c r="G15" s="9" t="s">
        <v>13</v>
      </c>
      <c r="H15" s="14">
        <v>41806.629999999997</v>
      </c>
      <c r="I15" s="9" t="s">
        <v>63</v>
      </c>
      <c r="J15" s="9"/>
      <c r="K15" s="9" t="s">
        <v>62</v>
      </c>
      <c r="L15" s="9"/>
      <c r="M15" s="9"/>
    </row>
    <row r="16" spans="1:13" ht="35.1" customHeight="1" x14ac:dyDescent="0.25">
      <c r="A16" s="9" t="s">
        <v>61</v>
      </c>
      <c r="B16" s="9" t="s">
        <v>46</v>
      </c>
      <c r="C16" s="9" t="s">
        <v>45</v>
      </c>
      <c r="D16" s="9" t="s">
        <v>60</v>
      </c>
      <c r="E16" s="9" t="s">
        <v>59</v>
      </c>
      <c r="F16" s="9" t="s">
        <v>23</v>
      </c>
      <c r="G16" s="9" t="s">
        <v>13</v>
      </c>
      <c r="H16" s="14">
        <v>18368.82</v>
      </c>
      <c r="I16" s="9" t="s">
        <v>58</v>
      </c>
      <c r="J16" s="9"/>
      <c r="K16" s="9" t="s">
        <v>57</v>
      </c>
      <c r="L16" s="9" t="s">
        <v>56</v>
      </c>
      <c r="M16" s="9"/>
    </row>
    <row r="17" spans="1:13" ht="35.1" customHeight="1" x14ac:dyDescent="0.25">
      <c r="A17" s="9" t="s">
        <v>55</v>
      </c>
      <c r="B17" s="9" t="s">
        <v>36</v>
      </c>
      <c r="C17" s="9" t="s">
        <v>35</v>
      </c>
      <c r="D17" s="9" t="s">
        <v>54</v>
      </c>
      <c r="E17" s="9"/>
      <c r="F17" s="9" t="s">
        <v>14</v>
      </c>
      <c r="G17" s="9" t="s">
        <v>13</v>
      </c>
      <c r="H17" s="14">
        <v>35691.879999999997</v>
      </c>
      <c r="I17" s="9" t="s">
        <v>53</v>
      </c>
      <c r="J17" s="9"/>
      <c r="K17" s="9" t="s">
        <v>52</v>
      </c>
      <c r="L17" s="9"/>
      <c r="M17" s="9"/>
    </row>
    <row r="18" spans="1:13" ht="35.1" customHeight="1" x14ac:dyDescent="0.25">
      <c r="A18" s="9" t="s">
        <v>51</v>
      </c>
      <c r="B18" s="9" t="s">
        <v>36</v>
      </c>
      <c r="C18" s="9" t="s">
        <v>45</v>
      </c>
      <c r="D18" s="9" t="s">
        <v>50</v>
      </c>
      <c r="E18" s="9"/>
      <c r="F18" s="9" t="s">
        <v>25</v>
      </c>
      <c r="G18" s="9" t="s">
        <v>13</v>
      </c>
      <c r="H18" s="14">
        <v>46252.67</v>
      </c>
      <c r="I18" s="9" t="s">
        <v>49</v>
      </c>
      <c r="J18" s="9"/>
      <c r="K18" s="9" t="s">
        <v>48</v>
      </c>
      <c r="L18" s="9"/>
      <c r="M18" s="9"/>
    </row>
    <row r="19" spans="1:13" ht="35.1" customHeight="1" x14ac:dyDescent="0.25">
      <c r="A19" s="9" t="s">
        <v>47</v>
      </c>
      <c r="B19" s="9" t="s">
        <v>46</v>
      </c>
      <c r="C19" s="9" t="s">
        <v>45</v>
      </c>
      <c r="D19" s="9" t="s">
        <v>44</v>
      </c>
      <c r="E19" s="9"/>
      <c r="F19" s="9" t="s">
        <v>18</v>
      </c>
      <c r="G19" s="9" t="s">
        <v>16</v>
      </c>
      <c r="H19" s="14">
        <v>30188.06</v>
      </c>
      <c r="I19" s="9" t="s">
        <v>43</v>
      </c>
      <c r="J19" s="9"/>
      <c r="K19" s="9" t="s">
        <v>42</v>
      </c>
      <c r="L19" s="9"/>
      <c r="M19" s="9"/>
    </row>
    <row r="20" spans="1:13" ht="35.1" customHeight="1" x14ac:dyDescent="0.25">
      <c r="A20" s="9" t="s">
        <v>41</v>
      </c>
      <c r="B20" s="9" t="s">
        <v>36</v>
      </c>
      <c r="C20" s="9" t="s">
        <v>35</v>
      </c>
      <c r="D20" s="9" t="s">
        <v>40</v>
      </c>
      <c r="E20" s="9"/>
      <c r="F20" s="9" t="s">
        <v>25</v>
      </c>
      <c r="G20" s="9" t="s">
        <v>11</v>
      </c>
      <c r="H20" s="14">
        <v>42312.56</v>
      </c>
      <c r="I20" s="9" t="s">
        <v>39</v>
      </c>
      <c r="J20" s="9"/>
      <c r="K20" s="9" t="s">
        <v>38</v>
      </c>
      <c r="L20" s="9"/>
      <c r="M20" s="9"/>
    </row>
    <row r="21" spans="1:13" ht="35.1" customHeight="1" x14ac:dyDescent="0.25">
      <c r="A21" s="9" t="s">
        <v>37</v>
      </c>
      <c r="B21" s="9" t="s">
        <v>36</v>
      </c>
      <c r="C21" s="9" t="s">
        <v>35</v>
      </c>
      <c r="D21" s="9" t="s">
        <v>34</v>
      </c>
      <c r="E21" s="9" t="s">
        <v>33</v>
      </c>
      <c r="F21" s="9" t="s">
        <v>17</v>
      </c>
      <c r="G21" s="9" t="s">
        <v>13</v>
      </c>
      <c r="H21" s="14">
        <v>50070.94</v>
      </c>
      <c r="I21" s="9" t="s">
        <v>32</v>
      </c>
      <c r="J21" s="9"/>
      <c r="K21" s="9" t="s">
        <v>31</v>
      </c>
      <c r="L21" s="9"/>
      <c r="M21" s="9"/>
    </row>
    <row r="22" spans="1:13" ht="35.1" customHeight="1" x14ac:dyDescent="0.25">
      <c r="A22" s="15"/>
      <c r="B22" s="15"/>
      <c r="C22" s="15"/>
      <c r="D22" s="15" t="s">
        <v>30</v>
      </c>
      <c r="E22" s="15"/>
      <c r="F22" s="15"/>
      <c r="G22" s="15"/>
      <c r="H22" s="16">
        <f>SUM(H4:H21)</f>
        <v>589196.49</v>
      </c>
      <c r="I22" s="15"/>
      <c r="J22" s="15"/>
      <c r="K22" s="15"/>
      <c r="L22" s="15"/>
      <c r="M22" s="9"/>
    </row>
    <row r="23" spans="1:13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</sheetData>
  <mergeCells count="2">
    <mergeCell ref="A2:F2"/>
    <mergeCell ref="G2:L2"/>
  </mergeCells>
  <pageMargins left="0.7" right="0.7" top="0.75" bottom="0.75" header="0.3" footer="0.3"/>
  <pageSetup paperSize="5" scale="67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7463-1690-4416-9C0D-B0184258EA05}">
  <dimension ref="A1:E23"/>
  <sheetViews>
    <sheetView workbookViewId="0">
      <pane ySplit="3" topLeftCell="A4" activePane="bottomLeft" state="frozen"/>
      <selection pane="bottomLeft" activeCell="E29" sqref="E29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7.42578125" style="8" bestFit="1" customWidth="1"/>
    <col min="4" max="4" width="22" style="8" bestFit="1" customWidth="1"/>
    <col min="5" max="5" width="32.57031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45758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127</v>
      </c>
      <c r="E2" s="12"/>
    </row>
    <row r="3" spans="1:5" x14ac:dyDescent="0.25">
      <c r="A3" s="9" t="s">
        <v>121</v>
      </c>
      <c r="B3" s="9" t="s">
        <v>119</v>
      </c>
      <c r="C3" s="9" t="s">
        <v>118</v>
      </c>
      <c r="D3" s="9" t="s">
        <v>117</v>
      </c>
      <c r="E3" s="9" t="s">
        <v>4</v>
      </c>
    </row>
    <row r="4" spans="1:5" x14ac:dyDescent="0.25">
      <c r="A4" s="9" t="s">
        <v>61</v>
      </c>
      <c r="B4" s="9" t="s">
        <v>45</v>
      </c>
      <c r="C4" s="9" t="s">
        <v>60</v>
      </c>
      <c r="D4" s="9" t="s">
        <v>59</v>
      </c>
      <c r="E4" s="9" t="s">
        <v>23</v>
      </c>
    </row>
    <row r="5" spans="1:5" x14ac:dyDescent="0.25">
      <c r="A5" s="9" t="s">
        <v>51</v>
      </c>
      <c r="B5" s="9" t="s">
        <v>45</v>
      </c>
      <c r="C5" s="9" t="s">
        <v>50</v>
      </c>
      <c r="D5" s="9"/>
      <c r="E5" s="9" t="s">
        <v>25</v>
      </c>
    </row>
    <row r="6" spans="1:5" x14ac:dyDescent="0.25">
      <c r="A6" s="9" t="s">
        <v>47</v>
      </c>
      <c r="B6" s="9" t="s">
        <v>45</v>
      </c>
      <c r="C6" s="9" t="s">
        <v>44</v>
      </c>
      <c r="D6" s="9"/>
      <c r="E6" s="9" t="s">
        <v>18</v>
      </c>
    </row>
    <row r="7" spans="1:5" x14ac:dyDescent="0.25">
      <c r="A7" s="15"/>
      <c r="B7" s="15"/>
      <c r="C7" s="15" t="s">
        <v>126</v>
      </c>
      <c r="D7" s="15"/>
      <c r="E7" s="15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 t="s">
        <v>125</v>
      </c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 t="s">
        <v>124</v>
      </c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 t="s">
        <v>123</v>
      </c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2025-04-11T19:03:02Z</cp:lastPrinted>
  <dcterms:created xsi:type="dcterms:W3CDTF">2025-04-11T18:48:48Z</dcterms:created>
  <dcterms:modified xsi:type="dcterms:W3CDTF">2025-04-11T19:21:48Z</dcterms:modified>
</cp:coreProperties>
</file>