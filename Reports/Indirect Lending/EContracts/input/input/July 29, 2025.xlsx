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3A785DD9-35B9-4AE1-9431-FBCBA28161F3}" xr6:coauthVersionLast="47" xr6:coauthVersionMax="47" xr10:uidLastSave="{00000000-0000-0000-0000-000000000000}"/>
  <bookViews>
    <workbookView xWindow="0" yWindow="36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27" i="1"/>
  <c r="F14" i="1"/>
  <c r="F11" i="1"/>
  <c r="H23" i="2"/>
  <c r="H37" i="1"/>
  <c r="E37" i="1"/>
  <c r="D37" i="1"/>
  <c r="C37" i="1"/>
</calcChain>
</file>

<file path=xl/sharedStrings.xml><?xml version="1.0" encoding="utf-8"?>
<sst xmlns="http://schemas.openxmlformats.org/spreadsheetml/2006/main" count="247" uniqueCount="126">
  <si>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</si>
  <si>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</si>
  <si>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</si>
  <si>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</si>
  <si>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</si>
  <si>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</si>
  <si>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</si>
  <si>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</si>
  <si>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</si>
  <si>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</si>
  <si>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</si>
  <si>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Marlene Braganca</t>
  </si>
  <si>
    <t>Battles Nissan, LLC</t>
  </si>
  <si>
    <t>Colonial South Chrysler Dodge</t>
  </si>
  <si>
    <t>Neli Oliveira</t>
  </si>
  <si>
    <t>Grieco Toyota</t>
  </si>
  <si>
    <t>Lucchettis Service Center Inc</t>
  </si>
  <si>
    <t>Mastria Buick Pontiac</t>
  </si>
  <si>
    <t>Mastria Kia</t>
  </si>
  <si>
    <t>Mathieu Ford Sales, Inc</t>
  </si>
  <si>
    <t>Metro Honda</t>
  </si>
  <si>
    <t>NARSA AMC LLC d/b/a</t>
  </si>
  <si>
    <t>Patriot Auto Group Inc d/b/a</t>
  </si>
  <si>
    <t>Salvadore Chevrolet</t>
  </si>
  <si>
    <t>T F Murphy Enterprises Inc</t>
  </si>
  <si>
    <t>Volvo of Tiverton</t>
  </si>
  <si>
    <t>Wareham Ford</t>
  </si>
  <si>
    <t>Column1</t>
  </si>
  <si>
    <t>Column2</t>
  </si>
  <si>
    <t>4453      2150</t>
  </si>
  <si>
    <t>5099      5689</t>
  </si>
  <si>
    <t># 19</t>
  </si>
  <si>
    <t>FONTAINE</t>
  </si>
  <si>
    <t>SOARES, ERIC</t>
  </si>
  <si>
    <t>E Contract</t>
  </si>
  <si>
    <t>Route One</t>
  </si>
  <si>
    <t>151207555E</t>
  </si>
  <si>
    <t>ROUSSEAU</t>
  </si>
  <si>
    <t>VAZQUEZ</t>
  </si>
  <si>
    <t>SASTRE, LAURA</t>
  </si>
  <si>
    <t>SASTRE, MIGUEL</t>
  </si>
  <si>
    <t>151207539E</t>
  </si>
  <si>
    <t>STRCHARZ</t>
  </si>
  <si>
    <t>STLAURENTE@GMAIL.COM</t>
  </si>
  <si>
    <t>ST LAURENT, EMMA</t>
  </si>
  <si>
    <t>Paper</t>
  </si>
  <si>
    <t>DealerTrack</t>
  </si>
  <si>
    <t>151207521</t>
  </si>
  <si>
    <t>HAHNER</t>
  </si>
  <si>
    <t>capebasket@aol.com</t>
  </si>
  <si>
    <t>CUMMING, DEBRA</t>
  </si>
  <si>
    <t>151207513E</t>
  </si>
  <si>
    <t>GEURY</t>
  </si>
  <si>
    <t>mikeelliott88@hotmail.com</t>
  </si>
  <si>
    <t>Elliott, Michael</t>
  </si>
  <si>
    <t>151207505E</t>
  </si>
  <si>
    <t>DALEY</t>
  </si>
  <si>
    <t>DONNELLY, JOHN</t>
  </si>
  <si>
    <t>151207480</t>
  </si>
  <si>
    <t>POTIEZ</t>
  </si>
  <si>
    <t>CAMIREYES29@YAHOO.COM</t>
  </si>
  <si>
    <t>JACONETTA, CAMERON</t>
  </si>
  <si>
    <t>151207472E</t>
  </si>
  <si>
    <t>Holmes</t>
  </si>
  <si>
    <t>JILLDASILVA81@GMAIL.COM</t>
  </si>
  <si>
    <t>MOORE, JILL</t>
  </si>
  <si>
    <t>151207448E</t>
  </si>
  <si>
    <t>Cesario</t>
  </si>
  <si>
    <t>LEACEMBERG@GMAIL.COM</t>
  </si>
  <si>
    <t>EMBERG, LEA</t>
  </si>
  <si>
    <t>151207422E</t>
  </si>
  <si>
    <t>Hall</t>
  </si>
  <si>
    <t>SHERRIANNE310@GMAIL.COM</t>
  </si>
  <si>
    <t>TORRES, SHERRI</t>
  </si>
  <si>
    <t>151207414E</t>
  </si>
  <si>
    <t>DANETRA</t>
  </si>
  <si>
    <t>brandon.carbone20@aol.com</t>
  </si>
  <si>
    <t>CARBONE, BRANDON</t>
  </si>
  <si>
    <t>151207373</t>
  </si>
  <si>
    <t>Dawes</t>
  </si>
  <si>
    <t>DOUGLACKIE@YAHOO.COM</t>
  </si>
  <si>
    <t>CRAPO, VICTORIA</t>
  </si>
  <si>
    <t>151207357E</t>
  </si>
  <si>
    <t>BOMBARDIER</t>
  </si>
  <si>
    <t>MROS</t>
  </si>
  <si>
    <t>PAMMYS47@YAHOO.COM</t>
  </si>
  <si>
    <t>SIMONEAU, MICHAEL</t>
  </si>
  <si>
    <t>SIMONEAU, PAMELA</t>
  </si>
  <si>
    <t>151207349E</t>
  </si>
  <si>
    <t>Vaillancourt</t>
  </si>
  <si>
    <t>GAUTHIER, TIMOTHY</t>
  </si>
  <si>
    <t>151207323E</t>
  </si>
  <si>
    <t>Peck</t>
  </si>
  <si>
    <t>celebrate.marks.40th@gmail.com</t>
  </si>
  <si>
    <t>DOWNING, HEATHER</t>
  </si>
  <si>
    <t>151207315E</t>
  </si>
  <si>
    <t>Malcolm</t>
  </si>
  <si>
    <t>PARMENTER, ROBERT</t>
  </si>
  <si>
    <t>151207307E</t>
  </si>
  <si>
    <t>DUBOIS</t>
  </si>
  <si>
    <t>BOLSEN7@COMCAST.NET</t>
  </si>
  <si>
    <t>OLSON, WILLIAM</t>
  </si>
  <si>
    <t>Jacinto</t>
  </si>
  <si>
    <t>CORTEZ, ABRAHAM</t>
  </si>
  <si>
    <t>151207240E</t>
  </si>
  <si>
    <t>Miller</t>
  </si>
  <si>
    <t>lindsay.miller2@gmail.com</t>
  </si>
  <si>
    <t>MILLER, LINDSAY</t>
  </si>
  <si>
    <t>151207175E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</si>
  <si>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</si>
  <si>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</si>
  <si>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</si>
  <si>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</si>
  <si>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</si>
  <si>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</si>
  <si>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</si>
  <si>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</si>
  <si>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</si>
  <si>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</si>
  <si>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</si>
  <si>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</t>
  </si>
  <si>
    <t>Received By______________________________________________________________________</t>
  </si>
  <si>
    <t>Delivered By______________________________________________________________________</t>
  </si>
  <si>
    <t># 4</t>
  </si>
  <si>
    <t>151207274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</si>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</sst>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0" fillId="0" borderId="0" xfId="1" applyFont="1" applyFill="1"/>
  </cellXfs>
  <cellStyles count="2">
    <cellStyle name="Normal" xfId="0" builtinId="0"/>
    <cellStyle name="Normal 2" xfId="1" xr:uid="{F47E5111-76D7-4D10-A7B1-277F7E759388}"/>
  </cellStyles>
  <dxfs count="25">
    <dxf>
      <numFmt numFmtId="11" formatCode="&quot;$&quot;#,##0.00_);\(&quot;$&quot;#,##0.00\)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7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C25A1D73-AE47-46DB-87FE-E4AE9B6E5158}" name="Column1" dataDxfId="0"/>
    <tableColumn id="8" xr3:uid="{00BEE026-8B6D-49C3-877E-D0845BF0131E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D92F5-E149-45B2-B535-BAF8E13599AF}" name="Table_13" displayName="Table_13" ref="A3:L23" headerRowDxfId="11" dataDxfId="9" totalsRowDxfId="10">
  <tableColumns count="12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AAE8CF-662E-41B7-B89B-950CCFF510A0}" name="Table_14" displayName="Table_14" ref="A3:E8" headerRowDxfId="3" dataDxfId="1" totalsRowDxfId="2">
  <tableColumns count="5">
    <tableColumn id="1" xr3:uid="{00000000-0010-0000-0000-000001000000}" name="Account Number" dataDxfId="8"/>
    <tableColumn id="2" xr3:uid="{00000000-0010-0000-0000-000002000000}" name="Contract Type" dataDxfId="7"/>
    <tableColumn id="3" xr3:uid="{00000000-0010-0000-0000-000003000000}" name="Applicant Name" dataDxfId="6"/>
    <tableColumn id="4" xr3:uid="{00000000-0010-0000-0000-000004000000}" name="Co-Applicant Name" dataDxfId="5"/>
    <tableColumn id="5" xr3:uid="{00000000-0010-0000-0000-000005000000}" name="Dealer Name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workbookViewId="0">
      <pane ySplit="3" topLeftCell="A19" activePane="bottomLeft" state="frozen"/>
      <selection pane="bottomLeft" activeCell="F47" sqref="F47"/>
    </sheetView>
  </sheetViews>
  <sheetFormatPr defaultRowHeight="15" x14ac:dyDescent="0.25"/>
  <cols>
    <col min="1" max="1" width="29.140625" bestFit="1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45867</v>
      </c>
      <c r="E1" t="s">
        <v>2</v>
      </c>
      <c r="H1" s="4">
        <v>45867.999988425923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27</v>
      </c>
      <c r="G3" t="s">
        <v>28</v>
      </c>
      <c r="H3" t="s">
        <v>9</v>
      </c>
    </row>
    <row r="4" spans="1:8" x14ac:dyDescent="0.25">
      <c r="A4" t="s">
        <v>10</v>
      </c>
      <c r="B4" t="s">
        <v>11</v>
      </c>
      <c r="C4" s="2">
        <v>950</v>
      </c>
      <c r="D4" s="2">
        <v>0</v>
      </c>
      <c r="E4" s="2">
        <v>35172.19</v>
      </c>
      <c r="F4" s="2"/>
      <c r="G4" s="2"/>
      <c r="H4" s="2">
        <v>35247.19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300</v>
      </c>
      <c r="D6" s="2">
        <v>0</v>
      </c>
      <c r="E6" s="2">
        <v>11652.13</v>
      </c>
      <c r="F6" s="2"/>
      <c r="G6" s="2"/>
      <c r="H6" s="2">
        <v>11727.13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1150</v>
      </c>
      <c r="D8" s="2">
        <v>0</v>
      </c>
      <c r="E8" s="2">
        <v>46578.76</v>
      </c>
      <c r="F8" s="2"/>
      <c r="G8" s="2"/>
      <c r="H8" s="2">
        <v>46653.760000000002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14</v>
      </c>
      <c r="C10" s="2">
        <v>850</v>
      </c>
      <c r="D10" s="2">
        <v>0</v>
      </c>
      <c r="E10" s="2">
        <v>31766.19</v>
      </c>
      <c r="F10" s="2"/>
      <c r="G10" s="2"/>
      <c r="H10" s="2">
        <v>31841.19</v>
      </c>
    </row>
    <row r="11" spans="1:8" x14ac:dyDescent="0.25">
      <c r="A11" t="s">
        <v>15</v>
      </c>
      <c r="B11" t="s">
        <v>14</v>
      </c>
      <c r="C11" s="2">
        <v>1350</v>
      </c>
      <c r="D11" s="2">
        <v>0</v>
      </c>
      <c r="E11" s="2">
        <v>51249.760000000002</v>
      </c>
      <c r="F11" s="2">
        <f>SUM(E10:E11)</f>
        <v>83015.95</v>
      </c>
      <c r="G11" s="2"/>
      <c r="H11" s="2">
        <v>51324.76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11</v>
      </c>
      <c r="C13" s="2">
        <v>1050</v>
      </c>
      <c r="D13" s="2">
        <v>0</v>
      </c>
      <c r="E13" s="2">
        <v>43282.879999999997</v>
      </c>
      <c r="F13" s="2"/>
      <c r="G13" s="2"/>
      <c r="H13" s="2">
        <v>43357.88</v>
      </c>
    </row>
    <row r="14" spans="1:8" x14ac:dyDescent="0.25">
      <c r="A14" t="s">
        <v>16</v>
      </c>
      <c r="B14" t="s">
        <v>14</v>
      </c>
      <c r="C14" s="2">
        <v>750</v>
      </c>
      <c r="D14" s="2">
        <v>0</v>
      </c>
      <c r="E14" s="2">
        <v>29397</v>
      </c>
      <c r="F14" s="2">
        <f>SUM(E13:E14)</f>
        <v>72679.88</v>
      </c>
      <c r="G14" s="2"/>
      <c r="H14" s="2">
        <v>29472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14</v>
      </c>
      <c r="C16" s="2">
        <v>850</v>
      </c>
      <c r="D16" s="2">
        <v>0</v>
      </c>
      <c r="E16" s="2">
        <v>32523.23</v>
      </c>
      <c r="F16" s="2"/>
      <c r="G16" s="2" t="s">
        <v>29</v>
      </c>
      <c r="H16" s="2">
        <v>32598.23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11</v>
      </c>
      <c r="C18" s="2">
        <v>650</v>
      </c>
      <c r="D18" s="2">
        <v>0</v>
      </c>
      <c r="E18" s="2">
        <v>24000</v>
      </c>
      <c r="F18" s="2"/>
      <c r="G18" s="2" t="s">
        <v>30</v>
      </c>
      <c r="H18" s="2">
        <v>24075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11</v>
      </c>
      <c r="C20" s="2">
        <v>1150</v>
      </c>
      <c r="D20" s="2">
        <v>0</v>
      </c>
      <c r="E20" s="2">
        <v>45869.5</v>
      </c>
      <c r="F20" s="2"/>
      <c r="G20" s="2"/>
      <c r="H20" s="2">
        <v>45944.5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11</v>
      </c>
      <c r="C22" s="2">
        <v>650</v>
      </c>
      <c r="D22" s="2">
        <v>0</v>
      </c>
      <c r="E22" s="2">
        <v>20030.55</v>
      </c>
      <c r="F22" s="2"/>
      <c r="G22" s="2"/>
      <c r="H22" s="2">
        <v>20105.55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11</v>
      </c>
      <c r="C24" s="2">
        <v>1350</v>
      </c>
      <c r="D24" s="2">
        <v>0</v>
      </c>
      <c r="E24" s="2">
        <v>51885</v>
      </c>
      <c r="F24" s="2"/>
      <c r="G24" s="2"/>
      <c r="H24" s="2">
        <v>51960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22</v>
      </c>
      <c r="B26" t="s">
        <v>11</v>
      </c>
      <c r="C26" s="2">
        <v>850</v>
      </c>
      <c r="D26" s="2">
        <v>0</v>
      </c>
      <c r="E26" s="2">
        <v>31217.88</v>
      </c>
      <c r="F26" s="2"/>
      <c r="G26" s="2"/>
      <c r="H26" s="2">
        <v>31292.880000000001</v>
      </c>
    </row>
    <row r="27" spans="1:8" x14ac:dyDescent="0.25">
      <c r="A27" t="s">
        <v>22</v>
      </c>
      <c r="B27" t="s">
        <v>11</v>
      </c>
      <c r="C27" s="2">
        <v>750</v>
      </c>
      <c r="D27" s="2">
        <v>0</v>
      </c>
      <c r="E27" s="2">
        <v>29008.560000000001</v>
      </c>
      <c r="F27" s="2">
        <f>SUM(E26:E27)</f>
        <v>60226.44</v>
      </c>
      <c r="G27" s="2"/>
      <c r="H27" s="2">
        <v>29083.56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23</v>
      </c>
      <c r="B29" t="s">
        <v>14</v>
      </c>
      <c r="C29" s="2">
        <v>1350</v>
      </c>
      <c r="D29" s="2">
        <v>0</v>
      </c>
      <c r="E29" s="2">
        <v>54261.89</v>
      </c>
      <c r="F29" s="2"/>
      <c r="G29" s="2"/>
      <c r="H29" s="2">
        <v>54336.89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24</v>
      </c>
      <c r="B31" t="s">
        <v>11</v>
      </c>
      <c r="C31" s="2">
        <v>650</v>
      </c>
      <c r="D31" s="2">
        <v>0</v>
      </c>
      <c r="E31" s="2">
        <v>20365.25</v>
      </c>
      <c r="F31" s="2"/>
      <c r="G31" s="2"/>
      <c r="H31" s="2">
        <v>20440.25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25</v>
      </c>
      <c r="B33" t="s">
        <v>14</v>
      </c>
      <c r="C33" s="2">
        <v>1050</v>
      </c>
      <c r="D33" s="2">
        <v>0</v>
      </c>
      <c r="E33" s="2">
        <v>42272.49</v>
      </c>
      <c r="F33" s="2"/>
      <c r="G33" s="2"/>
      <c r="H33" s="2">
        <v>42347.49</v>
      </c>
    </row>
    <row r="34" spans="1:8" x14ac:dyDescent="0.25">
      <c r="A34" t="s">
        <v>25</v>
      </c>
      <c r="B34" t="s">
        <v>14</v>
      </c>
      <c r="C34" s="2">
        <v>1500</v>
      </c>
      <c r="D34" s="2">
        <v>0</v>
      </c>
      <c r="E34" s="2">
        <v>71839.5</v>
      </c>
      <c r="F34" s="2">
        <f>SUM(E33:E34)</f>
        <v>114111.98999999999</v>
      </c>
      <c r="G34" s="2"/>
      <c r="H34" s="2">
        <v>71914.5</v>
      </c>
    </row>
    <row r="35" spans="1:8" x14ac:dyDescent="0.25">
      <c r="C35" s="2"/>
      <c r="D35" s="2"/>
      <c r="E35" s="2"/>
      <c r="F35" s="2"/>
      <c r="G35" s="2"/>
      <c r="H35" s="2"/>
    </row>
    <row r="36" spans="1:8" ht="13.5" customHeight="1" x14ac:dyDescent="0.25">
      <c r="A36" t="s">
        <v>26</v>
      </c>
      <c r="B36" t="s">
        <v>14</v>
      </c>
      <c r="C36" s="2">
        <v>750</v>
      </c>
      <c r="D36" s="2">
        <v>0</v>
      </c>
      <c r="E36" s="2">
        <v>26283.69</v>
      </c>
      <c r="F36" s="2"/>
      <c r="G36" s="2"/>
      <c r="H36" s="2">
        <v>26358.69</v>
      </c>
    </row>
    <row r="37" spans="1:8" x14ac:dyDescent="0.25">
      <c r="A37" s="1"/>
      <c r="B37" s="1"/>
      <c r="C37" s="3">
        <f>SUM(C4:C36)</f>
        <v>17950</v>
      </c>
      <c r="D37" s="3">
        <f>SUM(D4:D36)</f>
        <v>0</v>
      </c>
      <c r="E37" s="3">
        <f>SUM(E4:E36)</f>
        <v>698656.45</v>
      </c>
      <c r="F37" s="3"/>
      <c r="G37" s="3"/>
      <c r="H37" s="3">
        <f>SUM(H4:H36)</f>
        <v>700081.45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08AC-7CE1-4E2D-ABEF-BD954DC8D228}">
  <sheetPr>
    <pageSetUpPr fitToPage="1"/>
  </sheetPr>
  <dimension ref="A1:M26"/>
  <sheetViews>
    <sheetView tabSelected="1" workbookViewId="0">
      <pane ySplit="3" topLeftCell="A12" activePane="bottomLeft" state="frozen"/>
      <selection pane="bottomLeft" activeCell="A4" sqref="A4:A2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.140625" style="8" bestFit="1" customWidth="1"/>
    <col min="5" max="5" width="20.28515625" style="8" bestFit="1" customWidth="1"/>
    <col min="6" max="6" width="29.140625" style="8" bestFit="1" customWidth="1"/>
    <col min="7" max="7" width="17.7109375" style="8" bestFit="1" customWidth="1"/>
    <col min="8" max="8" width="17.140625" style="8" bestFit="1" customWidth="1"/>
    <col min="9" max="9" width="32.140625" style="8" bestFit="1" customWidth="1"/>
    <col min="10" max="10" width="18.42578125" style="8" bestFit="1" customWidth="1"/>
    <col min="11" max="11" width="13.140625" style="8" bestFit="1" customWidth="1"/>
    <col min="12" max="12" width="13.4257812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45867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119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118</v>
      </c>
      <c r="B3" s="9" t="s">
        <v>117</v>
      </c>
      <c r="C3" s="9" t="s">
        <v>116</v>
      </c>
      <c r="D3" s="9" t="s">
        <v>115</v>
      </c>
      <c r="E3" s="9" t="s">
        <v>114</v>
      </c>
      <c r="F3" s="9" t="s">
        <v>4</v>
      </c>
      <c r="G3" s="9" t="s">
        <v>5</v>
      </c>
      <c r="H3" s="9" t="s">
        <v>113</v>
      </c>
      <c r="I3" s="9" t="s">
        <v>112</v>
      </c>
      <c r="J3" s="9" t="s">
        <v>111</v>
      </c>
      <c r="K3" s="9" t="s">
        <v>110</v>
      </c>
      <c r="L3" s="9" t="s">
        <v>109</v>
      </c>
      <c r="M3" s="9"/>
    </row>
    <row r="4" spans="1:13" ht="35.1" customHeight="1" x14ac:dyDescent="0.25">
      <c r="A4" s="9" t="s">
        <v>108</v>
      </c>
      <c r="B4" s="9" t="s">
        <v>35</v>
      </c>
      <c r="C4" s="9" t="s">
        <v>34</v>
      </c>
      <c r="D4" s="9" t="s">
        <v>107</v>
      </c>
      <c r="E4" s="9"/>
      <c r="F4" s="9" t="s">
        <v>22</v>
      </c>
      <c r="G4" s="9" t="s">
        <v>11</v>
      </c>
      <c r="H4" s="14">
        <v>29083.56</v>
      </c>
      <c r="I4" s="9" t="s">
        <v>106</v>
      </c>
      <c r="J4" s="9"/>
      <c r="K4" s="9" t="s">
        <v>105</v>
      </c>
      <c r="L4" s="9"/>
      <c r="M4" s="9"/>
    </row>
    <row r="5" spans="1:13" ht="35.1" customHeight="1" x14ac:dyDescent="0.25">
      <c r="A5" s="9" t="s">
        <v>104</v>
      </c>
      <c r="B5" s="9" t="s">
        <v>46</v>
      </c>
      <c r="C5" s="9" t="s">
        <v>34</v>
      </c>
      <c r="D5" s="9" t="s">
        <v>103</v>
      </c>
      <c r="E5" s="9"/>
      <c r="F5" s="9" t="s">
        <v>20</v>
      </c>
      <c r="G5" s="9" t="s">
        <v>11</v>
      </c>
      <c r="H5" s="14">
        <v>20105.55</v>
      </c>
      <c r="I5" s="9"/>
      <c r="J5" s="9"/>
      <c r="K5" s="9" t="s">
        <v>102</v>
      </c>
      <c r="L5" s="9"/>
      <c r="M5" s="9"/>
    </row>
    <row r="6" spans="1:13" ht="35.1" customHeight="1" x14ac:dyDescent="0.25">
      <c r="A6" s="9">
        <v>151207274</v>
      </c>
      <c r="B6" s="9" t="s">
        <v>46</v>
      </c>
      <c r="C6" s="9" t="s">
        <v>45</v>
      </c>
      <c r="D6" s="9" t="s">
        <v>101</v>
      </c>
      <c r="E6" s="9"/>
      <c r="F6" s="9" t="s">
        <v>21</v>
      </c>
      <c r="G6" s="9" t="s">
        <v>11</v>
      </c>
      <c r="H6" s="14">
        <v>51960</v>
      </c>
      <c r="I6" s="9" t="s">
        <v>100</v>
      </c>
      <c r="J6" s="9"/>
      <c r="K6" s="9" t="s">
        <v>99</v>
      </c>
      <c r="L6" s="9"/>
      <c r="M6" s="9"/>
    </row>
    <row r="7" spans="1:13" ht="35.1" customHeight="1" x14ac:dyDescent="0.25">
      <c r="A7" s="9" t="s">
        <v>98</v>
      </c>
      <c r="B7" s="9" t="s">
        <v>35</v>
      </c>
      <c r="C7" s="9" t="s">
        <v>34</v>
      </c>
      <c r="D7" s="9" t="s">
        <v>97</v>
      </c>
      <c r="E7" s="9"/>
      <c r="F7" s="9" t="s">
        <v>16</v>
      </c>
      <c r="G7" s="9" t="s">
        <v>11</v>
      </c>
      <c r="H7" s="14">
        <v>43357.88</v>
      </c>
      <c r="I7" s="9"/>
      <c r="J7" s="9"/>
      <c r="K7" s="9" t="s">
        <v>96</v>
      </c>
      <c r="L7" s="9"/>
      <c r="M7" s="9"/>
    </row>
    <row r="8" spans="1:13" ht="35.1" customHeight="1" x14ac:dyDescent="0.25">
      <c r="A8" s="9" t="s">
        <v>95</v>
      </c>
      <c r="B8" s="9" t="s">
        <v>35</v>
      </c>
      <c r="C8" s="9" t="s">
        <v>34</v>
      </c>
      <c r="D8" s="9" t="s">
        <v>94</v>
      </c>
      <c r="E8" s="9"/>
      <c r="F8" s="9" t="s">
        <v>24</v>
      </c>
      <c r="G8" s="9" t="s">
        <v>11</v>
      </c>
      <c r="H8" s="14">
        <v>20440.25</v>
      </c>
      <c r="I8" s="9" t="s">
        <v>93</v>
      </c>
      <c r="J8" s="9"/>
      <c r="K8" s="9" t="s">
        <v>92</v>
      </c>
      <c r="L8" s="9"/>
      <c r="M8" s="9"/>
    </row>
    <row r="9" spans="1:13" ht="35.1" customHeight="1" x14ac:dyDescent="0.25">
      <c r="A9" s="9" t="s">
        <v>91</v>
      </c>
      <c r="B9" s="9" t="s">
        <v>35</v>
      </c>
      <c r="C9" s="9" t="s">
        <v>34</v>
      </c>
      <c r="D9" s="9" t="s">
        <v>90</v>
      </c>
      <c r="E9" s="9"/>
      <c r="F9" s="9" t="s">
        <v>19</v>
      </c>
      <c r="G9" s="9" t="s">
        <v>11</v>
      </c>
      <c r="H9" s="14">
        <v>45944.5</v>
      </c>
      <c r="I9" s="9"/>
      <c r="J9" s="9"/>
      <c r="K9" s="9" t="s">
        <v>89</v>
      </c>
      <c r="L9" s="9"/>
      <c r="M9" s="9"/>
    </row>
    <row r="10" spans="1:13" ht="35.1" customHeight="1" x14ac:dyDescent="0.25">
      <c r="A10" s="9" t="s">
        <v>88</v>
      </c>
      <c r="B10" s="9" t="s">
        <v>35</v>
      </c>
      <c r="C10" s="9" t="s">
        <v>34</v>
      </c>
      <c r="D10" s="9" t="s">
        <v>87</v>
      </c>
      <c r="E10" s="9" t="s">
        <v>86</v>
      </c>
      <c r="F10" s="9" t="s">
        <v>15</v>
      </c>
      <c r="G10" s="9" t="s">
        <v>14</v>
      </c>
      <c r="H10" s="14">
        <v>31841.19</v>
      </c>
      <c r="I10" s="9" t="s">
        <v>85</v>
      </c>
      <c r="J10" s="9"/>
      <c r="K10" s="9" t="s">
        <v>84</v>
      </c>
      <c r="L10" s="9" t="s">
        <v>83</v>
      </c>
      <c r="M10" s="9"/>
    </row>
    <row r="11" spans="1:13" ht="35.1" customHeight="1" x14ac:dyDescent="0.25">
      <c r="A11" s="9" t="s">
        <v>82</v>
      </c>
      <c r="B11" s="9" t="s">
        <v>46</v>
      </c>
      <c r="C11" s="9" t="s">
        <v>34</v>
      </c>
      <c r="D11" s="9" t="s">
        <v>81</v>
      </c>
      <c r="E11" s="9"/>
      <c r="F11" s="9" t="s">
        <v>12</v>
      </c>
      <c r="G11" s="9" t="s">
        <v>11</v>
      </c>
      <c r="H11" s="14">
        <v>11727.13</v>
      </c>
      <c r="I11" s="9" t="s">
        <v>80</v>
      </c>
      <c r="J11" s="9"/>
      <c r="K11" s="9" t="s">
        <v>79</v>
      </c>
      <c r="L11" s="9"/>
      <c r="M11" s="9"/>
    </row>
    <row r="12" spans="1:13" ht="35.1" customHeight="1" x14ac:dyDescent="0.25">
      <c r="A12" s="9" t="s">
        <v>78</v>
      </c>
      <c r="B12" s="9" t="s">
        <v>35</v>
      </c>
      <c r="C12" s="9" t="s">
        <v>45</v>
      </c>
      <c r="D12" s="9" t="s">
        <v>77</v>
      </c>
      <c r="E12" s="9"/>
      <c r="F12" s="9" t="s">
        <v>13</v>
      </c>
      <c r="G12" s="9" t="s">
        <v>14</v>
      </c>
      <c r="H12" s="14">
        <v>46653.760000000002</v>
      </c>
      <c r="I12" s="9" t="s">
        <v>76</v>
      </c>
      <c r="J12" s="9"/>
      <c r="K12" s="9" t="s">
        <v>75</v>
      </c>
      <c r="L12" s="9"/>
      <c r="M12" s="9"/>
    </row>
    <row r="13" spans="1:13" ht="35.1" customHeight="1" x14ac:dyDescent="0.25">
      <c r="A13" s="9" t="s">
        <v>74</v>
      </c>
      <c r="B13" s="9" t="s">
        <v>35</v>
      </c>
      <c r="C13" s="9" t="s">
        <v>34</v>
      </c>
      <c r="D13" s="9" t="s">
        <v>73</v>
      </c>
      <c r="E13" s="9"/>
      <c r="F13" s="9" t="s">
        <v>10</v>
      </c>
      <c r="G13" s="9" t="s">
        <v>11</v>
      </c>
      <c r="H13" s="14">
        <v>35247.19</v>
      </c>
      <c r="I13" s="9" t="s">
        <v>72</v>
      </c>
      <c r="J13" s="9"/>
      <c r="K13" s="9" t="s">
        <v>71</v>
      </c>
      <c r="L13" s="9"/>
      <c r="M13" s="9"/>
    </row>
    <row r="14" spans="1:13" ht="35.1" customHeight="1" x14ac:dyDescent="0.25">
      <c r="A14" s="9" t="s">
        <v>70</v>
      </c>
      <c r="B14" s="9" t="s">
        <v>35</v>
      </c>
      <c r="C14" s="9" t="s">
        <v>34</v>
      </c>
      <c r="D14" s="9" t="s">
        <v>69</v>
      </c>
      <c r="E14" s="9"/>
      <c r="F14" s="9" t="s">
        <v>22</v>
      </c>
      <c r="G14" s="9" t="s">
        <v>11</v>
      </c>
      <c r="H14" s="14">
        <v>31292.880000000001</v>
      </c>
      <c r="I14" s="9" t="s">
        <v>68</v>
      </c>
      <c r="J14" s="9"/>
      <c r="K14" s="9" t="s">
        <v>67</v>
      </c>
      <c r="L14" s="9"/>
      <c r="M14" s="9"/>
    </row>
    <row r="15" spans="1:13" ht="35.1" customHeight="1" x14ac:dyDescent="0.25">
      <c r="A15" s="9" t="s">
        <v>66</v>
      </c>
      <c r="B15" s="9" t="s">
        <v>46</v>
      </c>
      <c r="C15" s="9" t="s">
        <v>34</v>
      </c>
      <c r="D15" s="9" t="s">
        <v>65</v>
      </c>
      <c r="E15" s="9"/>
      <c r="F15" s="9" t="s">
        <v>18</v>
      </c>
      <c r="G15" s="9" t="s">
        <v>11</v>
      </c>
      <c r="H15" s="14">
        <v>24075</v>
      </c>
      <c r="I15" s="9" t="s">
        <v>64</v>
      </c>
      <c r="J15" s="9"/>
      <c r="K15" s="9" t="s">
        <v>63</v>
      </c>
      <c r="L15" s="9"/>
      <c r="M15" s="9"/>
    </row>
    <row r="16" spans="1:13" ht="35.1" customHeight="1" x14ac:dyDescent="0.25">
      <c r="A16" s="9" t="s">
        <v>62</v>
      </c>
      <c r="B16" s="9" t="s">
        <v>35</v>
      </c>
      <c r="C16" s="9" t="s">
        <v>34</v>
      </c>
      <c r="D16" s="9" t="s">
        <v>61</v>
      </c>
      <c r="E16" s="9"/>
      <c r="F16" s="9" t="s">
        <v>16</v>
      </c>
      <c r="G16" s="9" t="s">
        <v>14</v>
      </c>
      <c r="H16" s="14">
        <v>29472</v>
      </c>
      <c r="I16" s="9" t="s">
        <v>60</v>
      </c>
      <c r="J16" s="9"/>
      <c r="K16" s="9" t="s">
        <v>59</v>
      </c>
      <c r="L16" s="9"/>
      <c r="M16" s="9"/>
    </row>
    <row r="17" spans="1:13" ht="35.1" customHeight="1" x14ac:dyDescent="0.25">
      <c r="A17" s="9" t="s">
        <v>58</v>
      </c>
      <c r="B17" s="9" t="s">
        <v>46</v>
      </c>
      <c r="C17" s="9" t="s">
        <v>45</v>
      </c>
      <c r="D17" s="9" t="s">
        <v>57</v>
      </c>
      <c r="E17" s="9"/>
      <c r="F17" s="9" t="s">
        <v>25</v>
      </c>
      <c r="G17" s="9" t="s">
        <v>14</v>
      </c>
      <c r="H17" s="14">
        <v>71914.5</v>
      </c>
      <c r="I17" s="9"/>
      <c r="J17" s="9"/>
      <c r="K17" s="9" t="s">
        <v>56</v>
      </c>
      <c r="L17" s="9"/>
      <c r="M17" s="9"/>
    </row>
    <row r="18" spans="1:13" ht="35.1" customHeight="1" x14ac:dyDescent="0.25">
      <c r="A18" s="9" t="s">
        <v>55</v>
      </c>
      <c r="B18" s="9" t="s">
        <v>35</v>
      </c>
      <c r="C18" s="9" t="s">
        <v>34</v>
      </c>
      <c r="D18" s="9" t="s">
        <v>54</v>
      </c>
      <c r="E18" s="9"/>
      <c r="F18" s="9" t="s">
        <v>23</v>
      </c>
      <c r="G18" s="9" t="s">
        <v>14</v>
      </c>
      <c r="H18" s="14">
        <v>54336.89</v>
      </c>
      <c r="I18" s="9" t="s">
        <v>53</v>
      </c>
      <c r="J18" s="9"/>
      <c r="K18" s="9" t="s">
        <v>52</v>
      </c>
      <c r="L18" s="9"/>
      <c r="M18" s="9"/>
    </row>
    <row r="19" spans="1:13" ht="35.1" customHeight="1" x14ac:dyDescent="0.25">
      <c r="A19" s="9" t="s">
        <v>51</v>
      </c>
      <c r="B19" s="9" t="s">
        <v>35</v>
      </c>
      <c r="C19" s="9" t="s">
        <v>34</v>
      </c>
      <c r="D19" s="9" t="s">
        <v>50</v>
      </c>
      <c r="E19" s="9"/>
      <c r="F19" s="9" t="s">
        <v>26</v>
      </c>
      <c r="G19" s="9" t="s">
        <v>14</v>
      </c>
      <c r="H19" s="14">
        <v>26358.69</v>
      </c>
      <c r="I19" s="9" t="s">
        <v>49</v>
      </c>
      <c r="J19" s="9"/>
      <c r="K19" s="9" t="s">
        <v>48</v>
      </c>
      <c r="L19" s="9"/>
      <c r="M19" s="9"/>
    </row>
    <row r="20" spans="1:13" ht="35.1" customHeight="1" x14ac:dyDescent="0.25">
      <c r="A20" s="9" t="s">
        <v>47</v>
      </c>
      <c r="B20" s="9" t="s">
        <v>46</v>
      </c>
      <c r="C20" s="9" t="s">
        <v>45</v>
      </c>
      <c r="D20" s="9" t="s">
        <v>44</v>
      </c>
      <c r="E20" s="9"/>
      <c r="F20" s="9" t="s">
        <v>25</v>
      </c>
      <c r="G20" s="9" t="s">
        <v>14</v>
      </c>
      <c r="H20" s="14">
        <v>42347.49</v>
      </c>
      <c r="I20" s="9" t="s">
        <v>43</v>
      </c>
      <c r="J20" s="9"/>
      <c r="K20" s="9" t="s">
        <v>42</v>
      </c>
      <c r="L20" s="9"/>
      <c r="M20" s="9"/>
    </row>
    <row r="21" spans="1:13" ht="35.1" customHeight="1" x14ac:dyDescent="0.25">
      <c r="A21" s="9" t="s">
        <v>41</v>
      </c>
      <c r="B21" s="9" t="s">
        <v>35</v>
      </c>
      <c r="C21" s="9" t="s">
        <v>34</v>
      </c>
      <c r="D21" s="9" t="s">
        <v>40</v>
      </c>
      <c r="E21" s="9" t="s">
        <v>39</v>
      </c>
      <c r="F21" s="9" t="s">
        <v>15</v>
      </c>
      <c r="G21" s="9" t="s">
        <v>14</v>
      </c>
      <c r="H21" s="14">
        <v>51324.76</v>
      </c>
      <c r="I21" s="9"/>
      <c r="J21" s="9"/>
      <c r="K21" s="9" t="s">
        <v>38</v>
      </c>
      <c r="L21" s="9" t="s">
        <v>37</v>
      </c>
      <c r="M21" s="9"/>
    </row>
    <row r="22" spans="1:13" ht="35.1" customHeight="1" x14ac:dyDescent="0.25">
      <c r="A22" s="17" t="s">
        <v>36</v>
      </c>
      <c r="B22" s="9" t="s">
        <v>35</v>
      </c>
      <c r="C22" s="9" t="s">
        <v>34</v>
      </c>
      <c r="D22" s="9" t="s">
        <v>33</v>
      </c>
      <c r="E22" s="9"/>
      <c r="F22" s="9" t="s">
        <v>17</v>
      </c>
      <c r="G22" s="9" t="s">
        <v>14</v>
      </c>
      <c r="H22" s="14">
        <v>32598.23</v>
      </c>
      <c r="I22" s="9"/>
      <c r="J22" s="9"/>
      <c r="K22" s="9" t="s">
        <v>32</v>
      </c>
      <c r="L22" s="9"/>
      <c r="M22" s="9"/>
    </row>
    <row r="23" spans="1:13" ht="35.1" customHeight="1" x14ac:dyDescent="0.25">
      <c r="A23" s="15"/>
      <c r="B23" s="15"/>
      <c r="C23" s="15"/>
      <c r="D23" s="15" t="s">
        <v>31</v>
      </c>
      <c r="E23" s="15"/>
      <c r="F23" s="15"/>
      <c r="G23" s="15"/>
      <c r="H23" s="16">
        <f>SUM(H4:H22)</f>
        <v>700081.45</v>
      </c>
      <c r="I23" s="15"/>
      <c r="J23" s="15"/>
      <c r="K23" s="15"/>
      <c r="L23" s="15"/>
      <c r="M23" s="9"/>
    </row>
    <row r="24" spans="1:13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ht="35.1" customHeight="1" x14ac:dyDescent="0.25"/>
    <row r="26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CE7E-E32D-43EA-A494-6324880C1157}">
  <sheetPr>
    <pageSetUpPr fitToPage="1"/>
  </sheetPr>
  <dimension ref="A1:F22"/>
  <sheetViews>
    <sheetView workbookViewId="0">
      <pane ySplit="3" topLeftCell="A4" activePane="bottomLeft" state="frozen"/>
      <selection pane="bottomLeft" activeCell="E18" sqref="E18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.140625" style="8" bestFit="1" customWidth="1"/>
    <col min="4" max="4" width="20.28515625" style="8" bestFit="1" customWidth="1"/>
    <col min="5" max="5" width="29.140625" style="8" bestFit="1" customWidth="1"/>
    <col min="6" max="16384" width="9.140625" style="8"/>
  </cols>
  <sheetData>
    <row r="1" spans="1:6" x14ac:dyDescent="0.25">
      <c r="A1" s="9"/>
      <c r="B1" s="9"/>
      <c r="C1" s="9" t="s">
        <v>3</v>
      </c>
      <c r="D1" s="10">
        <v>45867</v>
      </c>
      <c r="E1" s="9" t="s">
        <v>2</v>
      </c>
      <c r="F1" s="9"/>
    </row>
    <row r="2" spans="1:6" x14ac:dyDescent="0.25">
      <c r="A2" s="11" t="s">
        <v>0</v>
      </c>
      <c r="B2" s="12"/>
      <c r="C2" s="12"/>
      <c r="D2" s="13" t="s">
        <v>125</v>
      </c>
      <c r="E2" s="12"/>
      <c r="F2" s="9"/>
    </row>
    <row r="3" spans="1:6" x14ac:dyDescent="0.25">
      <c r="A3" s="9" t="s">
        <v>118</v>
      </c>
      <c r="B3" s="9" t="s">
        <v>116</v>
      </c>
      <c r="C3" s="9" t="s">
        <v>115</v>
      </c>
      <c r="D3" s="9" t="s">
        <v>114</v>
      </c>
      <c r="E3" s="9" t="s">
        <v>4</v>
      </c>
      <c r="F3" s="9"/>
    </row>
    <row r="4" spans="1:6" x14ac:dyDescent="0.25">
      <c r="A4" s="9" t="s">
        <v>124</v>
      </c>
      <c r="B4" s="9" t="s">
        <v>45</v>
      </c>
      <c r="C4" s="9" t="s">
        <v>101</v>
      </c>
      <c r="D4" s="9"/>
      <c r="E4" s="9" t="s">
        <v>21</v>
      </c>
      <c r="F4" s="9"/>
    </row>
    <row r="5" spans="1:6" x14ac:dyDescent="0.25">
      <c r="A5" s="9" t="s">
        <v>78</v>
      </c>
      <c r="B5" s="9" t="s">
        <v>45</v>
      </c>
      <c r="C5" s="9" t="s">
        <v>77</v>
      </c>
      <c r="D5" s="9"/>
      <c r="E5" s="9" t="s">
        <v>13</v>
      </c>
      <c r="F5" s="9"/>
    </row>
    <row r="6" spans="1:6" x14ac:dyDescent="0.25">
      <c r="A6" s="9" t="s">
        <v>58</v>
      </c>
      <c r="B6" s="9" t="s">
        <v>45</v>
      </c>
      <c r="C6" s="9" t="s">
        <v>57</v>
      </c>
      <c r="D6" s="9"/>
      <c r="E6" s="9" t="s">
        <v>25</v>
      </c>
      <c r="F6" s="9"/>
    </row>
    <row r="7" spans="1:6" x14ac:dyDescent="0.25">
      <c r="A7" s="9" t="s">
        <v>47</v>
      </c>
      <c r="B7" s="9" t="s">
        <v>45</v>
      </c>
      <c r="C7" s="9" t="s">
        <v>44</v>
      </c>
      <c r="D7" s="9"/>
      <c r="E7" s="9" t="s">
        <v>25</v>
      </c>
      <c r="F7" s="9"/>
    </row>
    <row r="8" spans="1:6" x14ac:dyDescent="0.25">
      <c r="A8" s="15"/>
      <c r="B8" s="15"/>
      <c r="C8" s="15" t="s">
        <v>123</v>
      </c>
      <c r="D8" s="15"/>
      <c r="E8" s="15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 t="s">
        <v>122</v>
      </c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 t="s">
        <v>121</v>
      </c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 t="s">
        <v>120</v>
      </c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</sheetData>
  <mergeCells count="2">
    <mergeCell ref="A2:C2"/>
    <mergeCell ref="D2:E2"/>
  </mergeCells>
  <pageMargins left="0.7" right="0.7" top="0.75" bottom="0.75" header="0.3" footer="0.3"/>
  <pageSetup scale="8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2025-07-29T17:54:36Z</cp:lastPrinted>
  <dcterms:created xsi:type="dcterms:W3CDTF">2025-07-29T17:27:16Z</dcterms:created>
  <dcterms:modified xsi:type="dcterms:W3CDTF">2025-07-29T17:56:52Z</dcterms:modified>
</cp:coreProperties>
</file>