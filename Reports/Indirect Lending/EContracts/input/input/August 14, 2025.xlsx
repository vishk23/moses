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8A9E4739-13C7-4DDE-A1C1-CD8BF3DD8121}" xr6:coauthVersionLast="47" xr6:coauthVersionMax="47" xr10:uidLastSave="{00000000-0000-0000-0000-000000000000}"/>
  <bookViews>
    <workbookView xWindow="30390" yWindow="150" windowWidth="20100" windowHeight="150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5" i="2"/>
  <c r="H18" i="2"/>
  <c r="F18" i="2"/>
  <c r="E18" i="2"/>
  <c r="D18" i="2"/>
  <c r="H12" i="1"/>
</calcChain>
</file>

<file path=xl/sharedStrings.xml><?xml version="1.0" encoding="utf-8"?>
<sst xmlns="http://schemas.openxmlformats.org/spreadsheetml/2006/main" count="122" uniqueCount="73">
  <si>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</si>
  <si>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</si>
  <si>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</si>
  <si>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</si>
  <si>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</si>
  <si>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</si>
  <si>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</si>
  <si>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</si>
  <si>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</si>
  <si>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</si>
  <si>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</si>
  <si>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</si>
  <si>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</si>
  <si>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</si>
  <si>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</si>
  <si>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</si>
  <si>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</si>
  <si>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PERKOSKI, JAY</t>
  </si>
  <si>
    <t>Coastal Volkswagon</t>
  </si>
  <si>
    <t>Rachel Gorham</t>
  </si>
  <si>
    <t>JAYPERKOSKI1@GMAIL.COM</t>
  </si>
  <si>
    <t>MAYER</t>
  </si>
  <si>
    <t>TURNER, LINDA</t>
  </si>
  <si>
    <t>Neli Oliveira</t>
  </si>
  <si>
    <t>AJ011210@GMAIL.COM</t>
  </si>
  <si>
    <t>FILIPOWICZ</t>
  </si>
  <si>
    <t>POIRIER, JOEL</t>
  </si>
  <si>
    <t>First Hyundai</t>
  </si>
  <si>
    <t>DESCHAMF</t>
  </si>
  <si>
    <t>GMB PROCESSING, LLC</t>
  </si>
  <si>
    <t>HOWARTH, KALEIGH</t>
  </si>
  <si>
    <t>KALE.HOWARTH@GMAIL.COM</t>
  </si>
  <si>
    <t>LAFERRIERE</t>
  </si>
  <si>
    <t>Route One</t>
  </si>
  <si>
    <t>CANNING, ALLEN</t>
  </si>
  <si>
    <t>Wareham Ford</t>
  </si>
  <si>
    <t>canning@canningbranch.com</t>
  </si>
  <si>
    <t>LEHMANN</t>
  </si>
  <si>
    <t>DIAS, DAVID</t>
  </si>
  <si>
    <t>Colonial Ford Inc</t>
  </si>
  <si>
    <t>catcoffey@comcast.net</t>
  </si>
  <si>
    <t>AMANCIO</t>
  </si>
  <si>
    <t>ZEMAN, ZACHARY</t>
  </si>
  <si>
    <t>Frank Battles Inc</t>
  </si>
  <si>
    <t>BRENNEMON</t>
  </si>
  <si>
    <t>151213403</t>
  </si>
  <si>
    <t>Paper</t>
  </si>
  <si>
    <t>EVELYN, BRIAN</t>
  </si>
  <si>
    <t>Planet Automotive Sales LLC</t>
  </si>
  <si>
    <t>BRIANEVELYN@ROCKETMAIL.COM</t>
  </si>
  <si>
    <t>ROSSELLI</t>
  </si>
  <si>
    <t># 8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</si>
  <si>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</si>
  <si>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</si>
  <si>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</si>
  <si>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</si>
  <si>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</si>
  <si>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</si>
  <si>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1</t>
  </si>
  <si>
    <t>151213148 E</t>
  </si>
  <si>
    <t>151213271 E</t>
  </si>
  <si>
    <t>151213297 E</t>
  </si>
  <si>
    <t>151213304 E</t>
  </si>
  <si>
    <t>151213312 E</t>
  </si>
  <si>
    <t>151213354 E</t>
  </si>
  <si>
    <t>151213388 E</t>
  </si>
  <si>
    <t>Original Note Delivered</t>
  </si>
  <si>
    <t>Delivered by:</t>
  </si>
  <si>
    <t>Received by:</t>
  </si>
  <si>
    <t>Date Signed:</t>
  </si>
  <si>
    <t>Column1</t>
  </si>
  <si>
    <t>Column2</t>
  </si>
  <si>
    <t>2330-8209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</si>
</sst>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4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0" fillId="0" borderId="0" xfId="0" applyBorder="1"/>
    <xf numFmtId="0" fontId="0" fillId="0" borderId="1" xfId="0" applyBorder="1"/>
    <xf numFmtId="7" fontId="4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6">
    <dxf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2" headerRowDxfId="3" dataDxfId="1" totalsRowDxfId="2">
  <tableColumns count="12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928CD3-AEA4-493C-AB9F-EFC0D5C16725}" name="Table_14" displayName="Table_14" ref="A3:H18">
  <tableColumns count="8">
    <tableColumn id="1" xr3:uid="{9393849A-F363-4106-AC23-FA3229B55C8A}" name="Dealer Name"/>
    <tableColumn id="8" xr3:uid="{696D945C-4112-4480-8E76-470EC508CC3E}" name="Column2"/>
    <tableColumn id="2" xr3:uid="{9CF1514E-1D4E-4BA0-87D3-9078F95D229B}" name="Funded by"/>
    <tableColumn id="3" xr3:uid="{30517A82-84F9-4318-B084-D5780C1EF6CA}" name="Dealer Flat"/>
    <tableColumn id="4" xr3:uid="{BE845FD1-1B7E-4C50-9109-951BF558F763}" name="Dealer Split"/>
    <tableColumn id="5" xr3:uid="{50133A75-85F8-43D9-BB17-1EC257C48D1B}" name="Net to Dealer"/>
    <tableColumn id="7" xr3:uid="{6CB2501A-1433-4511-A008-838031A0B72D}" name="Column1" dataDxfId="0"/>
    <tableColumn id="6" xr3:uid="{E8DF6BC6-F939-4D36-80EA-5F21A1D17D9A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22700B-ADC9-4715-9689-84F84A93971B}" name="Table_17" displayName="Table_17" ref="A3:F5">
  <tableColumns count="6">
    <tableColumn id="1" xr3:uid="{BBD4F0E0-1311-4CDD-80B2-3BA72A089CE7}" name="Account Number"/>
    <tableColumn id="2" xr3:uid="{EE81FC14-0099-4C0F-B3EA-8B3D61EF1A88}" name="Contract Type"/>
    <tableColumn id="3" xr3:uid="{01EF0A04-992C-48FD-88C4-4277A2E5D822}" name="Applicant Name"/>
    <tableColumn id="4" xr3:uid="{48F98BA9-550B-489D-A4D4-65CA2E484A9D}" name="Co-Applicant Name"/>
    <tableColumn id="5" xr3:uid="{20F275B1-0E64-48E0-96C4-FD222FE167D9}" name="Dealer Name"/>
    <tableColumn id="6" xr3:uid="{7F5CFE23-DD80-4723-8255-D704D2FED3F6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workbookViewId="0">
      <pane ySplit="3" topLeftCell="A4" activePane="bottomLeft" state="frozen"/>
      <selection pane="bottomLeft" activeCell="E18" sqref="E18"/>
    </sheetView>
  </sheetViews>
  <sheetFormatPr defaultRowHeight="18.75" x14ac:dyDescent="0.3"/>
  <cols>
    <col min="1" max="1" width="19.140625" style="8" customWidth="1"/>
    <col min="2" max="2" width="12.140625" style="8" bestFit="1" customWidth="1"/>
    <col min="3" max="3" width="14" style="8" bestFit="1" customWidth="1"/>
    <col min="4" max="4" width="19.85546875" style="8" bestFit="1" customWidth="1"/>
    <col min="5" max="5" width="22.28515625" style="8" customWidth="1"/>
    <col min="6" max="6" width="27.28515625" style="8" bestFit="1" customWidth="1"/>
    <col min="7" max="7" width="15.140625" style="8" bestFit="1" customWidth="1"/>
    <col min="8" max="8" width="17.28515625" style="8" bestFit="1" customWidth="1"/>
    <col min="9" max="9" width="32.42578125" style="8" bestFit="1" customWidth="1"/>
    <col min="10" max="10" width="18.42578125" style="8" hidden="1" customWidth="1"/>
    <col min="11" max="11" width="19.5703125" style="8" bestFit="1" customWidth="1"/>
    <col min="12" max="12" width="4.28515625" style="8" hidden="1" customWidth="1"/>
    <col min="13" max="16384" width="9.140625" style="8"/>
  </cols>
  <sheetData>
    <row r="1" spans="1:12" x14ac:dyDescent="0.3">
      <c r="K1" s="9">
        <v>45883</v>
      </c>
    </row>
    <row r="2" spans="1:12" x14ac:dyDescent="0.3">
      <c r="A2" s="10" t="s">
        <v>0</v>
      </c>
      <c r="B2" s="11"/>
      <c r="C2" s="11"/>
      <c r="D2" s="11"/>
      <c r="E2" s="11"/>
      <c r="F2" s="11"/>
      <c r="G2" s="12" t="s">
        <v>1</v>
      </c>
      <c r="H2" s="11"/>
      <c r="I2" s="11"/>
      <c r="J2" s="11"/>
      <c r="K2" s="11"/>
      <c r="L2" s="11"/>
    </row>
    <row r="3" spans="1:12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spans="1:12" ht="33" customHeight="1" x14ac:dyDescent="0.3">
      <c r="A4" s="8" t="s">
        <v>59</v>
      </c>
      <c r="B4" s="8" t="s">
        <v>15</v>
      </c>
      <c r="C4" s="8" t="s">
        <v>16</v>
      </c>
      <c r="D4" s="8" t="s">
        <v>17</v>
      </c>
      <c r="F4" s="8" t="s">
        <v>18</v>
      </c>
      <c r="G4" s="8" t="s">
        <v>19</v>
      </c>
      <c r="H4" s="13">
        <v>29655.26</v>
      </c>
      <c r="I4" s="8" t="s">
        <v>20</v>
      </c>
      <c r="K4" s="8" t="s">
        <v>21</v>
      </c>
    </row>
    <row r="5" spans="1:12" ht="33" customHeight="1" x14ac:dyDescent="0.3">
      <c r="A5" s="8" t="s">
        <v>60</v>
      </c>
      <c r="B5" s="8" t="s">
        <v>15</v>
      </c>
      <c r="C5" s="8" t="s">
        <v>16</v>
      </c>
      <c r="D5" s="8" t="s">
        <v>22</v>
      </c>
      <c r="F5" s="8" t="s">
        <v>18</v>
      </c>
      <c r="G5" s="8" t="s">
        <v>23</v>
      </c>
      <c r="H5" s="13">
        <v>24319.81</v>
      </c>
      <c r="I5" s="8" t="s">
        <v>24</v>
      </c>
      <c r="K5" s="8" t="s">
        <v>25</v>
      </c>
    </row>
    <row r="6" spans="1:12" ht="33" customHeight="1" x14ac:dyDescent="0.3">
      <c r="A6" s="8" t="s">
        <v>61</v>
      </c>
      <c r="B6" s="8" t="s">
        <v>15</v>
      </c>
      <c r="C6" s="8" t="s">
        <v>16</v>
      </c>
      <c r="D6" s="8" t="s">
        <v>26</v>
      </c>
      <c r="E6" s="8" t="s">
        <v>29</v>
      </c>
      <c r="F6" s="8" t="s">
        <v>27</v>
      </c>
      <c r="G6" s="8" t="s">
        <v>23</v>
      </c>
      <c r="H6" s="13">
        <v>37121.599999999999</v>
      </c>
      <c r="K6" s="8" t="s">
        <v>28</v>
      </c>
    </row>
    <row r="7" spans="1:12" ht="33" customHeight="1" x14ac:dyDescent="0.3">
      <c r="A7" s="8" t="s">
        <v>62</v>
      </c>
      <c r="B7" s="8" t="s">
        <v>15</v>
      </c>
      <c r="C7" s="8" t="s">
        <v>16</v>
      </c>
      <c r="D7" s="8" t="s">
        <v>30</v>
      </c>
      <c r="F7" s="8" t="s">
        <v>27</v>
      </c>
      <c r="G7" s="8" t="s">
        <v>23</v>
      </c>
      <c r="H7" s="13">
        <v>21652.94</v>
      </c>
      <c r="I7" s="8" t="s">
        <v>31</v>
      </c>
      <c r="K7" s="8" t="s">
        <v>32</v>
      </c>
    </row>
    <row r="8" spans="1:12" ht="33" customHeight="1" x14ac:dyDescent="0.3">
      <c r="A8" s="8" t="s">
        <v>63</v>
      </c>
      <c r="B8" s="8" t="s">
        <v>33</v>
      </c>
      <c r="C8" s="8" t="s">
        <v>16</v>
      </c>
      <c r="D8" s="8" t="s">
        <v>34</v>
      </c>
      <c r="F8" s="8" t="s">
        <v>35</v>
      </c>
      <c r="G8" s="8" t="s">
        <v>23</v>
      </c>
      <c r="H8" s="13">
        <v>38068</v>
      </c>
      <c r="I8" s="8" t="s">
        <v>36</v>
      </c>
      <c r="K8" s="8" t="s">
        <v>37</v>
      </c>
    </row>
    <row r="9" spans="1:12" ht="33" customHeight="1" x14ac:dyDescent="0.3">
      <c r="A9" s="8" t="s">
        <v>64</v>
      </c>
      <c r="B9" s="8" t="s">
        <v>33</v>
      </c>
      <c r="C9" s="8" t="s">
        <v>16</v>
      </c>
      <c r="D9" s="8" t="s">
        <v>38</v>
      </c>
      <c r="F9" s="8" t="s">
        <v>39</v>
      </c>
      <c r="G9" s="8" t="s">
        <v>23</v>
      </c>
      <c r="H9" s="13">
        <v>13526.56</v>
      </c>
      <c r="I9" s="8" t="s">
        <v>40</v>
      </c>
      <c r="K9" s="8" t="s">
        <v>41</v>
      </c>
    </row>
    <row r="10" spans="1:12" ht="33" customHeight="1" x14ac:dyDescent="0.3">
      <c r="A10" s="8" t="s">
        <v>65</v>
      </c>
      <c r="B10" s="8" t="s">
        <v>15</v>
      </c>
      <c r="C10" s="8" t="s">
        <v>16</v>
      </c>
      <c r="D10" s="8" t="s">
        <v>42</v>
      </c>
      <c r="F10" s="8" t="s">
        <v>43</v>
      </c>
      <c r="G10" s="8" t="s">
        <v>23</v>
      </c>
      <c r="H10" s="13">
        <v>81723.09</v>
      </c>
      <c r="K10" s="8" t="s">
        <v>44</v>
      </c>
    </row>
    <row r="11" spans="1:12" ht="33" customHeight="1" x14ac:dyDescent="0.3">
      <c r="A11" s="8" t="s">
        <v>45</v>
      </c>
      <c r="B11" s="8" t="s">
        <v>15</v>
      </c>
      <c r="C11" s="8" t="s">
        <v>46</v>
      </c>
      <c r="D11" s="8" t="s">
        <v>47</v>
      </c>
      <c r="F11" s="8" t="s">
        <v>48</v>
      </c>
      <c r="G11" s="8" t="s">
        <v>19</v>
      </c>
      <c r="H11" s="13">
        <v>39662.69</v>
      </c>
      <c r="I11" s="8" t="s">
        <v>49</v>
      </c>
      <c r="K11" s="8" t="s">
        <v>50</v>
      </c>
    </row>
    <row r="12" spans="1:12" x14ac:dyDescent="0.3">
      <c r="A12" s="14"/>
      <c r="B12" s="14"/>
      <c r="C12" s="14"/>
      <c r="D12" s="14" t="s">
        <v>51</v>
      </c>
      <c r="E12" s="14"/>
      <c r="F12" s="14"/>
      <c r="G12" s="14"/>
      <c r="H12" s="15">
        <f>SUM(H4:H11)</f>
        <v>285729.94999999995</v>
      </c>
      <c r="I12" s="14"/>
      <c r="J12" s="14"/>
      <c r="K12" s="14"/>
      <c r="L12" s="14"/>
    </row>
  </sheetData>
  <mergeCells count="2">
    <mergeCell ref="A2:F2"/>
    <mergeCell ref="G2:L2"/>
  </mergeCells>
  <pageMargins left="0.7" right="0.2" top="0.75" bottom="0.75" header="0.3" footer="0.3"/>
  <pageSetup paperSize="5" scale="8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E67C-1E3A-484D-AEF5-4D4B0AA61014}">
  <sheetPr>
    <pageSetUpPr fitToPage="1"/>
  </sheetPr>
  <dimension ref="A1:H18"/>
  <sheetViews>
    <sheetView workbookViewId="0">
      <selection activeCell="J7" sqref="J7"/>
    </sheetView>
  </sheetViews>
  <sheetFormatPr defaultRowHeight="15" x14ac:dyDescent="0.25"/>
  <cols>
    <col min="1" max="1" width="15.85546875" customWidth="1"/>
    <col min="2" max="2" width="15.28515625" customWidth="1"/>
    <col min="3" max="3" width="13.7109375" customWidth="1"/>
    <col min="4" max="4" width="18.42578125" customWidth="1"/>
    <col min="5" max="5" width="18.7109375" customWidth="1"/>
    <col min="6" max="6" width="14.85546875" customWidth="1"/>
    <col min="7" max="7" width="17.5703125" customWidth="1"/>
    <col min="8" max="8" width="19.28515625" customWidth="1"/>
  </cols>
  <sheetData>
    <row r="1" spans="1:8" x14ac:dyDescent="0.25">
      <c r="E1" s="4"/>
      <c r="H1" s="4">
        <v>45883.999988425923</v>
      </c>
    </row>
    <row r="2" spans="1:8" x14ac:dyDescent="0.25">
      <c r="A2" s="5" t="s">
        <v>0</v>
      </c>
      <c r="B2" s="5"/>
      <c r="C2" s="6"/>
      <c r="D2" s="6"/>
      <c r="E2" s="7" t="s">
        <v>52</v>
      </c>
      <c r="F2" s="6"/>
      <c r="G2" s="6"/>
      <c r="H2" s="6"/>
    </row>
    <row r="3" spans="1:8" x14ac:dyDescent="0.25">
      <c r="A3" t="s">
        <v>7</v>
      </c>
      <c r="B3" t="s">
        <v>71</v>
      </c>
      <c r="C3" t="s">
        <v>8</v>
      </c>
      <c r="D3" t="s">
        <v>53</v>
      </c>
      <c r="E3" t="s">
        <v>54</v>
      </c>
      <c r="F3" t="s">
        <v>55</v>
      </c>
      <c r="G3" t="s">
        <v>70</v>
      </c>
      <c r="H3" t="s">
        <v>56</v>
      </c>
    </row>
    <row r="4" spans="1:8" ht="27" customHeight="1" x14ac:dyDescent="0.25">
      <c r="A4" t="s">
        <v>18</v>
      </c>
      <c r="C4" t="s">
        <v>19</v>
      </c>
      <c r="D4" s="2">
        <v>750</v>
      </c>
      <c r="E4" s="2">
        <v>0</v>
      </c>
      <c r="F4" s="2">
        <v>29580.26</v>
      </c>
      <c r="G4" s="2"/>
      <c r="H4" s="2">
        <v>29655.26</v>
      </c>
    </row>
    <row r="5" spans="1:8" ht="27" customHeight="1" x14ac:dyDescent="0.25">
      <c r="A5" t="s">
        <v>18</v>
      </c>
      <c r="C5" t="s">
        <v>23</v>
      </c>
      <c r="D5" s="2">
        <v>650</v>
      </c>
      <c r="E5" s="2">
        <v>0</v>
      </c>
      <c r="F5" s="2">
        <v>24244.81</v>
      </c>
      <c r="G5" s="18">
        <f>SUM(F4:F5)</f>
        <v>53825.07</v>
      </c>
      <c r="H5" s="2">
        <v>24319.81</v>
      </c>
    </row>
    <row r="6" spans="1:8" ht="27" customHeight="1" x14ac:dyDescent="0.25">
      <c r="D6" s="2"/>
      <c r="E6" s="2"/>
      <c r="F6" s="2"/>
      <c r="G6" s="2"/>
      <c r="H6" s="2"/>
    </row>
    <row r="7" spans="1:8" ht="27" customHeight="1" x14ac:dyDescent="0.25">
      <c r="A7" t="s">
        <v>39</v>
      </c>
      <c r="C7" t="s">
        <v>23</v>
      </c>
      <c r="D7" s="2">
        <v>300</v>
      </c>
      <c r="E7" s="2">
        <v>0</v>
      </c>
      <c r="F7" s="18">
        <v>13451.56</v>
      </c>
      <c r="G7" s="2"/>
      <c r="H7" s="2">
        <v>13526.56</v>
      </c>
    </row>
    <row r="8" spans="1:8" ht="27" customHeight="1" x14ac:dyDescent="0.25">
      <c r="D8" s="2"/>
      <c r="E8" s="2"/>
      <c r="F8" s="2"/>
      <c r="G8" s="2"/>
      <c r="H8" s="2"/>
    </row>
    <row r="9" spans="1:8" ht="27" customHeight="1" x14ac:dyDescent="0.25">
      <c r="A9" t="s">
        <v>27</v>
      </c>
      <c r="B9" s="19" t="s">
        <v>72</v>
      </c>
      <c r="C9" t="s">
        <v>23</v>
      </c>
      <c r="D9" s="2">
        <v>650</v>
      </c>
      <c r="E9" s="2">
        <v>0</v>
      </c>
      <c r="F9" s="2">
        <v>21577.94</v>
      </c>
      <c r="G9" s="2"/>
      <c r="H9" s="2">
        <v>21652.94</v>
      </c>
    </row>
    <row r="10" spans="1:8" ht="27" customHeight="1" x14ac:dyDescent="0.25">
      <c r="A10" t="s">
        <v>27</v>
      </c>
      <c r="C10" t="s">
        <v>23</v>
      </c>
      <c r="D10" s="2">
        <v>950</v>
      </c>
      <c r="E10" s="2">
        <v>0</v>
      </c>
      <c r="F10" s="2">
        <v>37046.6</v>
      </c>
      <c r="G10" s="18">
        <f>SUM(F9:F10)</f>
        <v>58624.539999999994</v>
      </c>
      <c r="H10" s="2">
        <v>37121.599999999999</v>
      </c>
    </row>
    <row r="11" spans="1:8" ht="27" customHeight="1" x14ac:dyDescent="0.25">
      <c r="D11" s="2"/>
      <c r="E11" s="2"/>
      <c r="F11" s="2"/>
      <c r="G11" s="2"/>
      <c r="H11" s="2"/>
    </row>
    <row r="12" spans="1:8" ht="27" customHeight="1" x14ac:dyDescent="0.25">
      <c r="A12" t="s">
        <v>43</v>
      </c>
      <c r="C12" t="s">
        <v>23</v>
      </c>
      <c r="D12" s="2">
        <v>1500</v>
      </c>
      <c r="E12" s="2">
        <v>0</v>
      </c>
      <c r="F12" s="18">
        <v>81648.09</v>
      </c>
      <c r="G12" s="2"/>
      <c r="H12" s="2">
        <v>81723.09</v>
      </c>
    </row>
    <row r="13" spans="1:8" ht="27" customHeight="1" x14ac:dyDescent="0.25">
      <c r="D13" s="2"/>
      <c r="E13" s="2"/>
      <c r="F13" s="18"/>
      <c r="G13" s="2"/>
      <c r="H13" s="2"/>
    </row>
    <row r="14" spans="1:8" ht="27" customHeight="1" x14ac:dyDescent="0.25">
      <c r="A14" t="s">
        <v>48</v>
      </c>
      <c r="C14" t="s">
        <v>19</v>
      </c>
      <c r="D14" s="2">
        <v>950</v>
      </c>
      <c r="E14" s="2">
        <v>0</v>
      </c>
      <c r="F14" s="18">
        <v>39587.69</v>
      </c>
      <c r="G14" s="2"/>
      <c r="H14" s="2">
        <v>39662.69</v>
      </c>
    </row>
    <row r="15" spans="1:8" ht="27" customHeight="1" x14ac:dyDescent="0.25">
      <c r="D15" s="2"/>
      <c r="E15" s="2"/>
      <c r="F15" s="18"/>
      <c r="G15" s="2"/>
      <c r="H15" s="2"/>
    </row>
    <row r="16" spans="1:8" ht="27" customHeight="1" x14ac:dyDescent="0.25">
      <c r="A16" t="s">
        <v>35</v>
      </c>
      <c r="C16" t="s">
        <v>23</v>
      </c>
      <c r="D16" s="2">
        <v>950</v>
      </c>
      <c r="E16" s="2">
        <v>0</v>
      </c>
      <c r="F16" s="18">
        <v>37993</v>
      </c>
      <c r="G16" s="2"/>
      <c r="H16" s="2">
        <v>38068</v>
      </c>
    </row>
    <row r="17" spans="1:8" ht="21" customHeight="1" x14ac:dyDescent="0.25">
      <c r="D17" s="2"/>
      <c r="E17" s="2"/>
      <c r="F17" s="2"/>
      <c r="G17" s="2"/>
      <c r="H17" s="2"/>
    </row>
    <row r="18" spans="1:8" x14ac:dyDescent="0.25">
      <c r="A18" s="1"/>
      <c r="B18" s="1"/>
      <c r="C18" s="1"/>
      <c r="D18" s="3">
        <f>SUM(D4:D16)</f>
        <v>6700</v>
      </c>
      <c r="E18" s="3">
        <f>SUM(E4:E16)</f>
        <v>0</v>
      </c>
      <c r="F18" s="3">
        <f>SUM(F4:F16)</f>
        <v>285129.95</v>
      </c>
      <c r="G18" s="3"/>
      <c r="H18" s="3">
        <f>SUM(H4:H16)</f>
        <v>285729.95</v>
      </c>
    </row>
  </sheetData>
  <mergeCells count="2">
    <mergeCell ref="A2:D2"/>
    <mergeCell ref="E2:H2"/>
  </mergeCells>
  <pageMargins left="0.7" right="0.2" top="0.75" bottom="0.75" header="0.3" footer="0.3"/>
  <pageSetup scale="8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407C-12D1-48FD-92C9-188044E40684}">
  <sheetPr>
    <pageSetUpPr fitToPage="1"/>
  </sheetPr>
  <dimension ref="A1:F19"/>
  <sheetViews>
    <sheetView zoomScaleNormal="100" workbookViewId="0">
      <selection activeCell="M19" sqref="M19"/>
    </sheetView>
  </sheetViews>
  <sheetFormatPr defaultRowHeight="15" x14ac:dyDescent="0.25"/>
  <cols>
    <col min="1" max="1" width="12.42578125" customWidth="1"/>
    <col min="6" max="6" width="21" customWidth="1"/>
  </cols>
  <sheetData>
    <row r="1" spans="1:6" ht="27" customHeight="1" x14ac:dyDescent="0.25">
      <c r="A1" t="s">
        <v>66</v>
      </c>
      <c r="D1" s="4"/>
      <c r="F1" s="4">
        <v>45883.999988425923</v>
      </c>
    </row>
    <row r="2" spans="1:6" ht="27" customHeight="1" x14ac:dyDescent="0.25">
      <c r="A2" s="5" t="s">
        <v>0</v>
      </c>
      <c r="B2" s="6"/>
      <c r="C2" s="6"/>
      <c r="D2" s="7" t="s">
        <v>57</v>
      </c>
      <c r="E2" s="6"/>
      <c r="F2" s="6"/>
    </row>
    <row r="3" spans="1:6" ht="27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7" customHeight="1" x14ac:dyDescent="0.25">
      <c r="A4" t="s">
        <v>45</v>
      </c>
      <c r="B4" t="s">
        <v>46</v>
      </c>
      <c r="C4" t="s">
        <v>47</v>
      </c>
      <c r="E4" t="s">
        <v>48</v>
      </c>
    </row>
    <row r="5" spans="1:6" ht="27" customHeight="1" x14ac:dyDescent="0.25">
      <c r="A5" s="1"/>
      <c r="B5" s="1"/>
      <c r="C5" s="1" t="s">
        <v>58</v>
      </c>
      <c r="D5" s="1"/>
      <c r="E5" s="1"/>
      <c r="F5" s="1"/>
    </row>
    <row r="10" spans="1:6" x14ac:dyDescent="0.25">
      <c r="B10" s="16"/>
      <c r="C10" s="16"/>
      <c r="D10" s="16"/>
      <c r="E10" s="16"/>
      <c r="F10" s="16"/>
    </row>
    <row r="11" spans="1:6" x14ac:dyDescent="0.25">
      <c r="A11" t="s">
        <v>67</v>
      </c>
      <c r="B11" s="17"/>
      <c r="C11" s="17"/>
      <c r="D11" s="17"/>
      <c r="E11" s="17"/>
      <c r="F11" s="17"/>
    </row>
    <row r="15" spans="1:6" x14ac:dyDescent="0.25">
      <c r="A15" t="s">
        <v>68</v>
      </c>
      <c r="B15" s="17"/>
      <c r="C15" s="17"/>
      <c r="D15" s="17"/>
      <c r="E15" s="17"/>
      <c r="F15" s="17"/>
    </row>
    <row r="19" spans="1:4" x14ac:dyDescent="0.25">
      <c r="A19" t="s">
        <v>69</v>
      </c>
      <c r="B19" s="17"/>
      <c r="C19" s="17"/>
      <c r="D19" s="17"/>
    </row>
  </sheetData>
  <mergeCells count="2">
    <mergeCell ref="A2:C2"/>
    <mergeCell ref="D2:F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2025-08-14T18:31:20Z</cp:lastPrinted>
  <dcterms:created xsi:type="dcterms:W3CDTF">2025-08-14T18:15:27Z</dcterms:created>
  <dcterms:modified xsi:type="dcterms:W3CDTF">2025-08-14T18:47:53Z</dcterms:modified>
</cp:coreProperties>
</file>