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A67EB67-8D31-4BB6-88AD-E414A755F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3" r:id="rId1"/>
    <sheet name="Funding Worksheet - Folder Vers" sheetId="1" r:id="rId2"/>
    <sheet name="Funding Worksheet - Signoff V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8" i="3"/>
  <c r="F26" i="3"/>
  <c r="C29" i="3"/>
  <c r="D29" i="3"/>
  <c r="E29" i="3"/>
  <c r="H29" i="3"/>
  <c r="H19" i="1"/>
</calcChain>
</file>

<file path=xl/sharedStrings.xml><?xml version="1.0" encoding="utf-8"?>
<sst xmlns="http://schemas.openxmlformats.org/spreadsheetml/2006/main" count="210" uniqueCount="108">
  <si>
    <t>Bristol County Savings Bank</t>
  </si>
  <si>
    <t>Funding Worksheet - Folder Version</t>
  </si>
  <si>
    <t>To</t>
  </si>
  <si>
    <t>From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</si>
  <si>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</si>
  <si>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</si>
  <si>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</si>
  <si>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</si>
  <si>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</si>
  <si>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</si>
  <si>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</si>
  <si>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</si>
  <si>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</si>
  <si>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</si>
  <si>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</si>
  <si>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</si>
  <si>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</si>
  <si>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</si>
  <si>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GOMEZ, VICTOR</t>
  </si>
  <si>
    <t>Planet Subaru</t>
  </si>
  <si>
    <t>Neli Oliveira</t>
  </si>
  <si>
    <t>GOMEZJR.VICTOR@GMAIL.COM</t>
  </si>
  <si>
    <t>JUSTINA</t>
  </si>
  <si>
    <t>TAMULIONIS, KATHERINE</t>
  </si>
  <si>
    <t>Coastal Volkswagon</t>
  </si>
  <si>
    <t>Rachel Gorham</t>
  </si>
  <si>
    <t>WEST</t>
  </si>
  <si>
    <t>151221844</t>
  </si>
  <si>
    <t>Paper</t>
  </si>
  <si>
    <t>HANLON, PATRICIA</t>
  </si>
  <si>
    <t>S&amp;E Auto Services and Sales Inc</t>
  </si>
  <si>
    <t>PATRISH340@YAHOO.COM</t>
  </si>
  <si>
    <t>AMORU</t>
  </si>
  <si>
    <t>Route One</t>
  </si>
  <si>
    <t>LURIE, TYLANNA</t>
  </si>
  <si>
    <t>Patriot Auto Group Inc d/b/a</t>
  </si>
  <si>
    <t>tylannalurie@gmail.com</t>
  </si>
  <si>
    <t>BERNARDO</t>
  </si>
  <si>
    <t>REICH, JOSEPH</t>
  </si>
  <si>
    <t>REICH, JENNIFER</t>
  </si>
  <si>
    <t>Salvadore Chrysler</t>
  </si>
  <si>
    <t>jreich31@gmail.com</t>
  </si>
  <si>
    <t>jlreich2015@gmail.com</t>
  </si>
  <si>
    <t>NICOLN</t>
  </si>
  <si>
    <t>MASON</t>
  </si>
  <si>
    <t>DAVIS, LISA</t>
  </si>
  <si>
    <t>Langway Toyota of Newport</t>
  </si>
  <si>
    <t>LISAEASTSHOREPROP@YAHOO.COM</t>
  </si>
  <si>
    <t>PAPPAS</t>
  </si>
  <si>
    <t>151221993</t>
  </si>
  <si>
    <t>STOREY, MARK</t>
  </si>
  <si>
    <t>MDSTOREY1@GMAIL.COM</t>
  </si>
  <si>
    <t>THOMPSON</t>
  </si>
  <si>
    <t>DERITA, ELYSSE</t>
  </si>
  <si>
    <t>Mastria Mazda</t>
  </si>
  <si>
    <t>ERDERITA@GMAIL.COM</t>
  </si>
  <si>
    <t>JACOBS</t>
  </si>
  <si>
    <t>MARINELLI, DANTE</t>
  </si>
  <si>
    <t>Richard Lundgren, Inc. d/b/a</t>
  </si>
  <si>
    <t>DANNY@HOCLASSICS.COM</t>
  </si>
  <si>
    <t>DIOTALEVI</t>
  </si>
  <si>
    <t>151222032</t>
  </si>
  <si>
    <t>THORPE, MICHAEL</t>
  </si>
  <si>
    <t>RAH FALL RIVER VW, LLC</t>
  </si>
  <si>
    <t>MICHAEL.THORPE1@GMAIL.COM</t>
  </si>
  <si>
    <t>FITZPATRICK</t>
  </si>
  <si>
    <t>CABRAL, MARIA</t>
  </si>
  <si>
    <t>Alden Mazda</t>
  </si>
  <si>
    <t>FLORIANOCABRAL@YAHOO.COM</t>
  </si>
  <si>
    <t>CANDIDO</t>
  </si>
  <si>
    <t>151222058</t>
  </si>
  <si>
    <t>HICKEY, JENNA</t>
  </si>
  <si>
    <t>JENNAROSE260@1CLOUD.COM</t>
  </si>
  <si>
    <t>SIMONTACCHI</t>
  </si>
  <si>
    <t>BOUDREAU, TERRY</t>
  </si>
  <si>
    <t>TB4CMC@YAHOO.COM</t>
  </si>
  <si>
    <t>BUTTS</t>
  </si>
  <si>
    <t>DELUCA, PAMELA</t>
  </si>
  <si>
    <t>Grieco Hyundai</t>
  </si>
  <si>
    <t>FOLEY</t>
  </si>
  <si>
    <t>JOYCE, KELSEY</t>
  </si>
  <si>
    <t>MARED28@VERIZON.NET</t>
  </si>
  <si>
    <t>STAUFENBERGER</t>
  </si>
  <si>
    <t># 15</t>
  </si>
  <si>
    <t>151221539e</t>
  </si>
  <si>
    <t>151221836e</t>
  </si>
  <si>
    <t>151221927e</t>
  </si>
  <si>
    <t>151221935e</t>
  </si>
  <si>
    <t>151221951e</t>
  </si>
  <si>
    <t>151222016e</t>
  </si>
  <si>
    <t>151222024e</t>
  </si>
  <si>
    <t>151222040e</t>
  </si>
  <si>
    <t>151222066e</t>
  </si>
  <si>
    <t>151222074e</t>
  </si>
  <si>
    <t>151222090e</t>
  </si>
  <si>
    <t>Date Signed_______________________________________________</t>
  </si>
  <si>
    <t>Received By_________________________________________________________________</t>
  </si>
  <si>
    <t>Delivered By________________________________________________________________</t>
  </si>
  <si>
    <t>#  4</t>
  </si>
  <si>
    <t>Funding Worksheet - Signoff Version</t>
  </si>
  <si>
    <t>5900     6390</t>
  </si>
  <si>
    <t>Contracted Amount Financed</t>
  </si>
  <si>
    <t>Column2</t>
  </si>
  <si>
    <t>Column1</t>
  </si>
  <si>
    <t>Net to Dealer</t>
  </si>
  <si>
    <t>Dealer Split</t>
  </si>
  <si>
    <t>Dealer Flat</t>
  </si>
  <si>
    <t>Funding Worksheet - ACH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</si>
</sst>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/>
    <xf numFmtId="7" fontId="2" fillId="0" borderId="0" xfId="1" applyNumberFormat="1" applyFill="1"/>
    <xf numFmtId="7" fontId="1" fillId="0" borderId="0" xfId="1" applyNumberFormat="1" applyFont="1" applyFill="1"/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2">
    <cellStyle name="Normal" xfId="0" builtinId="0"/>
    <cellStyle name="Normal 2" xfId="1" xr:uid="{21BE9DC8-186C-4B37-8F6E-453BC589C0EB}"/>
  </cellStyles>
  <dxfs count="1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  <fill>
        <patternFill patternType="none">
          <fgColor indexed="64"/>
          <bgColor auto="1"/>
        </patternFill>
      </fill>
    </dxf>
    <dxf>
      <numFmt numFmtId="11" formatCode="&quot;$&quot;#,##0.00_);\(&quot;$&quot;#,##0.00\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7FDA0D-22C1-44A3-B419-29F8E2FF8FF5}" name="Table_14" displayName="Table_14" ref="A3:H29" headerRowDxfId="18" dataDxfId="17" totalsRowDxfId="16">
  <tableColumns count="8">
    <tableColumn id="1" xr3:uid="{00000000-0010-0000-0000-000001000000}" name="Dealer Name" dataDxfId="15"/>
    <tableColumn id="2" xr3:uid="{00000000-0010-0000-0000-000002000000}" name="Funded by" dataDxfId="14"/>
    <tableColumn id="3" xr3:uid="{00000000-0010-0000-0000-000003000000}" name="Dealer Flat" dataDxfId="13"/>
    <tableColumn id="4" xr3:uid="{00000000-0010-0000-0000-000004000000}" name="Dealer Split" dataDxfId="12"/>
    <tableColumn id="5" xr3:uid="{00000000-0010-0000-0000-000005000000}" name="Net to Dealer" dataDxfId="11"/>
    <tableColumn id="7" xr3:uid="{590998B5-4305-4B19-A0B3-B1FA44B5627B}" name="Column1" dataDxfId="10"/>
    <tableColumn id="8" xr3:uid="{65D9EB0D-5069-4E6A-9E83-73D922A6D3BF}" name="Column2" dataDxfId="9"/>
    <tableColumn id="6" xr3:uid="{00000000-0010-0000-0000-000006000000}" name="Contracted Amount Financed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9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DCAEB-28DC-464B-97E4-FCAADCC412DC}" name="Table_13" displayName="Table_13" ref="A3:E8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1DFD-B18C-467B-9E99-361F7974B946}">
  <sheetPr>
    <pageSetUpPr fitToPage="1"/>
  </sheetPr>
  <dimension ref="A1:H33"/>
  <sheetViews>
    <sheetView tabSelected="1" workbookViewId="0">
      <pane ySplit="3" topLeftCell="A4" activePane="bottomLeft" state="frozen"/>
      <selection pane="bottomLeft" activeCell="J24" sqref="J24"/>
    </sheetView>
  </sheetViews>
  <sheetFormatPr defaultRowHeight="15" x14ac:dyDescent="0.25"/>
  <cols>
    <col min="1" max="1" width="30.7109375" style="5" bestFit="1" customWidth="1"/>
    <col min="2" max="2" width="15.140625" style="5" bestFit="1" customWidth="1"/>
    <col min="3" max="3" width="11.140625" style="5" bestFit="1" customWidth="1"/>
    <col min="4" max="4" width="18.7109375" style="5" bestFit="1" customWidth="1"/>
    <col min="5" max="5" width="13.28515625" style="5" bestFit="1" customWidth="1"/>
    <col min="6" max="7" width="13.28515625" style="5" customWidth="1"/>
    <col min="8" max="8" width="27.85546875" style="5" bestFit="1" customWidth="1"/>
    <col min="9" max="16384" width="9.140625" style="5"/>
  </cols>
  <sheetData>
    <row r="1" spans="1:8" x14ac:dyDescent="0.25">
      <c r="A1" s="6"/>
      <c r="B1" s="6"/>
      <c r="C1" s="6" t="s">
        <v>3</v>
      </c>
      <c r="D1" s="7">
        <v>45908</v>
      </c>
      <c r="E1" s="6" t="s">
        <v>2</v>
      </c>
      <c r="F1" s="6"/>
      <c r="G1" s="6"/>
      <c r="H1" s="7">
        <v>45908.999988425923</v>
      </c>
    </row>
    <row r="2" spans="1:8" x14ac:dyDescent="0.25">
      <c r="A2" s="11" t="s">
        <v>0</v>
      </c>
      <c r="B2" s="12"/>
      <c r="C2" s="12"/>
      <c r="D2" s="13" t="s">
        <v>107</v>
      </c>
      <c r="E2" s="12"/>
      <c r="F2" s="12"/>
      <c r="G2" s="12"/>
      <c r="H2" s="12"/>
    </row>
    <row r="3" spans="1:8" x14ac:dyDescent="0.25">
      <c r="A3" s="6" t="s">
        <v>9</v>
      </c>
      <c r="B3" s="6" t="s">
        <v>10</v>
      </c>
      <c r="C3" s="6" t="s">
        <v>106</v>
      </c>
      <c r="D3" s="6" t="s">
        <v>105</v>
      </c>
      <c r="E3" s="6" t="s">
        <v>104</v>
      </c>
      <c r="F3" s="6" t="s">
        <v>103</v>
      </c>
      <c r="G3" s="6" t="s">
        <v>102</v>
      </c>
      <c r="H3" s="6" t="s">
        <v>101</v>
      </c>
    </row>
    <row r="4" spans="1:8" x14ac:dyDescent="0.25">
      <c r="A4" s="6" t="s">
        <v>67</v>
      </c>
      <c r="B4" s="6" t="s">
        <v>20</v>
      </c>
      <c r="C4" s="9">
        <v>650</v>
      </c>
      <c r="D4" s="9">
        <v>0</v>
      </c>
      <c r="E4" s="9">
        <v>19925</v>
      </c>
      <c r="F4" s="9"/>
      <c r="G4" s="9"/>
      <c r="H4" s="9">
        <v>20000</v>
      </c>
    </row>
    <row r="5" spans="1:8" x14ac:dyDescent="0.25">
      <c r="A5" s="6" t="s">
        <v>67</v>
      </c>
      <c r="B5" s="6" t="s">
        <v>20</v>
      </c>
      <c r="C5" s="9">
        <v>650</v>
      </c>
      <c r="D5" s="9">
        <v>0</v>
      </c>
      <c r="E5" s="9">
        <v>21736.39</v>
      </c>
      <c r="F5" s="9">
        <f>SUM(E4:E5)</f>
        <v>41661.39</v>
      </c>
      <c r="G5" s="9"/>
      <c r="H5" s="9">
        <v>21811.39</v>
      </c>
    </row>
    <row r="6" spans="1:8" x14ac:dyDescent="0.25">
      <c r="A6" s="6"/>
      <c r="B6" s="6"/>
      <c r="C6" s="9"/>
      <c r="D6" s="9"/>
      <c r="E6" s="9"/>
      <c r="F6" s="9"/>
      <c r="G6" s="9"/>
      <c r="H6" s="9"/>
    </row>
    <row r="7" spans="1:8" x14ac:dyDescent="0.25">
      <c r="A7" s="6" t="s">
        <v>24</v>
      </c>
      <c r="B7" s="6" t="s">
        <v>25</v>
      </c>
      <c r="C7" s="9">
        <v>650</v>
      </c>
      <c r="D7" s="9">
        <v>0</v>
      </c>
      <c r="E7" s="9">
        <v>22181</v>
      </c>
      <c r="F7" s="9"/>
      <c r="G7" s="9"/>
      <c r="H7" s="9">
        <v>22256</v>
      </c>
    </row>
    <row r="8" spans="1:8" x14ac:dyDescent="0.25">
      <c r="A8" s="6" t="s">
        <v>24</v>
      </c>
      <c r="B8" s="6" t="s">
        <v>25</v>
      </c>
      <c r="C8" s="9">
        <v>650</v>
      </c>
      <c r="D8" s="9">
        <v>0</v>
      </c>
      <c r="E8" s="9">
        <v>19950.189999999999</v>
      </c>
      <c r="F8" s="9">
        <f>SUM(E7:E8)</f>
        <v>42131.19</v>
      </c>
      <c r="G8" s="9"/>
      <c r="H8" s="9">
        <v>20025.189999999999</v>
      </c>
    </row>
    <row r="9" spans="1:8" x14ac:dyDescent="0.25">
      <c r="A9" s="6"/>
      <c r="B9" s="6"/>
      <c r="C9" s="9"/>
      <c r="D9" s="9"/>
      <c r="E9" s="9"/>
      <c r="F9" s="9"/>
      <c r="G9" s="9"/>
      <c r="H9" s="9"/>
    </row>
    <row r="10" spans="1:8" x14ac:dyDescent="0.25">
      <c r="A10" s="6" t="s">
        <v>78</v>
      </c>
      <c r="B10" s="6" t="s">
        <v>20</v>
      </c>
      <c r="C10" s="9">
        <v>850</v>
      </c>
      <c r="D10" s="9">
        <v>0</v>
      </c>
      <c r="E10" s="9">
        <v>34165.4</v>
      </c>
      <c r="F10" s="9"/>
      <c r="G10" s="9"/>
      <c r="H10" s="9">
        <v>34240.400000000001</v>
      </c>
    </row>
    <row r="11" spans="1:8" x14ac:dyDescent="0.25">
      <c r="A11" s="6"/>
      <c r="B11" s="6"/>
      <c r="C11" s="9"/>
      <c r="D11" s="9"/>
      <c r="E11" s="9"/>
      <c r="F11" s="9"/>
      <c r="G11" s="9"/>
      <c r="H11" s="9"/>
    </row>
    <row r="12" spans="1:8" x14ac:dyDescent="0.25">
      <c r="A12" s="6" t="s">
        <v>46</v>
      </c>
      <c r="B12" s="6" t="s">
        <v>25</v>
      </c>
      <c r="C12" s="9">
        <v>1050</v>
      </c>
      <c r="D12" s="9">
        <v>0</v>
      </c>
      <c r="E12" s="9">
        <v>42347.97</v>
      </c>
      <c r="F12" s="9"/>
      <c r="G12" s="9"/>
      <c r="H12" s="9">
        <v>42422.97</v>
      </c>
    </row>
    <row r="13" spans="1:8" x14ac:dyDescent="0.25">
      <c r="A13" s="6"/>
      <c r="B13" s="6"/>
      <c r="C13" s="9"/>
      <c r="D13" s="9"/>
      <c r="E13" s="9"/>
      <c r="F13" s="9"/>
      <c r="G13" s="9"/>
      <c r="H13" s="9"/>
    </row>
    <row r="14" spans="1:8" x14ac:dyDescent="0.25">
      <c r="A14" s="6" t="s">
        <v>54</v>
      </c>
      <c r="B14" s="6" t="s">
        <v>25</v>
      </c>
      <c r="C14" s="9">
        <v>750</v>
      </c>
      <c r="D14" s="9">
        <v>0</v>
      </c>
      <c r="E14" s="9">
        <v>26297.360000000001</v>
      </c>
      <c r="F14" s="9"/>
      <c r="G14" s="9" t="s">
        <v>100</v>
      </c>
      <c r="H14" s="9">
        <v>26372.36</v>
      </c>
    </row>
    <row r="15" spans="1:8" x14ac:dyDescent="0.25">
      <c r="A15" s="6"/>
      <c r="B15" s="6"/>
      <c r="C15" s="9"/>
      <c r="D15" s="9"/>
      <c r="E15" s="9"/>
      <c r="F15" s="9"/>
      <c r="G15" s="9"/>
      <c r="H15" s="9"/>
    </row>
    <row r="16" spans="1:8" x14ac:dyDescent="0.25">
      <c r="A16" s="6" t="s">
        <v>35</v>
      </c>
      <c r="B16" s="6" t="s">
        <v>25</v>
      </c>
      <c r="C16" s="9">
        <v>650</v>
      </c>
      <c r="D16" s="9">
        <v>0</v>
      </c>
      <c r="E16" s="9">
        <v>24557.88</v>
      </c>
      <c r="F16" s="9"/>
      <c r="G16" s="9"/>
      <c r="H16" s="9">
        <v>24632.880000000001</v>
      </c>
    </row>
    <row r="17" spans="1:8" x14ac:dyDescent="0.25">
      <c r="A17" s="6"/>
      <c r="B17" s="6"/>
      <c r="C17" s="9"/>
      <c r="D17" s="9"/>
      <c r="E17" s="9"/>
      <c r="F17" s="9"/>
      <c r="G17" s="9"/>
      <c r="H17" s="9"/>
    </row>
    <row r="18" spans="1:8" x14ac:dyDescent="0.25">
      <c r="A18" s="6" t="s">
        <v>19</v>
      </c>
      <c r="B18" s="6" t="s">
        <v>20</v>
      </c>
      <c r="C18" s="9">
        <v>500</v>
      </c>
      <c r="D18" s="9">
        <v>0</v>
      </c>
      <c r="E18" s="9">
        <v>19896</v>
      </c>
      <c r="F18" s="9"/>
      <c r="G18" s="9"/>
      <c r="H18" s="9">
        <v>19971</v>
      </c>
    </row>
    <row r="19" spans="1:8" x14ac:dyDescent="0.25">
      <c r="A19" s="6"/>
      <c r="B19" s="6"/>
      <c r="C19" s="9"/>
      <c r="D19" s="9"/>
      <c r="E19" s="9"/>
      <c r="F19" s="9"/>
      <c r="G19" s="9"/>
      <c r="H19" s="9"/>
    </row>
    <row r="20" spans="1:8" x14ac:dyDescent="0.25">
      <c r="A20" s="6" t="s">
        <v>63</v>
      </c>
      <c r="B20" s="6" t="s">
        <v>20</v>
      </c>
      <c r="C20" s="9">
        <v>1350</v>
      </c>
      <c r="D20" s="9">
        <v>0</v>
      </c>
      <c r="E20" s="9">
        <v>53929.98</v>
      </c>
      <c r="F20" s="9"/>
      <c r="G20" s="9"/>
      <c r="H20" s="9">
        <v>54004.98</v>
      </c>
    </row>
    <row r="21" spans="1:8" x14ac:dyDescent="0.25">
      <c r="A21" s="6"/>
      <c r="B21" s="6"/>
      <c r="C21" s="9"/>
      <c r="D21" s="9"/>
      <c r="E21" s="9"/>
      <c r="F21" s="9"/>
      <c r="G21" s="9"/>
      <c r="H21" s="9"/>
    </row>
    <row r="22" spans="1:8" x14ac:dyDescent="0.25">
      <c r="A22" s="6" t="s">
        <v>58</v>
      </c>
      <c r="B22" s="6" t="s">
        <v>20</v>
      </c>
      <c r="C22" s="9">
        <v>1350</v>
      </c>
      <c r="D22" s="9">
        <v>0</v>
      </c>
      <c r="E22" s="9">
        <v>56827.33</v>
      </c>
      <c r="F22" s="9"/>
      <c r="G22" s="9"/>
      <c r="H22" s="9">
        <v>56902.33</v>
      </c>
    </row>
    <row r="23" spans="1:8" x14ac:dyDescent="0.25">
      <c r="A23" s="6"/>
      <c r="B23" s="6"/>
      <c r="C23" s="9"/>
      <c r="D23" s="9"/>
      <c r="E23" s="9"/>
      <c r="F23" s="9"/>
      <c r="G23" s="9"/>
      <c r="H23" s="9"/>
    </row>
    <row r="24" spans="1:8" x14ac:dyDescent="0.25">
      <c r="A24" s="6" t="s">
        <v>30</v>
      </c>
      <c r="B24" s="6" t="s">
        <v>25</v>
      </c>
      <c r="C24" s="9">
        <v>0</v>
      </c>
      <c r="D24" s="9">
        <v>0</v>
      </c>
      <c r="E24" s="9">
        <v>6627.06</v>
      </c>
      <c r="F24" s="9"/>
      <c r="G24" s="9"/>
      <c r="H24" s="9">
        <v>6702.06</v>
      </c>
    </row>
    <row r="25" spans="1:8" x14ac:dyDescent="0.25">
      <c r="A25" s="6" t="s">
        <v>30</v>
      </c>
      <c r="B25" s="6" t="s">
        <v>25</v>
      </c>
      <c r="C25" s="9">
        <v>650</v>
      </c>
      <c r="D25" s="9">
        <v>0</v>
      </c>
      <c r="E25" s="9">
        <v>20148.689999999999</v>
      </c>
      <c r="F25" s="9"/>
      <c r="G25" s="9"/>
      <c r="H25" s="9">
        <v>20223.689999999999</v>
      </c>
    </row>
    <row r="26" spans="1:8" x14ac:dyDescent="0.25">
      <c r="A26" s="6" t="s">
        <v>30</v>
      </c>
      <c r="B26" s="6" t="s">
        <v>25</v>
      </c>
      <c r="C26" s="9">
        <v>750</v>
      </c>
      <c r="D26" s="9">
        <v>0</v>
      </c>
      <c r="E26" s="9">
        <v>27648.69</v>
      </c>
      <c r="F26" s="9">
        <f>SUM(E24:E26)</f>
        <v>54424.44</v>
      </c>
      <c r="G26" s="9"/>
      <c r="H26" s="9">
        <v>27723.69</v>
      </c>
    </row>
    <row r="27" spans="1:8" x14ac:dyDescent="0.25">
      <c r="A27" s="6"/>
      <c r="B27" s="6"/>
      <c r="C27" s="9"/>
      <c r="D27" s="9"/>
      <c r="E27" s="9"/>
      <c r="F27" s="9"/>
      <c r="G27" s="9"/>
      <c r="H27" s="9"/>
    </row>
    <row r="28" spans="1:8" x14ac:dyDescent="0.25">
      <c r="A28" s="6" t="s">
        <v>40</v>
      </c>
      <c r="B28" s="6" t="s">
        <v>25</v>
      </c>
      <c r="C28" s="9">
        <v>750</v>
      </c>
      <c r="D28" s="9">
        <v>0</v>
      </c>
      <c r="E28" s="9">
        <v>27865</v>
      </c>
      <c r="F28" s="9"/>
      <c r="G28" s="9"/>
      <c r="H28" s="9">
        <v>27940</v>
      </c>
    </row>
    <row r="29" spans="1:8" x14ac:dyDescent="0.25">
      <c r="A29" s="8"/>
      <c r="B29" s="8"/>
      <c r="C29" s="10">
        <f>SUM(C4:C28)</f>
        <v>11250</v>
      </c>
      <c r="D29" s="10">
        <f>SUM(D4:D28)</f>
        <v>0</v>
      </c>
      <c r="E29" s="10">
        <f>SUM(E4:E28)</f>
        <v>424103.94</v>
      </c>
      <c r="F29" s="10"/>
      <c r="G29" s="10"/>
      <c r="H29" s="10">
        <f>SUM(H4:H28)</f>
        <v>425228.94</v>
      </c>
    </row>
    <row r="30" spans="1:8" x14ac:dyDescent="0.25">
      <c r="A30" s="6"/>
      <c r="B30" s="6"/>
      <c r="C30" s="6"/>
      <c r="D30" s="6"/>
      <c r="E30" s="6"/>
      <c r="F30" s="6"/>
      <c r="G30" s="6"/>
      <c r="H30" s="6"/>
    </row>
    <row r="31" spans="1:8" x14ac:dyDescent="0.25">
      <c r="A31" s="6"/>
      <c r="B31" s="6"/>
      <c r="C31" s="6"/>
      <c r="D31" s="6"/>
      <c r="E31" s="6"/>
      <c r="F31" s="6"/>
      <c r="G31" s="6"/>
      <c r="H31" s="6"/>
    </row>
    <row r="32" spans="1:8" x14ac:dyDescent="0.25">
      <c r="A32" s="6"/>
      <c r="B32" s="6"/>
      <c r="C32" s="6"/>
      <c r="D32" s="6"/>
      <c r="E32" s="6"/>
      <c r="F32" s="6"/>
      <c r="G32" s="6"/>
      <c r="H32" s="6"/>
    </row>
    <row r="33" spans="1:8" x14ac:dyDescent="0.25">
      <c r="A33" s="6"/>
      <c r="B33" s="6"/>
      <c r="C33" s="6"/>
      <c r="D33" s="6"/>
      <c r="E33" s="6"/>
      <c r="F33" s="6"/>
      <c r="G33" s="6"/>
      <c r="H33" s="6"/>
    </row>
  </sheetData>
  <mergeCells count="2">
    <mergeCell ref="A2:C2"/>
    <mergeCell ref="D2:H2"/>
  </mergeCells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workbookViewId="0">
      <pane ySplit="3" topLeftCell="A10" activePane="bottomLeft" state="frozen"/>
      <selection pane="bottomLeft" activeCell="D18" sqref="D18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4" bestFit="1" customWidth="1"/>
    <col min="5" max="5" width="18.7109375" bestFit="1" customWidth="1"/>
    <col min="6" max="6" width="30.7109375" bestFit="1" customWidth="1"/>
    <col min="7" max="7" width="15.140625" bestFit="1" customWidth="1"/>
    <col min="8" max="8" width="17.140625" bestFit="1" customWidth="1"/>
    <col min="9" max="9" width="34.42578125" bestFit="1" customWidth="1"/>
    <col min="10" max="10" width="22.7109375" bestFit="1" customWidth="1"/>
    <col min="11" max="11" width="18.7109375" bestFit="1" customWidth="1"/>
    <col min="12" max="12" width="12.85546875" bestFit="1" customWidth="1"/>
  </cols>
  <sheetData>
    <row r="1" spans="1:12" ht="35.1" customHeight="1" x14ac:dyDescent="0.25">
      <c r="J1" t="s">
        <v>3</v>
      </c>
      <c r="K1" s="4">
        <v>45908</v>
      </c>
      <c r="L1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1</v>
      </c>
      <c r="H2" s="15"/>
      <c r="I2" s="15"/>
      <c r="J2" s="15"/>
      <c r="K2" s="15"/>
      <c r="L2" s="15"/>
    </row>
    <row r="3" spans="1:12" ht="35.1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</row>
    <row r="4" spans="1:12" ht="35.1" customHeight="1" x14ac:dyDescent="0.25">
      <c r="A4" t="s">
        <v>84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19971</v>
      </c>
      <c r="I4" t="s">
        <v>21</v>
      </c>
      <c r="K4" t="s">
        <v>22</v>
      </c>
    </row>
    <row r="5" spans="1:12" ht="35.1" customHeight="1" x14ac:dyDescent="0.25">
      <c r="A5" t="s">
        <v>85</v>
      </c>
      <c r="B5" t="s">
        <v>16</v>
      </c>
      <c r="C5" t="s">
        <v>17</v>
      </c>
      <c r="D5" t="s">
        <v>23</v>
      </c>
      <c r="F5" t="s">
        <v>24</v>
      </c>
      <c r="G5" t="s">
        <v>25</v>
      </c>
      <c r="H5" s="2">
        <v>22256</v>
      </c>
      <c r="K5" t="s">
        <v>26</v>
      </c>
    </row>
    <row r="6" spans="1:12" ht="35.1" customHeight="1" x14ac:dyDescent="0.25">
      <c r="A6" t="s">
        <v>27</v>
      </c>
      <c r="B6" t="s">
        <v>16</v>
      </c>
      <c r="C6" t="s">
        <v>28</v>
      </c>
      <c r="D6" t="s">
        <v>29</v>
      </c>
      <c r="F6" t="s">
        <v>30</v>
      </c>
      <c r="G6" t="s">
        <v>25</v>
      </c>
      <c r="H6" s="2">
        <v>20223.689999999999</v>
      </c>
      <c r="I6" t="s">
        <v>31</v>
      </c>
      <c r="K6" t="s">
        <v>32</v>
      </c>
    </row>
    <row r="7" spans="1:12" ht="35.1" customHeight="1" x14ac:dyDescent="0.25">
      <c r="A7" t="s">
        <v>86</v>
      </c>
      <c r="B7" t="s">
        <v>33</v>
      </c>
      <c r="C7" t="s">
        <v>17</v>
      </c>
      <c r="D7" t="s">
        <v>34</v>
      </c>
      <c r="F7" t="s">
        <v>35</v>
      </c>
      <c r="G7" t="s">
        <v>25</v>
      </c>
      <c r="H7" s="2">
        <v>24632.880000000001</v>
      </c>
      <c r="I7" t="s">
        <v>36</v>
      </c>
      <c r="K7" t="s">
        <v>37</v>
      </c>
    </row>
    <row r="8" spans="1:12" ht="35.1" customHeight="1" x14ac:dyDescent="0.25">
      <c r="A8" t="s">
        <v>87</v>
      </c>
      <c r="B8" t="s">
        <v>33</v>
      </c>
      <c r="C8" t="s">
        <v>17</v>
      </c>
      <c r="D8" t="s">
        <v>38</v>
      </c>
      <c r="E8" t="s">
        <v>39</v>
      </c>
      <c r="F8" t="s">
        <v>40</v>
      </c>
      <c r="G8" t="s">
        <v>25</v>
      </c>
      <c r="H8" s="2">
        <v>27940</v>
      </c>
      <c r="I8" t="s">
        <v>41</v>
      </c>
      <c r="J8" t="s">
        <v>42</v>
      </c>
      <c r="K8" t="s">
        <v>43</v>
      </c>
      <c r="L8" t="s">
        <v>44</v>
      </c>
    </row>
    <row r="9" spans="1:12" ht="35.1" customHeight="1" x14ac:dyDescent="0.25">
      <c r="A9" t="s">
        <v>88</v>
      </c>
      <c r="B9" t="s">
        <v>33</v>
      </c>
      <c r="C9" t="s">
        <v>17</v>
      </c>
      <c r="D9" t="s">
        <v>45</v>
      </c>
      <c r="F9" t="s">
        <v>46</v>
      </c>
      <c r="G9" t="s">
        <v>25</v>
      </c>
      <c r="H9" s="2">
        <v>42422.97</v>
      </c>
      <c r="I9" t="s">
        <v>47</v>
      </c>
      <c r="K9" t="s">
        <v>48</v>
      </c>
    </row>
    <row r="10" spans="1:12" ht="35.1" customHeight="1" x14ac:dyDescent="0.25">
      <c r="A10" t="s">
        <v>49</v>
      </c>
      <c r="B10" t="s">
        <v>16</v>
      </c>
      <c r="C10" t="s">
        <v>28</v>
      </c>
      <c r="D10" t="s">
        <v>50</v>
      </c>
      <c r="F10" t="s">
        <v>30</v>
      </c>
      <c r="G10" t="s">
        <v>25</v>
      </c>
      <c r="H10" s="2">
        <v>6702.06</v>
      </c>
      <c r="I10" t="s">
        <v>51</v>
      </c>
      <c r="K10" t="s">
        <v>52</v>
      </c>
    </row>
    <row r="11" spans="1:12" ht="35.1" customHeight="1" x14ac:dyDescent="0.25">
      <c r="A11" t="s">
        <v>89</v>
      </c>
      <c r="B11" t="s">
        <v>33</v>
      </c>
      <c r="C11" t="s">
        <v>17</v>
      </c>
      <c r="D11" t="s">
        <v>53</v>
      </c>
      <c r="F11" t="s">
        <v>54</v>
      </c>
      <c r="G11" t="s">
        <v>25</v>
      </c>
      <c r="H11" s="2">
        <v>26372.36</v>
      </c>
      <c r="I11" t="s">
        <v>55</v>
      </c>
      <c r="K11" t="s">
        <v>56</v>
      </c>
    </row>
    <row r="12" spans="1:12" ht="35.1" customHeight="1" x14ac:dyDescent="0.25">
      <c r="A12" t="s">
        <v>90</v>
      </c>
      <c r="B12" t="s">
        <v>16</v>
      </c>
      <c r="C12" t="s">
        <v>17</v>
      </c>
      <c r="D12" t="s">
        <v>57</v>
      </c>
      <c r="F12" t="s">
        <v>58</v>
      </c>
      <c r="G12" t="s">
        <v>20</v>
      </c>
      <c r="H12" s="2">
        <v>56902.33</v>
      </c>
      <c r="I12" t="s">
        <v>59</v>
      </c>
      <c r="K12" t="s">
        <v>60</v>
      </c>
    </row>
    <row r="13" spans="1:12" ht="35.1" customHeight="1" x14ac:dyDescent="0.25">
      <c r="A13" t="s">
        <v>61</v>
      </c>
      <c r="B13" t="s">
        <v>16</v>
      </c>
      <c r="C13" t="s">
        <v>28</v>
      </c>
      <c r="D13" t="s">
        <v>62</v>
      </c>
      <c r="F13" t="s">
        <v>63</v>
      </c>
      <c r="G13" t="s">
        <v>20</v>
      </c>
      <c r="H13" s="2">
        <v>54004.98</v>
      </c>
      <c r="I13" t="s">
        <v>64</v>
      </c>
      <c r="K13" t="s">
        <v>65</v>
      </c>
    </row>
    <row r="14" spans="1:12" ht="35.1" customHeight="1" x14ac:dyDescent="0.25">
      <c r="A14" t="s">
        <v>91</v>
      </c>
      <c r="B14" t="s">
        <v>33</v>
      </c>
      <c r="C14" t="s">
        <v>17</v>
      </c>
      <c r="D14" t="s">
        <v>66</v>
      </c>
      <c r="F14" t="s">
        <v>67</v>
      </c>
      <c r="G14" t="s">
        <v>20</v>
      </c>
      <c r="H14" s="2">
        <v>20000</v>
      </c>
      <c r="I14" t="s">
        <v>68</v>
      </c>
      <c r="K14" t="s">
        <v>69</v>
      </c>
    </row>
    <row r="15" spans="1:12" ht="35.1" customHeight="1" x14ac:dyDescent="0.25">
      <c r="A15" t="s">
        <v>70</v>
      </c>
      <c r="B15" t="s">
        <v>16</v>
      </c>
      <c r="C15" t="s">
        <v>28</v>
      </c>
      <c r="D15" t="s">
        <v>71</v>
      </c>
      <c r="F15" t="s">
        <v>30</v>
      </c>
      <c r="G15" t="s">
        <v>25</v>
      </c>
      <c r="H15" s="2">
        <v>27723.69</v>
      </c>
      <c r="I15" t="s">
        <v>72</v>
      </c>
      <c r="K15" t="s">
        <v>73</v>
      </c>
    </row>
    <row r="16" spans="1:12" ht="35.1" customHeight="1" x14ac:dyDescent="0.25">
      <c r="A16" t="s">
        <v>92</v>
      </c>
      <c r="B16" t="s">
        <v>33</v>
      </c>
      <c r="C16" t="s">
        <v>17</v>
      </c>
      <c r="D16" t="s">
        <v>74</v>
      </c>
      <c r="F16" t="s">
        <v>67</v>
      </c>
      <c r="G16" t="s">
        <v>20</v>
      </c>
      <c r="H16" s="2">
        <v>21811.39</v>
      </c>
      <c r="I16" t="s">
        <v>75</v>
      </c>
      <c r="K16" t="s">
        <v>76</v>
      </c>
    </row>
    <row r="17" spans="1:12" ht="35.1" customHeight="1" x14ac:dyDescent="0.25">
      <c r="A17" t="s">
        <v>93</v>
      </c>
      <c r="B17" t="s">
        <v>16</v>
      </c>
      <c r="C17" t="s">
        <v>17</v>
      </c>
      <c r="D17" t="s">
        <v>77</v>
      </c>
      <c r="F17" t="s">
        <v>78</v>
      </c>
      <c r="G17" t="s">
        <v>20</v>
      </c>
      <c r="H17" s="2">
        <v>34240.400000000001</v>
      </c>
      <c r="K17" t="s">
        <v>79</v>
      </c>
    </row>
    <row r="18" spans="1:12" ht="35.1" customHeight="1" x14ac:dyDescent="0.25">
      <c r="A18" t="s">
        <v>94</v>
      </c>
      <c r="B18" t="s">
        <v>16</v>
      </c>
      <c r="C18" t="s">
        <v>17</v>
      </c>
      <c r="D18" t="s">
        <v>80</v>
      </c>
      <c r="F18" t="s">
        <v>24</v>
      </c>
      <c r="G18" t="s">
        <v>25</v>
      </c>
      <c r="H18" s="2">
        <v>20025.189999999999</v>
      </c>
      <c r="I18" t="s">
        <v>81</v>
      </c>
      <c r="K18" t="s">
        <v>82</v>
      </c>
    </row>
    <row r="19" spans="1:12" ht="35.1" customHeight="1" x14ac:dyDescent="0.25">
      <c r="A19" s="1"/>
      <c r="B19" s="1"/>
      <c r="C19" s="1"/>
      <c r="D19" s="1" t="s">
        <v>83</v>
      </c>
      <c r="E19" s="1"/>
      <c r="F19" s="1"/>
      <c r="G19" s="1"/>
      <c r="H19" s="3">
        <f>SUM(H4:H18)</f>
        <v>425228.94000000006</v>
      </c>
      <c r="I19" s="1"/>
      <c r="J19" s="1"/>
      <c r="K19" s="1"/>
      <c r="L19" s="1"/>
    </row>
    <row r="20" spans="1:12" ht="35.1" customHeight="1" x14ac:dyDescent="0.25"/>
    <row r="21" spans="1:12" ht="35.1" customHeight="1" x14ac:dyDescent="0.25"/>
    <row r="22" spans="1:12" ht="35.1" customHeight="1" x14ac:dyDescent="0.25"/>
    <row r="23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192F-4F57-46AD-9356-9F751BC3B117}">
  <sheetPr>
    <pageSetUpPr fitToPage="1"/>
  </sheetPr>
  <dimension ref="A1:F28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4" style="5" bestFit="1" customWidth="1"/>
    <col min="4" max="4" width="18.7109375" style="5" bestFit="1" customWidth="1"/>
    <col min="5" max="5" width="30.7109375" style="5" bestFit="1" customWidth="1"/>
    <col min="6" max="16384" width="9.140625" style="5"/>
  </cols>
  <sheetData>
    <row r="1" spans="1:6" x14ac:dyDescent="0.25">
      <c r="A1" s="6"/>
      <c r="B1" s="6"/>
      <c r="C1" s="6" t="s">
        <v>3</v>
      </c>
      <c r="D1" s="7">
        <v>45908</v>
      </c>
      <c r="E1" s="6" t="s">
        <v>2</v>
      </c>
      <c r="F1" s="6"/>
    </row>
    <row r="2" spans="1:6" x14ac:dyDescent="0.25">
      <c r="A2" s="11" t="s">
        <v>0</v>
      </c>
      <c r="B2" s="12"/>
      <c r="C2" s="12"/>
      <c r="D2" s="13" t="s">
        <v>99</v>
      </c>
      <c r="E2" s="12"/>
      <c r="F2" s="6"/>
    </row>
    <row r="3" spans="1:6" x14ac:dyDescent="0.25">
      <c r="A3" s="6" t="s">
        <v>4</v>
      </c>
      <c r="B3" s="6" t="s">
        <v>6</v>
      </c>
      <c r="C3" s="6" t="s">
        <v>7</v>
      </c>
      <c r="D3" s="6" t="s">
        <v>8</v>
      </c>
      <c r="E3" s="6" t="s">
        <v>9</v>
      </c>
      <c r="F3" s="6"/>
    </row>
    <row r="4" spans="1:6" x14ac:dyDescent="0.25">
      <c r="A4" s="6" t="s">
        <v>27</v>
      </c>
      <c r="B4" s="6" t="s">
        <v>28</v>
      </c>
      <c r="C4" s="6" t="s">
        <v>29</v>
      </c>
      <c r="D4" s="6"/>
      <c r="E4" s="6" t="s">
        <v>30</v>
      </c>
      <c r="F4" s="6"/>
    </row>
    <row r="5" spans="1:6" x14ac:dyDescent="0.25">
      <c r="A5" s="6" t="s">
        <v>49</v>
      </c>
      <c r="B5" s="6" t="s">
        <v>28</v>
      </c>
      <c r="C5" s="6" t="s">
        <v>50</v>
      </c>
      <c r="D5" s="6"/>
      <c r="E5" s="6" t="s">
        <v>30</v>
      </c>
      <c r="F5" s="6"/>
    </row>
    <row r="6" spans="1:6" x14ac:dyDescent="0.25">
      <c r="A6" s="6" t="s">
        <v>61</v>
      </c>
      <c r="B6" s="6" t="s">
        <v>28</v>
      </c>
      <c r="C6" s="6" t="s">
        <v>62</v>
      </c>
      <c r="D6" s="6"/>
      <c r="E6" s="6" t="s">
        <v>63</v>
      </c>
      <c r="F6" s="6"/>
    </row>
    <row r="7" spans="1:6" x14ac:dyDescent="0.25">
      <c r="A7" s="6" t="s">
        <v>70</v>
      </c>
      <c r="B7" s="6" t="s">
        <v>28</v>
      </c>
      <c r="C7" s="6" t="s">
        <v>71</v>
      </c>
      <c r="D7" s="6"/>
      <c r="E7" s="6" t="s">
        <v>30</v>
      </c>
      <c r="F7" s="6"/>
    </row>
    <row r="8" spans="1:6" x14ac:dyDescent="0.25">
      <c r="A8" s="8"/>
      <c r="B8" s="8"/>
      <c r="C8" s="8" t="s">
        <v>98</v>
      </c>
      <c r="D8" s="8"/>
      <c r="E8" s="8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 t="s">
        <v>97</v>
      </c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 t="s">
        <v>96</v>
      </c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 t="s">
        <v>95</v>
      </c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2025-09-08T18:24:45Z</cp:lastPrinted>
  <dcterms:created xsi:type="dcterms:W3CDTF">2025-09-08T18:13:37Z</dcterms:created>
  <dcterms:modified xsi:type="dcterms:W3CDTF">2025-09-08T18:39:40Z</dcterms:modified>
</cp:coreProperties>
</file>