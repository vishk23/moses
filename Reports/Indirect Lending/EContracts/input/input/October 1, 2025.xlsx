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C9DE43EC-3ADB-4856-8EFF-7257497519E1}" xr6:coauthVersionLast="47" xr6:coauthVersionMax="47" xr10:uidLastSave="{00000000-0000-0000-0000-000000000000}"/>
  <bookViews>
    <workbookView xWindow="0" yWindow="600" windowWidth="29040" windowHeight="1560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F9" i="1"/>
  <c r="F12" i="1"/>
  <c r="F21" i="1"/>
  <c r="H26" i="1"/>
  <c r="E26" i="1"/>
  <c r="D26" i="1"/>
  <c r="C26" i="1"/>
</calcChain>
</file>

<file path=xl/sharedStrings.xml><?xml version="1.0" encoding="utf-8"?>
<sst xmlns="http://schemas.openxmlformats.org/spreadsheetml/2006/main" count="184" uniqueCount="97">
  <si>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</si>
  <si>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</si>
  <si>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</si>
  <si>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</si>
  <si>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</si>
  <si>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</si>
  <si>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</si>
  <si>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</si>
  <si>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</si>
  <si>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</si>
  <si>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Bailey's Motor Sales Inc</t>
  </si>
  <si>
    <t>Neli Oliveira</t>
  </si>
  <si>
    <t>BID Cars Boston</t>
  </si>
  <si>
    <t>Rachel Gorham</t>
  </si>
  <si>
    <t>Coastal Volkswagon</t>
  </si>
  <si>
    <t>Flood Mazda</t>
  </si>
  <si>
    <t>Lucchettis Service Center Inc</t>
  </si>
  <si>
    <t>Paul Masse Buick GMC South, Inc</t>
  </si>
  <si>
    <t>Planet Automotive Sales LLC</t>
  </si>
  <si>
    <t>T F Murphy Enterprises Inc</t>
  </si>
  <si>
    <t>Volvo of Tiverton</t>
  </si>
  <si>
    <t>Wareham Ford</t>
  </si>
  <si>
    <t>Column1</t>
  </si>
  <si>
    <t>Column2</t>
  </si>
  <si>
    <t># 13</t>
  </si>
  <si>
    <t>EZERSKY</t>
  </si>
  <si>
    <t>oliviadelgreco@icloud.com</t>
  </si>
  <si>
    <t>DELGRECO, OLIVIA</t>
  </si>
  <si>
    <t>E Contract</t>
  </si>
  <si>
    <t>Route One</t>
  </si>
  <si>
    <t>HERNANDEZ</t>
  </si>
  <si>
    <t>MIGUELANGEL.LOPEZ04@GMAIL.COM</t>
  </si>
  <si>
    <t>LOPEZ, MIGUEL</t>
  </si>
  <si>
    <t>Paper</t>
  </si>
  <si>
    <t>151230811</t>
  </si>
  <si>
    <t>PIERRE</t>
  </si>
  <si>
    <t>MALIKJEAN51@GMAIL.COM</t>
  </si>
  <si>
    <t>JEAN, MALIK</t>
  </si>
  <si>
    <t>DealerTrack</t>
  </si>
  <si>
    <t>GAGNON</t>
  </si>
  <si>
    <t>LZ11673@COX.NET</t>
  </si>
  <si>
    <t>ZURAWSKI, LORA</t>
  </si>
  <si>
    <t>PROSVIRNINA</t>
  </si>
  <si>
    <t>LENAKRICH@YAHOO.COM</t>
  </si>
  <si>
    <t>KRICHEVSKY, ELENA</t>
  </si>
  <si>
    <t>151230788</t>
  </si>
  <si>
    <t>FROAIS</t>
  </si>
  <si>
    <t>FIRE27MEDIC@YAHOO.COM</t>
  </si>
  <si>
    <t>KEENE, DEREK</t>
  </si>
  <si>
    <t>151230770</t>
  </si>
  <si>
    <t>KUCHER</t>
  </si>
  <si>
    <t>JULANNEBARRY610@GMAIL.COM</t>
  </si>
  <si>
    <t>WILSON, JULIANNE</t>
  </si>
  <si>
    <t>HECK</t>
  </si>
  <si>
    <t>JCHATFIELD1991@GMAIL.COM</t>
  </si>
  <si>
    <t>CHATFIELD, JEFFREY</t>
  </si>
  <si>
    <t>DIBARI</t>
  </si>
  <si>
    <t>KYLE.AKERMAN34@GMAIL.COM</t>
  </si>
  <si>
    <t>AKERMAN, ELIZABETH</t>
  </si>
  <si>
    <t>GAUTHIER</t>
  </si>
  <si>
    <t>wdsdls5283@aol.com</t>
  </si>
  <si>
    <t>SMITH, WILLIAM</t>
  </si>
  <si>
    <t>HOLDRIDGE</t>
  </si>
  <si>
    <t>LORENSHAFER@HOTMAIL.COM</t>
  </si>
  <si>
    <t>SHAFER, LOREN</t>
  </si>
  <si>
    <t>HOLIHAN</t>
  </si>
  <si>
    <t>MYERSWITHAY@GMAIL.COM</t>
  </si>
  <si>
    <t>MYERS, AMANDA</t>
  </si>
  <si>
    <t>LOPEZ</t>
  </si>
  <si>
    <t>FRANCESCAELIADAY@GMAIL.COM</t>
  </si>
  <si>
    <t>DAY, FRANCESCA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</si>
  <si>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</si>
  <si>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</si>
  <si>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</si>
  <si>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</si>
  <si>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</si>
  <si>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</si>
  <si>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</si>
  <si>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</si>
  <si>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</si>
  <si>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</si>
  <si>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</si>
  <si>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151230796E</t>
  </si>
  <si>
    <t>151230803E</t>
  </si>
  <si>
    <t>151230829E</t>
  </si>
  <si>
    <t>Date Signed________________________________________</t>
  </si>
  <si>
    <t>Received By__________________________________________________________________________________</t>
  </si>
  <si>
    <t>Delivered By__________________________________________________________________________________</t>
  </si>
  <si>
    <t># 3</t>
  </si>
  <si>
    <t>Funding Worksheet - Signoff Version</t>
  </si>
  <si>
    <t>151230704E</t>
  </si>
  <si>
    <t>151230712E</t>
  </si>
  <si>
    <t>151230720E</t>
  </si>
  <si>
    <t>151230738E</t>
  </si>
  <si>
    <t>151230746E</t>
  </si>
  <si>
    <t>151230754EE</t>
  </si>
  <si>
    <t>151230762EE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</si>
</sst>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C529CA3A-BEE1-4E52-8217-FE86DA2A29BB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38EDAC8B-9A57-47D5-B6B3-B7C15E54AC27}" name="Column1" dataDxfId="24"/>
    <tableColumn id="8" xr3:uid="{E9B54ACB-8253-482D-836D-7C7505BFC90C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530FD-53F5-4A59-838E-7F465687DE44}" name="Table_13" displayName="Table_13" ref="A3:L17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3BA1E9-E7BA-4023-B2F7-D3CC4E63FAFB}" name="Table_14" displayName="Table_14" ref="A3:E7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workbookViewId="0">
      <pane ySplit="3" topLeftCell="A4" activePane="bottomLeft" state="frozen"/>
      <selection pane="bottomLeft" activeCell="E25" sqref="E25"/>
    </sheetView>
  </sheetViews>
  <sheetFormatPr defaultRowHeight="15" x14ac:dyDescent="0.25"/>
  <cols>
    <col min="1" max="1" width="31.5703125" bestFit="1" customWidth="1"/>
    <col min="2" max="2" width="15.140625" bestFit="1" customWidth="1"/>
    <col min="3" max="3" width="11.140625" bestFit="1" customWidth="1"/>
    <col min="4" max="4" width="16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45931</v>
      </c>
      <c r="E1" t="s">
        <v>2</v>
      </c>
      <c r="H1" s="4">
        <v>45931.999988425923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22</v>
      </c>
      <c r="G3" t="s">
        <v>23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21794.2</v>
      </c>
      <c r="F4" s="2"/>
      <c r="G4" s="2"/>
      <c r="H4" s="2">
        <v>21869.200000000001</v>
      </c>
    </row>
    <row r="5" spans="1:8" x14ac:dyDescent="0.25">
      <c r="C5" s="2"/>
      <c r="D5" s="2"/>
      <c r="E5" s="2"/>
      <c r="F5" s="2"/>
      <c r="G5" s="2"/>
      <c r="H5" s="2"/>
    </row>
    <row r="6" spans="1:8" ht="15.75" customHeight="1" x14ac:dyDescent="0.25">
      <c r="A6" t="s">
        <v>12</v>
      </c>
      <c r="B6" t="s">
        <v>13</v>
      </c>
      <c r="C6" s="2">
        <v>650</v>
      </c>
      <c r="D6" s="2">
        <v>0</v>
      </c>
      <c r="E6" s="2">
        <v>22456.74</v>
      </c>
      <c r="F6" s="2"/>
      <c r="G6" s="2"/>
      <c r="H6" s="2">
        <v>22531.74</v>
      </c>
    </row>
    <row r="7" spans="1:8" ht="15.75" customHeight="1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13</v>
      </c>
      <c r="C8" s="2">
        <v>750</v>
      </c>
      <c r="D8" s="2">
        <v>0</v>
      </c>
      <c r="E8" s="2">
        <v>28329.45</v>
      </c>
      <c r="F8" s="2"/>
      <c r="G8" s="2"/>
      <c r="H8" s="2">
        <v>28404.45</v>
      </c>
    </row>
    <row r="9" spans="1:8" x14ac:dyDescent="0.25">
      <c r="A9" t="s">
        <v>14</v>
      </c>
      <c r="B9" t="s">
        <v>11</v>
      </c>
      <c r="C9" s="2">
        <v>850</v>
      </c>
      <c r="D9" s="2">
        <v>0</v>
      </c>
      <c r="E9" s="2">
        <v>30904.5</v>
      </c>
      <c r="F9" s="2">
        <f>SUM(E8:E9)</f>
        <v>59233.95</v>
      </c>
      <c r="G9" s="2"/>
      <c r="H9" s="2">
        <v>30979.5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850</v>
      </c>
      <c r="D11" s="2">
        <v>0</v>
      </c>
      <c r="E11" s="2">
        <v>33907.33</v>
      </c>
      <c r="F11" s="2"/>
      <c r="G11" s="2"/>
      <c r="H11" s="2">
        <v>33982.33</v>
      </c>
    </row>
    <row r="12" spans="1:8" x14ac:dyDescent="0.25">
      <c r="A12" t="s">
        <v>15</v>
      </c>
      <c r="B12" t="s">
        <v>11</v>
      </c>
      <c r="C12" s="2">
        <v>500</v>
      </c>
      <c r="D12" s="2">
        <v>0</v>
      </c>
      <c r="E12" s="2">
        <v>17233.189999999999</v>
      </c>
      <c r="F12" s="2">
        <f>SUM(E11:E12)</f>
        <v>51140.520000000004</v>
      </c>
      <c r="G12" s="2"/>
      <c r="H12" s="2">
        <v>17308.189999999999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13</v>
      </c>
      <c r="C14" s="2">
        <v>750</v>
      </c>
      <c r="D14" s="2">
        <v>0</v>
      </c>
      <c r="E14" s="2">
        <v>25568.25</v>
      </c>
      <c r="F14" s="2"/>
      <c r="G14" s="2"/>
      <c r="H14" s="2">
        <v>25643.25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13</v>
      </c>
      <c r="C16" s="2">
        <v>650</v>
      </c>
      <c r="D16" s="2">
        <v>0</v>
      </c>
      <c r="E16" s="2">
        <v>24357.69</v>
      </c>
      <c r="F16" s="2"/>
      <c r="G16" s="2"/>
      <c r="H16" s="2">
        <v>24432.69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11</v>
      </c>
      <c r="C18" s="2">
        <v>1050</v>
      </c>
      <c r="D18" s="2">
        <v>0</v>
      </c>
      <c r="E18" s="2">
        <v>44729.03</v>
      </c>
      <c r="F18" s="2"/>
      <c r="G18" s="2"/>
      <c r="H18" s="2">
        <v>44804.03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13</v>
      </c>
      <c r="C20" s="2">
        <v>1350</v>
      </c>
      <c r="D20" s="2">
        <v>0</v>
      </c>
      <c r="E20" s="2">
        <v>57536.94</v>
      </c>
      <c r="F20" s="2"/>
      <c r="G20" s="2"/>
      <c r="H20" s="2">
        <v>57611.94</v>
      </c>
    </row>
    <row r="21" spans="1:8" x14ac:dyDescent="0.25">
      <c r="A21" t="s">
        <v>19</v>
      </c>
      <c r="B21" t="s">
        <v>13</v>
      </c>
      <c r="C21" s="2">
        <v>650</v>
      </c>
      <c r="D21" s="2">
        <v>0</v>
      </c>
      <c r="E21" s="2">
        <v>22194.38</v>
      </c>
      <c r="F21" s="2">
        <f>SUM(E20:E21)</f>
        <v>79731.320000000007</v>
      </c>
      <c r="G21" s="2"/>
      <c r="H21" s="2">
        <v>22269.38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11</v>
      </c>
      <c r="C23" s="2">
        <v>950</v>
      </c>
      <c r="D23" s="2">
        <v>0</v>
      </c>
      <c r="E23" s="2">
        <v>37361.870000000003</v>
      </c>
      <c r="F23" s="2"/>
      <c r="G23" s="2"/>
      <c r="H23" s="2">
        <v>37436.870000000003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1350</v>
      </c>
      <c r="D25" s="2">
        <v>0</v>
      </c>
      <c r="E25" s="2">
        <v>56727.25</v>
      </c>
      <c r="F25" s="2"/>
      <c r="G25" s="2"/>
      <c r="H25" s="2">
        <v>56802.25</v>
      </c>
    </row>
    <row r="26" spans="1:8" x14ac:dyDescent="0.25">
      <c r="A26" s="1"/>
      <c r="B26" s="1"/>
      <c r="C26" s="3">
        <f>SUM(C4:C25)</f>
        <v>11000</v>
      </c>
      <c r="D26" s="3">
        <f>SUM(D4:D25)</f>
        <v>0</v>
      </c>
      <c r="E26" s="3">
        <f>SUM(E4:E25)</f>
        <v>423100.82</v>
      </c>
      <c r="F26" s="3"/>
      <c r="G26" s="3"/>
      <c r="H26" s="3">
        <f>SUM(H4:H25)</f>
        <v>424075.82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28F3-7DAC-45A5-9A68-A1DD37F5D18B}">
  <sheetPr>
    <pageSetUpPr fitToPage="1"/>
  </sheetPr>
  <dimension ref="A1:L24"/>
  <sheetViews>
    <sheetView tabSelected="1"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1.42578125" style="5" bestFit="1" customWidth="1"/>
    <col min="5" max="5" width="18.7109375" style="5" bestFit="1" customWidth="1"/>
    <col min="6" max="6" width="31.5703125" style="5" bestFit="1" customWidth="1"/>
    <col min="7" max="7" width="15.140625" style="5" bestFit="1" customWidth="1"/>
    <col min="8" max="8" width="17.140625" style="5" bestFit="1" customWidth="1"/>
    <col min="9" max="9" width="35.7109375" style="5" bestFit="1" customWidth="1"/>
    <col min="10" max="10" width="18.42578125" style="5" bestFit="1" customWidth="1"/>
    <col min="11" max="11" width="16" style="5" bestFit="1" customWidth="1"/>
    <col min="12" max="12" width="12.85546875" style="5" bestFit="1" customWidth="1"/>
    <col min="13" max="16384" width="9.140625" style="5"/>
  </cols>
  <sheetData>
    <row r="1" spans="1:12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45931</v>
      </c>
      <c r="L1" s="6" t="s">
        <v>2</v>
      </c>
    </row>
    <row r="2" spans="1:12" ht="35.1" customHeight="1" x14ac:dyDescent="0.25">
      <c r="A2" s="14" t="s">
        <v>0</v>
      </c>
      <c r="B2" s="15"/>
      <c r="C2" s="15"/>
      <c r="D2" s="15"/>
      <c r="E2" s="15"/>
      <c r="F2" s="15"/>
      <c r="G2" s="16" t="s">
        <v>81</v>
      </c>
      <c r="H2" s="15"/>
      <c r="I2" s="15"/>
      <c r="J2" s="15"/>
      <c r="K2" s="15"/>
      <c r="L2" s="15"/>
    </row>
    <row r="3" spans="1:12" ht="35.1" customHeight="1" x14ac:dyDescent="0.25">
      <c r="A3" s="6" t="s">
        <v>80</v>
      </c>
      <c r="B3" s="6" t="s">
        <v>79</v>
      </c>
      <c r="C3" s="6" t="s">
        <v>78</v>
      </c>
      <c r="D3" s="6" t="s">
        <v>77</v>
      </c>
      <c r="E3" s="6" t="s">
        <v>76</v>
      </c>
      <c r="F3" s="6" t="s">
        <v>4</v>
      </c>
      <c r="G3" s="6" t="s">
        <v>5</v>
      </c>
      <c r="H3" s="6" t="s">
        <v>75</v>
      </c>
      <c r="I3" s="6" t="s">
        <v>74</v>
      </c>
      <c r="J3" s="6" t="s">
        <v>73</v>
      </c>
      <c r="K3" s="6" t="s">
        <v>72</v>
      </c>
      <c r="L3" s="6" t="s">
        <v>71</v>
      </c>
    </row>
    <row r="4" spans="1:12" ht="35.1" customHeight="1" x14ac:dyDescent="0.25">
      <c r="A4" s="6" t="s">
        <v>90</v>
      </c>
      <c r="B4" s="6" t="s">
        <v>29</v>
      </c>
      <c r="C4" s="6" t="s">
        <v>28</v>
      </c>
      <c r="D4" s="6" t="s">
        <v>70</v>
      </c>
      <c r="E4" s="6"/>
      <c r="F4" s="6" t="s">
        <v>16</v>
      </c>
      <c r="G4" s="6" t="s">
        <v>13</v>
      </c>
      <c r="H4" s="8">
        <v>25643.25</v>
      </c>
      <c r="I4" s="6" t="s">
        <v>69</v>
      </c>
      <c r="J4" s="6"/>
      <c r="K4" s="6" t="s">
        <v>68</v>
      </c>
      <c r="L4" s="6"/>
    </row>
    <row r="5" spans="1:12" ht="35.1" customHeight="1" x14ac:dyDescent="0.25">
      <c r="A5" s="6" t="s">
        <v>91</v>
      </c>
      <c r="B5" s="6" t="s">
        <v>38</v>
      </c>
      <c r="C5" s="6" t="s">
        <v>28</v>
      </c>
      <c r="D5" s="6" t="s">
        <v>67</v>
      </c>
      <c r="E5" s="6"/>
      <c r="F5" s="6" t="s">
        <v>14</v>
      </c>
      <c r="G5" s="6" t="s">
        <v>13</v>
      </c>
      <c r="H5" s="8">
        <v>28404.45</v>
      </c>
      <c r="I5" s="6" t="s">
        <v>66</v>
      </c>
      <c r="J5" s="6"/>
      <c r="K5" s="6" t="s">
        <v>65</v>
      </c>
      <c r="L5" s="6"/>
    </row>
    <row r="6" spans="1:12" ht="35.1" customHeight="1" x14ac:dyDescent="0.25">
      <c r="A6" s="6" t="s">
        <v>92</v>
      </c>
      <c r="B6" s="6" t="s">
        <v>29</v>
      </c>
      <c r="C6" s="6" t="s">
        <v>28</v>
      </c>
      <c r="D6" s="6" t="s">
        <v>64</v>
      </c>
      <c r="E6" s="6"/>
      <c r="F6" s="6" t="s">
        <v>17</v>
      </c>
      <c r="G6" s="6" t="s">
        <v>13</v>
      </c>
      <c r="H6" s="8">
        <v>24432.69</v>
      </c>
      <c r="I6" s="6" t="s">
        <v>63</v>
      </c>
      <c r="J6" s="6"/>
      <c r="K6" s="6" t="s">
        <v>62</v>
      </c>
      <c r="L6" s="6"/>
    </row>
    <row r="7" spans="1:12" ht="35.1" customHeight="1" x14ac:dyDescent="0.25">
      <c r="A7" s="6" t="s">
        <v>93</v>
      </c>
      <c r="B7" s="6" t="s">
        <v>29</v>
      </c>
      <c r="C7" s="6" t="s">
        <v>28</v>
      </c>
      <c r="D7" s="6" t="s">
        <v>61</v>
      </c>
      <c r="E7" s="6"/>
      <c r="F7" s="6" t="s">
        <v>10</v>
      </c>
      <c r="G7" s="6" t="s">
        <v>11</v>
      </c>
      <c r="H7" s="8">
        <v>21869.200000000001</v>
      </c>
      <c r="I7" s="6" t="s">
        <v>60</v>
      </c>
      <c r="J7" s="6"/>
      <c r="K7" s="6" t="s">
        <v>59</v>
      </c>
      <c r="L7" s="6"/>
    </row>
    <row r="8" spans="1:12" ht="35.1" customHeight="1" x14ac:dyDescent="0.25">
      <c r="A8" s="6" t="s">
        <v>94</v>
      </c>
      <c r="B8" s="6" t="s">
        <v>29</v>
      </c>
      <c r="C8" s="6" t="s">
        <v>28</v>
      </c>
      <c r="D8" s="6" t="s">
        <v>58</v>
      </c>
      <c r="E8" s="6"/>
      <c r="F8" s="6" t="s">
        <v>19</v>
      </c>
      <c r="G8" s="6" t="s">
        <v>13</v>
      </c>
      <c r="H8" s="8">
        <v>57611.94</v>
      </c>
      <c r="I8" s="6" t="s">
        <v>57</v>
      </c>
      <c r="J8" s="6"/>
      <c r="K8" s="6" t="s">
        <v>56</v>
      </c>
      <c r="L8" s="6"/>
    </row>
    <row r="9" spans="1:12" ht="35.1" customHeight="1" x14ac:dyDescent="0.25">
      <c r="A9" s="6" t="s">
        <v>95</v>
      </c>
      <c r="B9" s="6" t="s">
        <v>38</v>
      </c>
      <c r="C9" s="6" t="s">
        <v>28</v>
      </c>
      <c r="D9" s="6" t="s">
        <v>55</v>
      </c>
      <c r="E9" s="6"/>
      <c r="F9" s="6" t="s">
        <v>14</v>
      </c>
      <c r="G9" s="6" t="s">
        <v>11</v>
      </c>
      <c r="H9" s="8">
        <v>30979.5</v>
      </c>
      <c r="I9" s="6" t="s">
        <v>54</v>
      </c>
      <c r="J9" s="6"/>
      <c r="K9" s="6" t="s">
        <v>53</v>
      </c>
      <c r="L9" s="6"/>
    </row>
    <row r="10" spans="1:12" ht="35.1" customHeight="1" x14ac:dyDescent="0.25">
      <c r="A10" s="6" t="s">
        <v>96</v>
      </c>
      <c r="B10" s="6" t="s">
        <v>29</v>
      </c>
      <c r="C10" s="6" t="s">
        <v>28</v>
      </c>
      <c r="D10" s="6" t="s">
        <v>52</v>
      </c>
      <c r="E10" s="6"/>
      <c r="F10" s="6" t="s">
        <v>19</v>
      </c>
      <c r="G10" s="6" t="s">
        <v>13</v>
      </c>
      <c r="H10" s="8">
        <v>22269.38</v>
      </c>
      <c r="I10" s="6" t="s">
        <v>51</v>
      </c>
      <c r="J10" s="6"/>
      <c r="K10" s="6" t="s">
        <v>50</v>
      </c>
      <c r="L10" s="6"/>
    </row>
    <row r="11" spans="1:12" ht="35.1" customHeight="1" x14ac:dyDescent="0.25">
      <c r="A11" s="6" t="s">
        <v>49</v>
      </c>
      <c r="B11" s="6" t="s">
        <v>38</v>
      </c>
      <c r="C11" s="6" t="s">
        <v>33</v>
      </c>
      <c r="D11" s="6" t="s">
        <v>48</v>
      </c>
      <c r="E11" s="6"/>
      <c r="F11" s="6" t="s">
        <v>18</v>
      </c>
      <c r="G11" s="6" t="s">
        <v>11</v>
      </c>
      <c r="H11" s="8">
        <v>44804.03</v>
      </c>
      <c r="I11" s="6" t="s">
        <v>47</v>
      </c>
      <c r="J11" s="6"/>
      <c r="K11" s="6" t="s">
        <v>46</v>
      </c>
      <c r="L11" s="6"/>
    </row>
    <row r="12" spans="1:12" ht="35.1" customHeight="1" x14ac:dyDescent="0.25">
      <c r="A12" s="6" t="s">
        <v>45</v>
      </c>
      <c r="B12" s="6" t="s">
        <v>38</v>
      </c>
      <c r="C12" s="6" t="s">
        <v>33</v>
      </c>
      <c r="D12" s="6" t="s">
        <v>44</v>
      </c>
      <c r="E12" s="6"/>
      <c r="F12" s="6" t="s">
        <v>20</v>
      </c>
      <c r="G12" s="6" t="s">
        <v>11</v>
      </c>
      <c r="H12" s="8">
        <v>37436.870000000003</v>
      </c>
      <c r="I12" s="6" t="s">
        <v>43</v>
      </c>
      <c r="J12" s="6"/>
      <c r="K12" s="6" t="s">
        <v>42</v>
      </c>
      <c r="L12" s="6"/>
    </row>
    <row r="13" spans="1:12" ht="35.1" customHeight="1" x14ac:dyDescent="0.25">
      <c r="A13" s="6" t="s">
        <v>82</v>
      </c>
      <c r="B13" s="6" t="s">
        <v>29</v>
      </c>
      <c r="C13" s="6" t="s">
        <v>28</v>
      </c>
      <c r="D13" s="6" t="s">
        <v>41</v>
      </c>
      <c r="E13" s="6"/>
      <c r="F13" s="6" t="s">
        <v>15</v>
      </c>
      <c r="G13" s="6" t="s">
        <v>11</v>
      </c>
      <c r="H13" s="8">
        <v>33982.33</v>
      </c>
      <c r="I13" s="6" t="s">
        <v>40</v>
      </c>
      <c r="J13" s="6"/>
      <c r="K13" s="6" t="s">
        <v>39</v>
      </c>
      <c r="L13" s="6"/>
    </row>
    <row r="14" spans="1:12" ht="35.1" customHeight="1" x14ac:dyDescent="0.25">
      <c r="A14" s="6" t="s">
        <v>83</v>
      </c>
      <c r="B14" s="6" t="s">
        <v>38</v>
      </c>
      <c r="C14" s="6" t="s">
        <v>28</v>
      </c>
      <c r="D14" s="6" t="s">
        <v>37</v>
      </c>
      <c r="E14" s="6"/>
      <c r="F14" s="6" t="s">
        <v>12</v>
      </c>
      <c r="G14" s="6" t="s">
        <v>13</v>
      </c>
      <c r="H14" s="8">
        <v>22531.74</v>
      </c>
      <c r="I14" s="6" t="s">
        <v>36</v>
      </c>
      <c r="J14" s="6"/>
      <c r="K14" s="6" t="s">
        <v>35</v>
      </c>
      <c r="L14" s="6"/>
    </row>
    <row r="15" spans="1:12" ht="35.1" customHeight="1" x14ac:dyDescent="0.25">
      <c r="A15" s="6" t="s">
        <v>34</v>
      </c>
      <c r="B15" s="6" t="s">
        <v>29</v>
      </c>
      <c r="C15" s="6" t="s">
        <v>33</v>
      </c>
      <c r="D15" s="6" t="s">
        <v>32</v>
      </c>
      <c r="E15" s="6"/>
      <c r="F15" s="6" t="s">
        <v>15</v>
      </c>
      <c r="G15" s="6" t="s">
        <v>11</v>
      </c>
      <c r="H15" s="8">
        <v>17308.189999999999</v>
      </c>
      <c r="I15" s="6" t="s">
        <v>31</v>
      </c>
      <c r="J15" s="6"/>
      <c r="K15" s="6" t="s">
        <v>30</v>
      </c>
      <c r="L15" s="6"/>
    </row>
    <row r="16" spans="1:12" ht="35.1" customHeight="1" x14ac:dyDescent="0.25">
      <c r="A16" s="6" t="s">
        <v>84</v>
      </c>
      <c r="B16" s="6" t="s">
        <v>29</v>
      </c>
      <c r="C16" s="6" t="s">
        <v>28</v>
      </c>
      <c r="D16" s="6" t="s">
        <v>27</v>
      </c>
      <c r="E16" s="6"/>
      <c r="F16" s="6" t="s">
        <v>21</v>
      </c>
      <c r="G16" s="6" t="s">
        <v>11</v>
      </c>
      <c r="H16" s="8">
        <v>56802.25</v>
      </c>
      <c r="I16" s="6" t="s">
        <v>26</v>
      </c>
      <c r="J16" s="6"/>
      <c r="K16" s="6" t="s">
        <v>25</v>
      </c>
      <c r="L16" s="6"/>
    </row>
    <row r="17" spans="1:12" ht="35.1" customHeight="1" x14ac:dyDescent="0.25">
      <c r="A17" s="9"/>
      <c r="B17" s="9"/>
      <c r="C17" s="9"/>
      <c r="D17" s="9" t="s">
        <v>24</v>
      </c>
      <c r="E17" s="9"/>
      <c r="F17" s="9"/>
      <c r="G17" s="9"/>
      <c r="H17" s="10">
        <f>SUM(H4:H16)</f>
        <v>424075.82</v>
      </c>
      <c r="I17" s="9"/>
      <c r="J17" s="9"/>
      <c r="K17" s="9"/>
      <c r="L17" s="9"/>
    </row>
    <row r="18" spans="1:12" ht="35.1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35.1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35.1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35.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35.1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35.1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35.1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</sheetData>
  <mergeCells count="2">
    <mergeCell ref="A2:F2"/>
    <mergeCell ref="G2:L2"/>
  </mergeCells>
  <pageMargins left="0.7" right="0.7" top="0.75" bottom="0.75" header="0.3" footer="0.3"/>
  <pageSetup paperSize="5" scale="6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E498-C16E-43E5-828E-DAE8CDDBF30C}">
  <sheetPr>
    <pageSetUpPr fitToPage="1"/>
  </sheetPr>
  <dimension ref="A1:H30"/>
  <sheetViews>
    <sheetView workbookViewId="0">
      <pane ySplit="3" topLeftCell="A4" activePane="bottomLeft" state="frozen"/>
      <selection pane="bottomLeft" activeCell="B20" sqref="B20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1.42578125" style="5" bestFit="1" customWidth="1"/>
    <col min="4" max="4" width="18.7109375" style="5" bestFit="1" customWidth="1"/>
    <col min="5" max="5" width="31.5703125" style="5" bestFit="1" customWidth="1"/>
    <col min="6" max="16384" width="9.140625" style="5"/>
  </cols>
  <sheetData>
    <row r="1" spans="1:8" x14ac:dyDescent="0.25">
      <c r="A1" s="6"/>
      <c r="B1" s="6"/>
      <c r="C1" s="6" t="s">
        <v>3</v>
      </c>
      <c r="D1" s="7">
        <v>45931</v>
      </c>
      <c r="E1" s="6" t="s">
        <v>2</v>
      </c>
      <c r="F1" s="6"/>
      <c r="G1" s="6"/>
      <c r="H1" s="6"/>
    </row>
    <row r="2" spans="1:8" x14ac:dyDescent="0.25">
      <c r="A2" s="14" t="s">
        <v>0</v>
      </c>
      <c r="B2" s="15"/>
      <c r="C2" s="15"/>
      <c r="D2" s="16" t="s">
        <v>89</v>
      </c>
      <c r="E2" s="15"/>
      <c r="F2" s="6"/>
      <c r="G2" s="6"/>
      <c r="H2" s="6"/>
    </row>
    <row r="3" spans="1:8" x14ac:dyDescent="0.25">
      <c r="A3" s="6" t="s">
        <v>80</v>
      </c>
      <c r="B3" s="6" t="s">
        <v>78</v>
      </c>
      <c r="C3" s="6" t="s">
        <v>77</v>
      </c>
      <c r="D3" s="6" t="s">
        <v>76</v>
      </c>
      <c r="E3" s="6" t="s">
        <v>4</v>
      </c>
      <c r="F3" s="6"/>
      <c r="G3" s="6"/>
      <c r="H3" s="6"/>
    </row>
    <row r="4" spans="1:8" x14ac:dyDescent="0.25">
      <c r="A4" s="6" t="s">
        <v>49</v>
      </c>
      <c r="B4" s="6" t="s">
        <v>33</v>
      </c>
      <c r="C4" s="6" t="s">
        <v>48</v>
      </c>
      <c r="D4" s="6"/>
      <c r="E4" s="6" t="s">
        <v>18</v>
      </c>
      <c r="F4" s="6"/>
      <c r="G4" s="6"/>
      <c r="H4" s="6"/>
    </row>
    <row r="5" spans="1:8" x14ac:dyDescent="0.25">
      <c r="A5" s="6" t="s">
        <v>45</v>
      </c>
      <c r="B5" s="6" t="s">
        <v>33</v>
      </c>
      <c r="C5" s="6" t="s">
        <v>44</v>
      </c>
      <c r="D5" s="6"/>
      <c r="E5" s="6" t="s">
        <v>20</v>
      </c>
      <c r="F5" s="6"/>
      <c r="G5" s="6"/>
      <c r="H5" s="6"/>
    </row>
    <row r="6" spans="1:8" x14ac:dyDescent="0.25">
      <c r="A6" s="6" t="s">
        <v>34</v>
      </c>
      <c r="B6" s="6" t="s">
        <v>33</v>
      </c>
      <c r="C6" s="6" t="s">
        <v>32</v>
      </c>
      <c r="D6" s="6"/>
      <c r="E6" s="6" t="s">
        <v>15</v>
      </c>
      <c r="F6" s="6"/>
      <c r="G6" s="6"/>
      <c r="H6" s="6"/>
    </row>
    <row r="7" spans="1:8" x14ac:dyDescent="0.25">
      <c r="A7" s="9"/>
      <c r="B7" s="9"/>
      <c r="C7" s="9" t="s">
        <v>88</v>
      </c>
      <c r="D7" s="9"/>
      <c r="E7" s="9"/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6"/>
      <c r="B9" s="6"/>
      <c r="C9" s="6"/>
      <c r="D9" s="6"/>
      <c r="E9" s="6"/>
      <c r="F9" s="6"/>
      <c r="G9" s="6"/>
      <c r="H9" s="6"/>
    </row>
    <row r="10" spans="1:8" x14ac:dyDescent="0.25">
      <c r="A10" s="6"/>
      <c r="B10" s="6"/>
      <c r="C10" s="6"/>
      <c r="D10" s="6"/>
      <c r="E10" s="6"/>
      <c r="F10" s="6"/>
      <c r="G10" s="6"/>
      <c r="H10" s="6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2" spans="1:8" x14ac:dyDescent="0.25">
      <c r="A12" s="6" t="s">
        <v>87</v>
      </c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x14ac:dyDescent="0.25">
      <c r="A15" s="6"/>
      <c r="B15" s="6"/>
      <c r="C15" s="6"/>
      <c r="D15" s="6"/>
      <c r="E15" s="6"/>
      <c r="F15" s="6"/>
      <c r="G15" s="6"/>
      <c r="H15" s="6"/>
    </row>
    <row r="16" spans="1:8" x14ac:dyDescent="0.25">
      <c r="A16" s="6" t="s">
        <v>86</v>
      </c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6" t="s">
        <v>85</v>
      </c>
      <c r="B19" s="6"/>
      <c r="C19" s="6"/>
      <c r="D19" s="6"/>
      <c r="E19" s="6"/>
      <c r="F19" s="6"/>
      <c r="G19" s="6"/>
      <c r="H19" s="6"/>
    </row>
    <row r="20" spans="1:8" x14ac:dyDescent="0.25">
      <c r="A20" s="6"/>
      <c r="B20" s="6"/>
      <c r="C20" s="6"/>
      <c r="D20" s="6"/>
      <c r="E20" s="6"/>
      <c r="F20" s="6"/>
      <c r="G20" s="6"/>
      <c r="H20" s="6"/>
    </row>
    <row r="21" spans="1:8" x14ac:dyDescent="0.25">
      <c r="A21" s="6"/>
      <c r="B21" s="6"/>
      <c r="C21" s="6"/>
      <c r="D21" s="6"/>
      <c r="E21" s="6"/>
      <c r="F21" s="6"/>
      <c r="G21" s="6"/>
      <c r="H21" s="6"/>
    </row>
    <row r="22" spans="1:8" x14ac:dyDescent="0.25">
      <c r="A22" s="6"/>
      <c r="B22" s="6"/>
      <c r="C22" s="6"/>
      <c r="D22" s="6"/>
      <c r="E22" s="6"/>
      <c r="F22" s="6"/>
      <c r="G22" s="6"/>
      <c r="H22" s="6"/>
    </row>
    <row r="23" spans="1:8" x14ac:dyDescent="0.25">
      <c r="A23" s="6"/>
      <c r="B23" s="6"/>
      <c r="C23" s="6"/>
      <c r="D23" s="6"/>
      <c r="E23" s="6"/>
      <c r="F23" s="6"/>
      <c r="G23" s="6"/>
      <c r="H23" s="6"/>
    </row>
    <row r="24" spans="1:8" x14ac:dyDescent="0.25">
      <c r="A24" s="6"/>
      <c r="B24" s="6"/>
      <c r="C24" s="6"/>
      <c r="D24" s="6"/>
      <c r="E24" s="6"/>
      <c r="F24" s="6"/>
      <c r="G24" s="6"/>
      <c r="H24" s="6"/>
    </row>
    <row r="25" spans="1:8" x14ac:dyDescent="0.25">
      <c r="A25" s="6"/>
      <c r="B25" s="6"/>
      <c r="C25" s="6"/>
      <c r="D25" s="6"/>
      <c r="E25" s="6"/>
      <c r="F25" s="6"/>
      <c r="G25" s="6"/>
      <c r="H25" s="6"/>
    </row>
    <row r="26" spans="1:8" x14ac:dyDescent="0.25">
      <c r="A26" s="6"/>
      <c r="B26" s="6"/>
      <c r="C26" s="6"/>
      <c r="D26" s="6"/>
      <c r="E26" s="6"/>
      <c r="F26" s="6"/>
      <c r="G26" s="6"/>
      <c r="H26" s="6"/>
    </row>
    <row r="27" spans="1:8" x14ac:dyDescent="0.25">
      <c r="A27" s="6"/>
      <c r="B27" s="6"/>
      <c r="C27" s="6"/>
      <c r="D27" s="6"/>
      <c r="E27" s="6"/>
      <c r="F27" s="6"/>
      <c r="G27" s="6"/>
      <c r="H27" s="6"/>
    </row>
    <row r="28" spans="1:8" x14ac:dyDescent="0.25">
      <c r="A28" s="6"/>
      <c r="B28" s="6"/>
      <c r="C28" s="6"/>
      <c r="D28" s="6"/>
      <c r="E28" s="6"/>
      <c r="F28" s="6"/>
      <c r="G28" s="6"/>
      <c r="H28" s="6"/>
    </row>
    <row r="29" spans="1:8" x14ac:dyDescent="0.25">
      <c r="A29" s="6"/>
      <c r="B29" s="6"/>
      <c r="C29" s="6"/>
      <c r="D29" s="6"/>
      <c r="E29" s="6"/>
      <c r="F29" s="6"/>
      <c r="G29" s="6"/>
      <c r="H29" s="6"/>
    </row>
    <row r="30" spans="1:8" x14ac:dyDescent="0.25">
      <c r="A30" s="6"/>
      <c r="B30" s="6"/>
      <c r="C30" s="6"/>
      <c r="D30" s="6"/>
      <c r="E30" s="6"/>
      <c r="F30" s="6"/>
      <c r="G30" s="6"/>
      <c r="H30" s="6"/>
    </row>
  </sheetData>
  <mergeCells count="2">
    <mergeCell ref="A2:C2"/>
    <mergeCell ref="D2:E2"/>
  </mergeCells>
  <pageMargins left="0.7" right="0.7" top="0.75" bottom="0.75" header="0.3" footer="0.3"/>
  <pageSetup scale="8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2025-10-01T18:41:16Z</cp:lastPrinted>
  <dcterms:created xsi:type="dcterms:W3CDTF">2025-10-01T18:15:45Z</dcterms:created>
  <dcterms:modified xsi:type="dcterms:W3CDTF">2025-10-01T18:44:32Z</dcterms:modified>
</cp:coreProperties>
</file>