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A1ED4D13-54A1-43F5-B454-DD378BD6C302}" xr6:coauthVersionLast="47" xr6:coauthVersionMax="47" xr10:uidLastSave="{00000000-0000-0000-0000-000000000000}"/>
  <bookViews>
    <workbookView xWindow="-915" yWindow="210" windowWidth="29040" windowHeight="15600" activeTab="1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D18" i="1" l="1"/>
  <c r="H18" i="1"/>
  <c r="E18" i="1"/>
  <c r="C18" i="1"/>
</calcChain>
</file>

<file path=xl/sharedStrings.xml><?xml version="1.0" encoding="utf-8"?>
<sst xmlns="http://schemas.openxmlformats.org/spreadsheetml/2006/main" count="104" uniqueCount="69">
  <si>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</si>
  <si>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</si>
  <si>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</si>
  <si>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</si>
  <si>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</si>
  <si>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</si>
  <si>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</si>
  <si>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</si>
  <si>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</si>
  <si>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</si>
  <si>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Tasca Automotive Group Rt 6 One Inc</t>
  </si>
  <si>
    <t>Marlene Braganca</t>
  </si>
  <si>
    <t>Viti Mercedes</t>
  </si>
  <si>
    <t>Patriot Auto Group Inc d/b/a</t>
  </si>
  <si>
    <t>Neli Oliveira</t>
  </si>
  <si>
    <t>Paul Masse Chevrolet, Inc</t>
  </si>
  <si>
    <t>Battles Nissan, LLC</t>
  </si>
  <si>
    <t>Paul Masse Buick GMC South, Inc</t>
  </si>
  <si>
    <t>Priority Automotive LLC</t>
  </si>
  <si>
    <t>Column1</t>
  </si>
  <si>
    <t>Column2</t>
  </si>
  <si>
    <t>RYAN</t>
  </si>
  <si>
    <t>GEORGE@NECUSTOMCABINETRY.COM</t>
  </si>
  <si>
    <t>ANTONITIS, GEORGE P</t>
  </si>
  <si>
    <t>New England Custom Cabinetry LLC</t>
  </si>
  <si>
    <t>E Contract</t>
  </si>
  <si>
    <t>DealerTrack</t>
  </si>
  <si>
    <t>151228949E</t>
  </si>
  <si>
    <t>Corrente</t>
  </si>
  <si>
    <t>Aquesto</t>
  </si>
  <si>
    <t>kara.brayden@gmail.com</t>
  </si>
  <si>
    <t>HARTLEY, KARA</t>
  </si>
  <si>
    <t>HARTLEY, RICHARD A</t>
  </si>
  <si>
    <t>Route One</t>
  </si>
  <si>
    <t>151228569E</t>
  </si>
  <si>
    <t>MUSKIE</t>
  </si>
  <si>
    <t>RYAN.WKKL@GMAIL.COM</t>
  </si>
  <si>
    <t>STANTON, RYAN</t>
  </si>
  <si>
    <t>151228915E</t>
  </si>
  <si>
    <t>LAPORE</t>
  </si>
  <si>
    <t>jrf135@gmail.com</t>
  </si>
  <si>
    <t>FERRI, DOMENIC</t>
  </si>
  <si>
    <t>151228816E</t>
  </si>
  <si>
    <t>PRINGLE</t>
  </si>
  <si>
    <t>monicapringle@gmail.com</t>
  </si>
  <si>
    <t>PRINGLE, MONICA PATRICE</t>
  </si>
  <si>
    <t>151228907E</t>
  </si>
  <si>
    <t>Carlson</t>
  </si>
  <si>
    <t>Sylvestre</t>
  </si>
  <si>
    <t>KWCARIBBEAN@GMAIL.COM</t>
  </si>
  <si>
    <t>WALLANDER, DAVID</t>
  </si>
  <si>
    <t>WALLANDER, KATHI</t>
  </si>
  <si>
    <t>151228824E</t>
  </si>
  <si>
    <t>Abrams</t>
  </si>
  <si>
    <t>NORMHARRISON@REALTYCENTERRI.COM</t>
  </si>
  <si>
    <t>HARRISON, NORMAN</t>
  </si>
  <si>
    <t>151228767E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</si>
  <si>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</si>
  <si>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</si>
  <si>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</si>
  <si>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</si>
  <si>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</si>
  <si>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</si>
  <si>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</si>
  <si>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</si>
  <si>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</si>
  <si>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</si>
  <si>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</si>
  <si>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#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</si>
</sst>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11"/>
      <color rgb="FF444444"/>
      <name val="Arial"/>
      <family val="2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444444"/>
      <name val="Aptos Display"/>
      <family val="2"/>
    </font>
    <font>
      <sz val="11"/>
      <color indexed="8"/>
      <name val="Aptos Display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2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4" fillId="0" borderId="0" xfId="1" applyFont="1" applyFill="1" applyAlignment="1">
      <alignment horizontal="left"/>
    </xf>
    <xf numFmtId="0" fontId="2" fillId="0" borderId="0" xfId="1" applyFill="1"/>
    <xf numFmtId="0" fontId="4" fillId="0" borderId="0" xfId="1" applyFont="1" applyFill="1" applyAlignment="1">
      <alignment horizontal="right"/>
    </xf>
    <xf numFmtId="0" fontId="2" fillId="0" borderId="0" xfId="1" applyFill="1" applyAlignment="1">
      <alignment horizontal="left"/>
    </xf>
    <xf numFmtId="7" fontId="2" fillId="0" borderId="0" xfId="1" applyNumberFormat="1" applyFill="1"/>
    <xf numFmtId="0" fontId="4" fillId="0" borderId="0" xfId="1" applyFont="1" applyFill="1"/>
    <xf numFmtId="7" fontId="4" fillId="0" borderId="0" xfId="1" applyNumberFormat="1" applyFont="1" applyFill="1"/>
    <xf numFmtId="0" fontId="6" fillId="0" borderId="0" xfId="1" applyFont="1" applyFill="1"/>
    <xf numFmtId="0" fontId="7" fillId="0" borderId="0" xfId="1" applyFont="1" applyFill="1"/>
  </cellXfs>
  <cellStyles count="2">
    <cellStyle name="Normal" xfId="0" builtinId="0"/>
    <cellStyle name="Normal 2" xfId="1" xr:uid="{B7649AF3-0C06-482F-960D-134EC81F54A9}"/>
  </cellStyles>
  <dxfs count="1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8">
  <sortState xmlns:xlrd2="http://schemas.microsoft.com/office/spreadsheetml/2017/richdata2" ref="A4:H18">
    <sortCondition ref="A4:A18"/>
  </sortState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2926D851-FCF4-4129-883E-3502009D2067}" name="Column1" dataDxfId="16"/>
    <tableColumn id="8" xr3:uid="{563055BD-44D3-4649-89E3-1967578F26DC}" name="Column2" dataDxfId="1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EF888B-6E20-4F10-93B9-EB2E8663F8E7}" name="Table_13" displayName="Table_13" ref="A3:L11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workbookViewId="0">
      <pane ySplit="3" topLeftCell="A4" activePane="bottomLeft" state="frozen"/>
      <selection pane="bottomLeft" activeCell="G29" sqref="A1:H29"/>
    </sheetView>
  </sheetViews>
  <sheetFormatPr defaultRowHeight="15" x14ac:dyDescent="0.25"/>
  <cols>
    <col min="1" max="1" width="35.7109375" bestFit="1" customWidth="1"/>
    <col min="2" max="2" width="17.710937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45926</v>
      </c>
      <c r="E1" t="s">
        <v>2</v>
      </c>
      <c r="H1" s="4">
        <v>45926.999988425923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19</v>
      </c>
      <c r="G3" t="s">
        <v>20</v>
      </c>
      <c r="H3" t="s">
        <v>9</v>
      </c>
    </row>
    <row r="4" spans="1:8" x14ac:dyDescent="0.25">
      <c r="A4" s="8" t="s">
        <v>16</v>
      </c>
      <c r="B4" t="s">
        <v>14</v>
      </c>
      <c r="C4" s="2">
        <v>850</v>
      </c>
      <c r="D4" s="2">
        <v>0</v>
      </c>
      <c r="E4" s="2">
        <v>31604.63</v>
      </c>
      <c r="F4" s="2"/>
      <c r="G4" s="2"/>
      <c r="H4" s="2">
        <v>31679.63</v>
      </c>
    </row>
    <row r="5" spans="1:8" x14ac:dyDescent="0.25">
      <c r="A5" s="8"/>
      <c r="C5" s="2"/>
      <c r="D5" s="2"/>
      <c r="E5" s="2"/>
      <c r="F5" s="2"/>
      <c r="G5" s="2"/>
      <c r="H5" s="2"/>
    </row>
    <row r="6" spans="1:8" x14ac:dyDescent="0.25">
      <c r="A6" s="8" t="s">
        <v>13</v>
      </c>
      <c r="B6" t="s">
        <v>14</v>
      </c>
      <c r="C6" s="2">
        <v>950</v>
      </c>
      <c r="D6" s="2">
        <v>0</v>
      </c>
      <c r="E6" s="2">
        <v>35978.879999999997</v>
      </c>
      <c r="F6" s="2"/>
      <c r="G6" s="2"/>
      <c r="H6" s="2">
        <v>36053.879999999997</v>
      </c>
    </row>
    <row r="7" spans="1:8" x14ac:dyDescent="0.25">
      <c r="A7" s="8"/>
      <c r="C7" s="2"/>
      <c r="D7" s="2"/>
      <c r="E7" s="2"/>
      <c r="F7" s="2"/>
      <c r="G7" s="2"/>
      <c r="H7" s="2"/>
    </row>
    <row r="8" spans="1:8" x14ac:dyDescent="0.25">
      <c r="A8" s="8" t="s">
        <v>17</v>
      </c>
      <c r="B8" t="s">
        <v>11</v>
      </c>
      <c r="C8" s="2">
        <v>650</v>
      </c>
      <c r="D8" s="2">
        <v>0</v>
      </c>
      <c r="E8" s="2">
        <v>22307.85</v>
      </c>
      <c r="F8" s="2"/>
      <c r="G8" s="2"/>
      <c r="H8" s="2">
        <v>22382.85</v>
      </c>
    </row>
    <row r="9" spans="1:8" x14ac:dyDescent="0.25">
      <c r="A9" s="8"/>
      <c r="C9" s="2"/>
      <c r="D9" s="2"/>
      <c r="E9" s="2"/>
      <c r="F9" s="2"/>
      <c r="G9" s="2"/>
      <c r="H9" s="2"/>
    </row>
    <row r="10" spans="1:8" x14ac:dyDescent="0.25">
      <c r="A10" s="8" t="s">
        <v>15</v>
      </c>
      <c r="B10" t="s">
        <v>14</v>
      </c>
      <c r="C10" s="2">
        <v>1350</v>
      </c>
      <c r="D10" s="2">
        <v>0</v>
      </c>
      <c r="E10" s="2">
        <v>54038.1</v>
      </c>
      <c r="F10" s="2"/>
      <c r="G10" s="2"/>
      <c r="H10" s="2">
        <v>54113.1</v>
      </c>
    </row>
    <row r="11" spans="1:8" x14ac:dyDescent="0.25">
      <c r="A11" s="8"/>
      <c r="C11" s="2"/>
      <c r="D11" s="2"/>
      <c r="E11" s="2"/>
      <c r="F11" s="2"/>
      <c r="G11" s="2"/>
      <c r="H11" s="2"/>
    </row>
    <row r="12" spans="1:8" x14ac:dyDescent="0.25">
      <c r="A12" s="8" t="s">
        <v>18</v>
      </c>
      <c r="B12" t="s">
        <v>11</v>
      </c>
      <c r="C12" s="2">
        <v>1350</v>
      </c>
      <c r="D12" s="2">
        <v>0</v>
      </c>
      <c r="E12" s="2">
        <v>52169.89</v>
      </c>
      <c r="F12" s="2"/>
      <c r="G12" s="2"/>
      <c r="H12" s="2">
        <v>52244.89</v>
      </c>
    </row>
    <row r="13" spans="1:8" x14ac:dyDescent="0.25">
      <c r="A13" s="8"/>
      <c r="C13" s="2"/>
      <c r="D13" s="2"/>
      <c r="E13" s="2"/>
      <c r="F13" s="2"/>
      <c r="G13" s="2"/>
      <c r="H13" s="2"/>
    </row>
    <row r="14" spans="1:8" x14ac:dyDescent="0.25">
      <c r="A14" t="s">
        <v>10</v>
      </c>
      <c r="B14" t="s">
        <v>11</v>
      </c>
      <c r="C14" s="2">
        <v>500</v>
      </c>
      <c r="D14" s="2">
        <v>0</v>
      </c>
      <c r="E14" s="2">
        <v>16525.060000000001</v>
      </c>
      <c r="F14" s="2"/>
      <c r="G14" s="2"/>
      <c r="H14" s="2">
        <v>16600.060000000001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12</v>
      </c>
      <c r="B16" t="s">
        <v>11</v>
      </c>
      <c r="C16" s="2">
        <v>1350</v>
      </c>
      <c r="D16" s="2">
        <v>0</v>
      </c>
      <c r="E16" s="2">
        <v>61008</v>
      </c>
      <c r="F16" s="2"/>
      <c r="G16" s="2"/>
      <c r="H16" s="2">
        <v>61083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s="1"/>
      <c r="B18" s="1"/>
      <c r="C18" s="3">
        <f>SUM(C4:C17)</f>
        <v>7000</v>
      </c>
      <c r="D18" s="3">
        <f>SUM(D4:D17)</f>
        <v>0</v>
      </c>
      <c r="E18" s="3">
        <f>SUM(E4:E17)</f>
        <v>273632.40999999997</v>
      </c>
      <c r="F18" s="3"/>
      <c r="G18" s="3"/>
      <c r="H18" s="3">
        <f>SUM(H4:H17)</f>
        <v>274157.40999999997</v>
      </c>
    </row>
  </sheetData>
  <mergeCells count="2">
    <mergeCell ref="A2:C2"/>
    <mergeCell ref="D2:H2"/>
  </mergeCells>
  <phoneticPr fontId="5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EA1-4C06-4BB2-9FAE-6DF89D24E3D0}">
  <sheetPr>
    <pageSetUpPr fitToPage="1"/>
  </sheetPr>
  <dimension ref="A1:L17"/>
  <sheetViews>
    <sheetView tabSelected="1" workbookViewId="0">
      <pane ySplit="3" topLeftCell="A4" activePane="bottomLeft" state="frozen"/>
      <selection pane="bottomLeft" activeCell="F13" sqref="F13"/>
    </sheetView>
  </sheetViews>
  <sheetFormatPr defaultRowHeight="15" x14ac:dyDescent="0.25"/>
  <cols>
    <col min="1" max="1" width="16.42578125" style="9" bestFit="1" customWidth="1"/>
    <col min="2" max="2" width="12.140625" style="9" bestFit="1" customWidth="1"/>
    <col min="3" max="3" width="14" style="9" bestFit="1" customWidth="1"/>
    <col min="4" max="4" width="34.42578125" style="9" customWidth="1"/>
    <col min="5" max="5" width="21.28515625" style="9" customWidth="1"/>
    <col min="6" max="6" width="35.7109375" style="9" bestFit="1" customWidth="1"/>
    <col min="7" max="7" width="17.7109375" style="9" bestFit="1" customWidth="1"/>
    <col min="8" max="8" width="17.140625" style="9" bestFit="1" customWidth="1"/>
    <col min="9" max="9" width="39.28515625" style="9" bestFit="1" customWidth="1"/>
    <col min="10" max="10" width="27.28515625" style="9" bestFit="1" customWidth="1"/>
    <col min="11" max="11" width="19.85546875" style="9" bestFit="1" customWidth="1"/>
    <col min="12" max="12" width="12.85546875" style="9" bestFit="1" customWidth="1"/>
    <col min="13" max="16384" width="9.140625" style="9"/>
  </cols>
  <sheetData>
    <row r="1" spans="1:12" ht="35.1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 t="s">
        <v>3</v>
      </c>
      <c r="K1" s="11">
        <v>45926</v>
      </c>
      <c r="L1" s="10" t="s">
        <v>2</v>
      </c>
    </row>
    <row r="2" spans="1:12" ht="35.1" customHeight="1" x14ac:dyDescent="0.25">
      <c r="A2" s="12" t="s">
        <v>0</v>
      </c>
      <c r="B2" s="13"/>
      <c r="C2" s="13"/>
      <c r="D2" s="13"/>
      <c r="E2" s="13"/>
      <c r="F2" s="13"/>
      <c r="G2" s="14" t="s">
        <v>67</v>
      </c>
      <c r="H2" s="13"/>
      <c r="I2" s="13"/>
      <c r="J2" s="13"/>
      <c r="K2" s="13"/>
      <c r="L2" s="13"/>
    </row>
    <row r="3" spans="1:12" ht="35.1" customHeight="1" x14ac:dyDescent="0.25">
      <c r="A3" s="15" t="s">
        <v>66</v>
      </c>
      <c r="B3" s="10" t="s">
        <v>65</v>
      </c>
      <c r="C3" s="10" t="s">
        <v>64</v>
      </c>
      <c r="D3" s="10" t="s">
        <v>63</v>
      </c>
      <c r="E3" s="10" t="s">
        <v>62</v>
      </c>
      <c r="F3" s="10" t="s">
        <v>4</v>
      </c>
      <c r="G3" s="10" t="s">
        <v>5</v>
      </c>
      <c r="H3" s="10" t="s">
        <v>61</v>
      </c>
      <c r="I3" s="10" t="s">
        <v>60</v>
      </c>
      <c r="J3" s="10" t="s">
        <v>59</v>
      </c>
      <c r="K3" s="10" t="s">
        <v>58</v>
      </c>
      <c r="L3" s="10" t="s">
        <v>57</v>
      </c>
    </row>
    <row r="4" spans="1:12" ht="35.1" customHeight="1" x14ac:dyDescent="0.25">
      <c r="A4" s="15" t="s">
        <v>56</v>
      </c>
      <c r="B4" s="10" t="s">
        <v>26</v>
      </c>
      <c r="C4" s="10" t="s">
        <v>25</v>
      </c>
      <c r="D4" s="20" t="s">
        <v>55</v>
      </c>
      <c r="E4" s="10"/>
      <c r="F4" s="20" t="s">
        <v>12</v>
      </c>
      <c r="G4" s="10" t="s">
        <v>11</v>
      </c>
      <c r="H4" s="16">
        <v>61083</v>
      </c>
      <c r="I4" s="10" t="s">
        <v>54</v>
      </c>
      <c r="J4" s="10"/>
      <c r="K4" s="10" t="s">
        <v>53</v>
      </c>
      <c r="L4" s="10"/>
    </row>
    <row r="5" spans="1:12" ht="35.1" customHeight="1" x14ac:dyDescent="0.25">
      <c r="A5" s="15" t="s">
        <v>52</v>
      </c>
      <c r="B5" s="10" t="s">
        <v>33</v>
      </c>
      <c r="C5" s="10" t="s">
        <v>25</v>
      </c>
      <c r="D5" s="20" t="s">
        <v>51</v>
      </c>
      <c r="E5" s="10" t="s">
        <v>50</v>
      </c>
      <c r="F5" s="20" t="s">
        <v>10</v>
      </c>
      <c r="G5" s="10" t="s">
        <v>11</v>
      </c>
      <c r="H5" s="16">
        <v>16600.060000000001</v>
      </c>
      <c r="I5" s="10"/>
      <c r="J5" s="10" t="s">
        <v>49</v>
      </c>
      <c r="K5" s="10" t="s">
        <v>48</v>
      </c>
      <c r="L5" s="10" t="s">
        <v>47</v>
      </c>
    </row>
    <row r="6" spans="1:12" ht="35.1" customHeight="1" x14ac:dyDescent="0.25">
      <c r="A6" s="15" t="s">
        <v>46</v>
      </c>
      <c r="B6" s="10" t="s">
        <v>33</v>
      </c>
      <c r="C6" s="10" t="s">
        <v>25</v>
      </c>
      <c r="D6" s="20" t="s">
        <v>45</v>
      </c>
      <c r="E6" s="10"/>
      <c r="F6" s="19" t="s">
        <v>13</v>
      </c>
      <c r="G6" s="10" t="s">
        <v>14</v>
      </c>
      <c r="H6" s="16">
        <v>36053.879999999997</v>
      </c>
      <c r="I6" s="10" t="s">
        <v>44</v>
      </c>
      <c r="J6" s="10"/>
      <c r="K6" s="10" t="s">
        <v>43</v>
      </c>
      <c r="L6" s="10"/>
    </row>
    <row r="7" spans="1:12" ht="35.1" customHeight="1" x14ac:dyDescent="0.25">
      <c r="A7" s="15" t="s">
        <v>42</v>
      </c>
      <c r="B7" s="10" t="s">
        <v>33</v>
      </c>
      <c r="C7" s="10" t="s">
        <v>25</v>
      </c>
      <c r="D7" s="20" t="s">
        <v>41</v>
      </c>
      <c r="E7" s="10"/>
      <c r="F7" s="19" t="s">
        <v>15</v>
      </c>
      <c r="G7" s="10" t="s">
        <v>14</v>
      </c>
      <c r="H7" s="16">
        <v>54113.1</v>
      </c>
      <c r="I7" s="10" t="s">
        <v>40</v>
      </c>
      <c r="J7" s="10"/>
      <c r="K7" s="10" t="s">
        <v>39</v>
      </c>
      <c r="L7" s="10"/>
    </row>
    <row r="8" spans="1:12" ht="35.1" customHeight="1" x14ac:dyDescent="0.25">
      <c r="A8" s="15" t="s">
        <v>38</v>
      </c>
      <c r="B8" s="10" t="s">
        <v>26</v>
      </c>
      <c r="C8" s="10" t="s">
        <v>25</v>
      </c>
      <c r="D8" s="19" t="s">
        <v>37</v>
      </c>
      <c r="E8" s="10"/>
      <c r="F8" s="19" t="s">
        <v>16</v>
      </c>
      <c r="G8" s="10" t="s">
        <v>14</v>
      </c>
      <c r="H8" s="16">
        <v>31679.63</v>
      </c>
      <c r="I8" s="10" t="s">
        <v>36</v>
      </c>
      <c r="J8" s="10"/>
      <c r="K8" s="10" t="s">
        <v>35</v>
      </c>
      <c r="L8" s="10"/>
    </row>
    <row r="9" spans="1:12" ht="35.1" customHeight="1" x14ac:dyDescent="0.25">
      <c r="A9" s="15" t="s">
        <v>34</v>
      </c>
      <c r="B9" s="10" t="s">
        <v>33</v>
      </c>
      <c r="C9" s="10" t="s">
        <v>25</v>
      </c>
      <c r="D9" s="20" t="s">
        <v>32</v>
      </c>
      <c r="E9" s="10" t="s">
        <v>31</v>
      </c>
      <c r="F9" s="19" t="s">
        <v>17</v>
      </c>
      <c r="G9" s="10" t="s">
        <v>11</v>
      </c>
      <c r="H9" s="16">
        <v>22382.85</v>
      </c>
      <c r="I9" s="10"/>
      <c r="J9" s="10" t="s">
        <v>30</v>
      </c>
      <c r="K9" s="10" t="s">
        <v>29</v>
      </c>
      <c r="L9" s="10" t="s">
        <v>28</v>
      </c>
    </row>
    <row r="10" spans="1:12" ht="35.1" customHeight="1" x14ac:dyDescent="0.25">
      <c r="A10" s="15" t="s">
        <v>27</v>
      </c>
      <c r="B10" s="10" t="s">
        <v>26</v>
      </c>
      <c r="C10" s="10" t="s">
        <v>25</v>
      </c>
      <c r="D10" s="20" t="s">
        <v>24</v>
      </c>
      <c r="E10" s="10" t="s">
        <v>23</v>
      </c>
      <c r="F10" s="19" t="s">
        <v>18</v>
      </c>
      <c r="G10" s="10" t="s">
        <v>11</v>
      </c>
      <c r="H10" s="16">
        <v>52244.89</v>
      </c>
      <c r="I10" s="10" t="s">
        <v>22</v>
      </c>
      <c r="J10" s="10"/>
      <c r="K10" s="10" t="s">
        <v>21</v>
      </c>
      <c r="L10" s="10"/>
    </row>
    <row r="11" spans="1:12" ht="35.1" customHeight="1" x14ac:dyDescent="0.25">
      <c r="A11" s="17"/>
      <c r="B11" s="17"/>
      <c r="C11" s="17"/>
      <c r="D11" s="17" t="s">
        <v>68</v>
      </c>
      <c r="E11" s="17"/>
      <c r="F11" s="17"/>
      <c r="G11" s="17"/>
      <c r="H11" s="18">
        <f>SUM(H4:H10)</f>
        <v>274157.41000000003</v>
      </c>
      <c r="I11" s="17"/>
      <c r="J11" s="17"/>
      <c r="K11" s="17"/>
      <c r="L11" s="17"/>
    </row>
    <row r="12" spans="1:12" ht="35.1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35.1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35.1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35.1" customHeight="1" x14ac:dyDescent="0.25"/>
    <row r="16" spans="1:12" ht="35.1" customHeight="1" x14ac:dyDescent="0.25"/>
    <row r="17" s="9" customFormat="1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5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2025-09-26T18:20:43Z</cp:lastPrinted>
  <dcterms:created xsi:type="dcterms:W3CDTF">2025-09-26T17:23:13Z</dcterms:created>
  <dcterms:modified xsi:type="dcterms:W3CDTF">2025-09-26T18:22:10Z</dcterms:modified>
</cp:coreProperties>
</file>