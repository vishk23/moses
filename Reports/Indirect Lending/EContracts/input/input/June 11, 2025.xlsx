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34917CA-5EDA-4AE3-B75E-0F398AD50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16" i="1"/>
  <c r="H25" i="1"/>
  <c r="E25" i="1"/>
  <c r="D25" i="1"/>
  <c r="C25" i="1"/>
</calcChain>
</file>

<file path=xl/sharedStrings.xml><?xml version="1.0" encoding="utf-8"?>
<sst xmlns="http://schemas.openxmlformats.org/spreadsheetml/2006/main" count="176" uniqueCount="95">
  <si>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</si>
  <si>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</si>
  <si>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</si>
  <si>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</si>
  <si>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</si>
  <si>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</si>
  <si>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</si>
  <si>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</si>
  <si>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</si>
  <si>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</si>
  <si>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Bailey's Motor Sales Inc</t>
  </si>
  <si>
    <t>Rachel Gorham</t>
  </si>
  <si>
    <t>Herb Chambers Boston Turnpike Inc d/b/a</t>
  </si>
  <si>
    <t>Lucchettis Service Center Inc</t>
  </si>
  <si>
    <t>Mastria Mazda</t>
  </si>
  <si>
    <t>Neli Oliveira</t>
  </si>
  <si>
    <t>Mathieu Ford Sales, Inc</t>
  </si>
  <si>
    <t>NARSA AMC LLC d/b/a</t>
  </si>
  <si>
    <t>Patriot Auto Group Inc d/b/a</t>
  </si>
  <si>
    <t>Paul Masse Buick GMC South, Inc</t>
  </si>
  <si>
    <t>Tasca Automotive Group Rt 6 Two</t>
  </si>
  <si>
    <t>Wareham Ford</t>
  </si>
  <si>
    <t>Column1</t>
  </si>
  <si>
    <t>Column2</t>
  </si>
  <si>
    <t># 12</t>
  </si>
  <si>
    <t>KRAPH</t>
  </si>
  <si>
    <t>jilleconlon@yahoo.com</t>
  </si>
  <si>
    <t>CONLON, JILL</t>
  </si>
  <si>
    <t>E Contract</t>
  </si>
  <si>
    <t>Route One</t>
  </si>
  <si>
    <t>151191542e</t>
  </si>
  <si>
    <t>LALIBERTE</t>
  </si>
  <si>
    <t>CTHYC1117@VERIZON.NET</t>
  </si>
  <si>
    <t>HANKS, STEVEN</t>
  </si>
  <si>
    <t>151191526e</t>
  </si>
  <si>
    <t>SEETA</t>
  </si>
  <si>
    <t>GAONKARS@GMAIL.COM</t>
  </si>
  <si>
    <t>GAONKAR, SAMEER</t>
  </si>
  <si>
    <t>Paper</t>
  </si>
  <si>
    <t>DealerTrack</t>
  </si>
  <si>
    <t>151191485</t>
  </si>
  <si>
    <t>VAUGHAN</t>
  </si>
  <si>
    <t>JAMESDCONTRACTING@GMAIL.COM</t>
  </si>
  <si>
    <t>DALY, JAMES</t>
  </si>
  <si>
    <t>151191477</t>
  </si>
  <si>
    <t>BARR</t>
  </si>
  <si>
    <t>ALYSSA.K.KEUTHER@HOTMAIL.COM</t>
  </si>
  <si>
    <t>LIESKE, ALYSSA</t>
  </si>
  <si>
    <t>151191469e</t>
  </si>
  <si>
    <t>HAYWARD</t>
  </si>
  <si>
    <t>slpresco1@gmail.com</t>
  </si>
  <si>
    <t>PRESCOTT, SAMANTHA</t>
  </si>
  <si>
    <t>151191435</t>
  </si>
  <si>
    <t>NAUGHTON</t>
  </si>
  <si>
    <t>OBRIEN, PATRICK</t>
  </si>
  <si>
    <t>151191386e</t>
  </si>
  <si>
    <t>KEEFE</t>
  </si>
  <si>
    <t>CLAIREDUFFYFINN@GMAIL.COM</t>
  </si>
  <si>
    <t>DUFFY, CLAIRE</t>
  </si>
  <si>
    <t>151191344e</t>
  </si>
  <si>
    <t>HORAN</t>
  </si>
  <si>
    <t>HERLIHY, KELLEY</t>
  </si>
  <si>
    <t>151191336e</t>
  </si>
  <si>
    <t>TODE</t>
  </si>
  <si>
    <t>a.wilson24@yahoo.com</t>
  </si>
  <si>
    <t>TERRY, AMANDA</t>
  </si>
  <si>
    <t>151191310e</t>
  </si>
  <si>
    <t>LARSON</t>
  </si>
  <si>
    <t>LINDAWILMOT62@GMAIL.COM</t>
  </si>
  <si>
    <t>WILMOT, LINDA</t>
  </si>
  <si>
    <t>151191295e</t>
  </si>
  <si>
    <t>SAYER</t>
  </si>
  <si>
    <t>JENNINGS</t>
  </si>
  <si>
    <t>carlyeadams143@gmail.com</t>
  </si>
  <si>
    <t>cbcjadams@mac.com</t>
  </si>
  <si>
    <t>ADAMS, CARLY</t>
  </si>
  <si>
    <t>ADAMS, CHARLES</t>
  </si>
  <si>
    <t>151191279e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</si>
  <si>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</si>
  <si>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</si>
  <si>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</si>
  <si>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</si>
  <si>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</si>
  <si>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</si>
  <si>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</si>
  <si>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</si>
  <si>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</si>
  <si>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</si>
  <si>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</si>
  <si>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</t>
  </si>
  <si>
    <t>Received By_____________________________________________________________________</t>
  </si>
  <si>
    <t>Delivered By____________________________________________________________________</t>
  </si>
  <si>
    <t># 3</t>
  </si>
  <si>
    <t>Funding Worksheet - Signoff Version</t>
  </si>
  <si>
    <t>5900    6390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</si>
</sst>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10524962-500F-48BA-8E1F-3BE3A7E625D7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0F2BCC78-A223-428D-8F31-C4D4AEDEAE3D}" name="Column1" dataDxfId="24"/>
    <tableColumn id="8" xr3:uid="{693B5767-7520-4379-9F88-3956286B859D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E7C2AC-F079-45F8-950C-27504A9FABDD}" name="Table_13" displayName="Table_13" ref="A3:L16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B4C41A-C3BE-49F2-9D63-9FB89D1B863C}" name="Table_14" displayName="Table_14" ref="A3:E7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workbookViewId="0">
      <pane ySplit="3" topLeftCell="A4" activePane="bottomLeft" state="frozen"/>
      <selection pane="bottomLeft" activeCell="N14" sqref="N14"/>
    </sheetView>
  </sheetViews>
  <sheetFormatPr defaultRowHeight="15" x14ac:dyDescent="0.25"/>
  <cols>
    <col min="1" max="1" width="39.5703125" bestFit="1" customWidth="1"/>
    <col min="2" max="2" width="15.14062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45819</v>
      </c>
      <c r="E1" t="s">
        <v>2</v>
      </c>
      <c r="H1" s="4">
        <v>45819.999988425923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22</v>
      </c>
      <c r="G3" t="s">
        <v>23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30784.2</v>
      </c>
      <c r="F4" s="2"/>
      <c r="G4" s="2"/>
      <c r="H4" s="2">
        <v>30859.200000000001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1350</v>
      </c>
      <c r="D6" s="2">
        <v>0</v>
      </c>
      <c r="E6" s="2">
        <v>57934.19</v>
      </c>
      <c r="F6" s="2"/>
      <c r="G6" s="2"/>
      <c r="H6" s="2">
        <v>58009.19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750</v>
      </c>
      <c r="D8" s="2">
        <v>0</v>
      </c>
      <c r="E8" s="2">
        <v>28317.439999999999</v>
      </c>
      <c r="F8" s="2"/>
      <c r="G8" s="2"/>
      <c r="H8" s="2">
        <v>28392.44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15</v>
      </c>
      <c r="C10" s="2">
        <v>750</v>
      </c>
      <c r="D10" s="2">
        <v>0</v>
      </c>
      <c r="E10" s="2">
        <v>25791.98</v>
      </c>
      <c r="F10" s="2"/>
      <c r="G10" s="2" t="s">
        <v>94</v>
      </c>
      <c r="H10" s="2">
        <v>25866.98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15</v>
      </c>
      <c r="C12" s="2">
        <v>750</v>
      </c>
      <c r="D12" s="2">
        <v>0</v>
      </c>
      <c r="E12" s="2">
        <v>29115</v>
      </c>
      <c r="F12" s="2"/>
      <c r="G12" s="2"/>
      <c r="H12" s="2">
        <v>29190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650</v>
      </c>
      <c r="D14" s="2">
        <v>0</v>
      </c>
      <c r="E14" s="2">
        <v>22184.69</v>
      </c>
      <c r="F14" s="2"/>
      <c r="G14" s="2"/>
      <c r="H14" s="2">
        <v>22259.69</v>
      </c>
    </row>
    <row r="15" spans="1:8" x14ac:dyDescent="0.25">
      <c r="A15" t="s">
        <v>17</v>
      </c>
      <c r="B15" t="s">
        <v>11</v>
      </c>
      <c r="C15" s="2">
        <v>750</v>
      </c>
      <c r="D15" s="2">
        <v>0</v>
      </c>
      <c r="E15" s="2">
        <v>26115.94</v>
      </c>
      <c r="F15" s="2"/>
      <c r="G15" s="2"/>
      <c r="H15" s="2">
        <v>26190.94</v>
      </c>
    </row>
    <row r="16" spans="1:8" x14ac:dyDescent="0.25">
      <c r="A16" t="s">
        <v>17</v>
      </c>
      <c r="B16" t="s">
        <v>15</v>
      </c>
      <c r="C16" s="2">
        <v>500</v>
      </c>
      <c r="D16" s="2">
        <v>0</v>
      </c>
      <c r="E16" s="2">
        <v>18615.939999999999</v>
      </c>
      <c r="F16" s="2">
        <f>SUM(E14:E16)</f>
        <v>66916.569999999992</v>
      </c>
      <c r="G16" s="2"/>
      <c r="H16" s="2">
        <v>18690.939999999999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11</v>
      </c>
      <c r="C18" s="2">
        <v>750</v>
      </c>
      <c r="D18" s="2">
        <v>0</v>
      </c>
      <c r="E18" s="2">
        <v>25388.880000000001</v>
      </c>
      <c r="F18" s="2"/>
      <c r="G18" s="2"/>
      <c r="H18" s="2">
        <v>25463.88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650</v>
      </c>
      <c r="D20" s="2">
        <v>0</v>
      </c>
      <c r="E20" s="2">
        <v>22887.69</v>
      </c>
      <c r="F20" s="2"/>
      <c r="G20" s="2"/>
      <c r="H20" s="2">
        <v>22962.69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15</v>
      </c>
      <c r="C22" s="2">
        <v>300</v>
      </c>
      <c r="D22" s="2">
        <v>0</v>
      </c>
      <c r="E22" s="2">
        <v>12737.48</v>
      </c>
      <c r="F22" s="2"/>
      <c r="G22" s="2"/>
      <c r="H22" s="2">
        <v>12812.48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11</v>
      </c>
      <c r="C24" s="2">
        <v>950</v>
      </c>
      <c r="D24" s="2">
        <v>0</v>
      </c>
      <c r="E24" s="2">
        <v>38418.46</v>
      </c>
      <c r="F24" s="2"/>
      <c r="G24" s="2"/>
      <c r="H24" s="2">
        <v>38493.46</v>
      </c>
    </row>
    <row r="25" spans="1:8" x14ac:dyDescent="0.25">
      <c r="A25" s="1"/>
      <c r="B25" s="1"/>
      <c r="C25" s="3">
        <f>SUM(C4:C24)</f>
        <v>9000</v>
      </c>
      <c r="D25" s="3">
        <f>SUM(D4:D24)</f>
        <v>0</v>
      </c>
      <c r="E25" s="3">
        <f>SUM(E4:E24)</f>
        <v>338291.89</v>
      </c>
      <c r="F25" s="3"/>
      <c r="G25" s="3"/>
      <c r="H25" s="3">
        <f>SUM(H4:H24)</f>
        <v>339191.89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9608-E39F-48E6-AA65-1B5CDF4244AF}">
  <sheetPr>
    <pageSetUpPr fitToPage="1"/>
  </sheetPr>
  <dimension ref="A1:L18"/>
  <sheetViews>
    <sheetView workbookViewId="0">
      <pane ySplit="3" topLeftCell="A4" activePane="bottomLeft" state="frozen"/>
      <selection pane="bottomLeft" activeCell="G9" sqref="G9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2.28515625" style="5" bestFit="1" customWidth="1"/>
    <col min="5" max="5" width="18.7109375" style="5" bestFit="1" customWidth="1"/>
    <col min="6" max="6" width="39.5703125" style="5" bestFit="1" customWidth="1"/>
    <col min="7" max="7" width="15.140625" style="5" bestFit="1" customWidth="1"/>
    <col min="8" max="8" width="17.140625" style="5" bestFit="1" customWidth="1"/>
    <col min="9" max="9" width="34.140625" style="5" bestFit="1" customWidth="1"/>
    <col min="10" max="10" width="27.7109375" style="5" bestFit="1" customWidth="1"/>
    <col min="11" max="11" width="13.7109375" style="5" bestFit="1" customWidth="1"/>
    <col min="12" max="12" width="12.85546875" style="5" bestFit="1" customWidth="1"/>
    <col min="13" max="16384" width="9.140625" style="5"/>
  </cols>
  <sheetData>
    <row r="1" spans="1:12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45819</v>
      </c>
      <c r="L1" s="6" t="s">
        <v>2</v>
      </c>
    </row>
    <row r="2" spans="1:12" ht="35.1" customHeight="1" x14ac:dyDescent="0.25">
      <c r="A2" s="14" t="s">
        <v>0</v>
      </c>
      <c r="B2" s="15"/>
      <c r="C2" s="15"/>
      <c r="D2" s="15"/>
      <c r="E2" s="15"/>
      <c r="F2" s="15"/>
      <c r="G2" s="16" t="s">
        <v>88</v>
      </c>
      <c r="H2" s="15"/>
      <c r="I2" s="15"/>
      <c r="J2" s="15"/>
      <c r="K2" s="15"/>
      <c r="L2" s="15"/>
    </row>
    <row r="3" spans="1:12" ht="35.1" customHeight="1" x14ac:dyDescent="0.25">
      <c r="A3" s="6" t="s">
        <v>87</v>
      </c>
      <c r="B3" s="6" t="s">
        <v>86</v>
      </c>
      <c r="C3" s="6" t="s">
        <v>85</v>
      </c>
      <c r="D3" s="6" t="s">
        <v>84</v>
      </c>
      <c r="E3" s="6" t="s">
        <v>83</v>
      </c>
      <c r="F3" s="6" t="s">
        <v>4</v>
      </c>
      <c r="G3" s="6" t="s">
        <v>5</v>
      </c>
      <c r="H3" s="6" t="s">
        <v>82</v>
      </c>
      <c r="I3" s="6" t="s">
        <v>81</v>
      </c>
      <c r="J3" s="6" t="s">
        <v>80</v>
      </c>
      <c r="K3" s="6" t="s">
        <v>79</v>
      </c>
      <c r="L3" s="6" t="s">
        <v>78</v>
      </c>
    </row>
    <row r="4" spans="1:12" ht="35.1" customHeight="1" x14ac:dyDescent="0.25">
      <c r="A4" s="6" t="s">
        <v>77</v>
      </c>
      <c r="B4" s="6" t="s">
        <v>29</v>
      </c>
      <c r="C4" s="6" t="s">
        <v>28</v>
      </c>
      <c r="D4" s="6" t="s">
        <v>76</v>
      </c>
      <c r="E4" s="6" t="s">
        <v>75</v>
      </c>
      <c r="F4" s="6" t="s">
        <v>18</v>
      </c>
      <c r="G4" s="6" t="s">
        <v>11</v>
      </c>
      <c r="H4" s="8">
        <v>25463.88</v>
      </c>
      <c r="I4" s="6" t="s">
        <v>74</v>
      </c>
      <c r="J4" s="6" t="s">
        <v>73</v>
      </c>
      <c r="K4" s="6" t="s">
        <v>72</v>
      </c>
      <c r="L4" s="6" t="s">
        <v>71</v>
      </c>
    </row>
    <row r="5" spans="1:12" ht="35.1" customHeight="1" x14ac:dyDescent="0.25">
      <c r="A5" s="6" t="s">
        <v>70</v>
      </c>
      <c r="B5" s="6" t="s">
        <v>29</v>
      </c>
      <c r="C5" s="6" t="s">
        <v>28</v>
      </c>
      <c r="D5" s="6" t="s">
        <v>69</v>
      </c>
      <c r="E5" s="6"/>
      <c r="F5" s="6" t="s">
        <v>20</v>
      </c>
      <c r="G5" s="6" t="s">
        <v>15</v>
      </c>
      <c r="H5" s="8">
        <v>12812.48</v>
      </c>
      <c r="I5" s="6" t="s">
        <v>68</v>
      </c>
      <c r="J5" s="6"/>
      <c r="K5" s="6" t="s">
        <v>67</v>
      </c>
      <c r="L5" s="6"/>
    </row>
    <row r="6" spans="1:12" ht="35.1" customHeight="1" x14ac:dyDescent="0.25">
      <c r="A6" s="6" t="s">
        <v>66</v>
      </c>
      <c r="B6" s="6" t="s">
        <v>29</v>
      </c>
      <c r="C6" s="6" t="s">
        <v>28</v>
      </c>
      <c r="D6" s="6" t="s">
        <v>65</v>
      </c>
      <c r="E6" s="6"/>
      <c r="F6" s="6" t="s">
        <v>10</v>
      </c>
      <c r="G6" s="6" t="s">
        <v>11</v>
      </c>
      <c r="H6" s="8">
        <v>30859.200000000001</v>
      </c>
      <c r="I6" s="6" t="s">
        <v>64</v>
      </c>
      <c r="J6" s="6"/>
      <c r="K6" s="6" t="s">
        <v>63</v>
      </c>
      <c r="L6" s="6"/>
    </row>
    <row r="7" spans="1:12" ht="35.1" customHeight="1" x14ac:dyDescent="0.25">
      <c r="A7" s="6" t="s">
        <v>62</v>
      </c>
      <c r="B7" s="6" t="s">
        <v>29</v>
      </c>
      <c r="C7" s="6" t="s">
        <v>28</v>
      </c>
      <c r="D7" s="6" t="s">
        <v>61</v>
      </c>
      <c r="E7" s="6"/>
      <c r="F7" s="6" t="s">
        <v>21</v>
      </c>
      <c r="G7" s="6" t="s">
        <v>11</v>
      </c>
      <c r="H7" s="8">
        <v>38493.46</v>
      </c>
      <c r="I7" s="6"/>
      <c r="J7" s="6"/>
      <c r="K7" s="6" t="s">
        <v>60</v>
      </c>
      <c r="L7" s="6"/>
    </row>
    <row r="8" spans="1:12" ht="35.1" customHeight="1" x14ac:dyDescent="0.25">
      <c r="A8" s="6" t="s">
        <v>59</v>
      </c>
      <c r="B8" s="6" t="s">
        <v>39</v>
      </c>
      <c r="C8" s="6" t="s">
        <v>28</v>
      </c>
      <c r="D8" s="6" t="s">
        <v>58</v>
      </c>
      <c r="E8" s="6"/>
      <c r="F8" s="6" t="s">
        <v>12</v>
      </c>
      <c r="G8" s="6" t="s">
        <v>11</v>
      </c>
      <c r="H8" s="8">
        <v>58009.19</v>
      </c>
      <c r="I8" s="6" t="s">
        <v>57</v>
      </c>
      <c r="J8" s="6"/>
      <c r="K8" s="6" t="s">
        <v>56</v>
      </c>
      <c r="L8" s="6"/>
    </row>
    <row r="9" spans="1:12" ht="35.1" customHeight="1" x14ac:dyDescent="0.25">
      <c r="A9" s="6" t="s">
        <v>55</v>
      </c>
      <c r="B9" s="6" t="s">
        <v>29</v>
      </c>
      <c r="C9" s="6" t="s">
        <v>28</v>
      </c>
      <c r="D9" s="6" t="s">
        <v>54</v>
      </c>
      <c r="E9" s="6"/>
      <c r="F9" s="6" t="s">
        <v>19</v>
      </c>
      <c r="G9" s="6" t="s">
        <v>11</v>
      </c>
      <c r="H9" s="8">
        <v>22962.69</v>
      </c>
      <c r="I9" s="6"/>
      <c r="J9" s="6"/>
      <c r="K9" s="6" t="s">
        <v>53</v>
      </c>
      <c r="L9" s="6"/>
    </row>
    <row r="10" spans="1:12" ht="35.1" customHeight="1" x14ac:dyDescent="0.25">
      <c r="A10" s="6" t="s">
        <v>52</v>
      </c>
      <c r="B10" s="6" t="s">
        <v>39</v>
      </c>
      <c r="C10" s="6" t="s">
        <v>38</v>
      </c>
      <c r="D10" s="6" t="s">
        <v>51</v>
      </c>
      <c r="E10" s="6"/>
      <c r="F10" s="6" t="s">
        <v>17</v>
      </c>
      <c r="G10" s="6" t="s">
        <v>15</v>
      </c>
      <c r="H10" s="8">
        <v>18690.939999999999</v>
      </c>
      <c r="I10" s="6" t="s">
        <v>50</v>
      </c>
      <c r="J10" s="6"/>
      <c r="K10" s="6" t="s">
        <v>49</v>
      </c>
      <c r="L10" s="6"/>
    </row>
    <row r="11" spans="1:12" ht="35.1" customHeight="1" x14ac:dyDescent="0.25">
      <c r="A11" s="6" t="s">
        <v>48</v>
      </c>
      <c r="B11" s="6" t="s">
        <v>29</v>
      </c>
      <c r="C11" s="6" t="s">
        <v>28</v>
      </c>
      <c r="D11" s="6" t="s">
        <v>47</v>
      </c>
      <c r="E11" s="6"/>
      <c r="F11" s="6" t="s">
        <v>13</v>
      </c>
      <c r="G11" s="6" t="s">
        <v>11</v>
      </c>
      <c r="H11" s="8">
        <v>28392.44</v>
      </c>
      <c r="I11" s="6" t="s">
        <v>46</v>
      </c>
      <c r="J11" s="6"/>
      <c r="K11" s="6" t="s">
        <v>45</v>
      </c>
      <c r="L11" s="6"/>
    </row>
    <row r="12" spans="1:12" ht="35.1" customHeight="1" x14ac:dyDescent="0.25">
      <c r="A12" s="6" t="s">
        <v>44</v>
      </c>
      <c r="B12" s="6" t="s">
        <v>39</v>
      </c>
      <c r="C12" s="6" t="s">
        <v>38</v>
      </c>
      <c r="D12" s="6" t="s">
        <v>43</v>
      </c>
      <c r="E12" s="6"/>
      <c r="F12" s="6" t="s">
        <v>17</v>
      </c>
      <c r="G12" s="6" t="s">
        <v>11</v>
      </c>
      <c r="H12" s="8">
        <v>22259.69</v>
      </c>
      <c r="I12" s="6" t="s">
        <v>42</v>
      </c>
      <c r="J12" s="6"/>
      <c r="K12" s="6" t="s">
        <v>41</v>
      </c>
      <c r="L12" s="6"/>
    </row>
    <row r="13" spans="1:12" ht="35.1" customHeight="1" x14ac:dyDescent="0.25">
      <c r="A13" s="6" t="s">
        <v>40</v>
      </c>
      <c r="B13" s="6" t="s">
        <v>39</v>
      </c>
      <c r="C13" s="6" t="s">
        <v>38</v>
      </c>
      <c r="D13" s="6" t="s">
        <v>37</v>
      </c>
      <c r="E13" s="6"/>
      <c r="F13" s="6" t="s">
        <v>17</v>
      </c>
      <c r="G13" s="6" t="s">
        <v>11</v>
      </c>
      <c r="H13" s="8">
        <v>26190.94</v>
      </c>
      <c r="I13" s="6" t="s">
        <v>36</v>
      </c>
      <c r="J13" s="6"/>
      <c r="K13" s="6" t="s">
        <v>35</v>
      </c>
      <c r="L13" s="6"/>
    </row>
    <row r="14" spans="1:12" ht="35.1" customHeight="1" x14ac:dyDescent="0.25">
      <c r="A14" s="6" t="s">
        <v>34</v>
      </c>
      <c r="B14" s="6" t="s">
        <v>29</v>
      </c>
      <c r="C14" s="6" t="s">
        <v>28</v>
      </c>
      <c r="D14" s="6" t="s">
        <v>33</v>
      </c>
      <c r="E14" s="6"/>
      <c r="F14" s="6" t="s">
        <v>16</v>
      </c>
      <c r="G14" s="6" t="s">
        <v>15</v>
      </c>
      <c r="H14" s="8">
        <v>29190</v>
      </c>
      <c r="I14" s="6" t="s">
        <v>32</v>
      </c>
      <c r="J14" s="6"/>
      <c r="K14" s="6" t="s">
        <v>31</v>
      </c>
      <c r="L14" s="6"/>
    </row>
    <row r="15" spans="1:12" ht="35.1" customHeight="1" x14ac:dyDescent="0.25">
      <c r="A15" s="6" t="s">
        <v>30</v>
      </c>
      <c r="B15" s="6" t="s">
        <v>29</v>
      </c>
      <c r="C15" s="6" t="s">
        <v>28</v>
      </c>
      <c r="D15" s="6" t="s">
        <v>27</v>
      </c>
      <c r="E15" s="6"/>
      <c r="F15" s="6" t="s">
        <v>14</v>
      </c>
      <c r="G15" s="6" t="s">
        <v>15</v>
      </c>
      <c r="H15" s="8">
        <v>25866.98</v>
      </c>
      <c r="I15" s="6" t="s">
        <v>26</v>
      </c>
      <c r="J15" s="6"/>
      <c r="K15" s="6" t="s">
        <v>25</v>
      </c>
      <c r="L15" s="6"/>
    </row>
    <row r="16" spans="1:12" ht="35.1" customHeight="1" x14ac:dyDescent="0.25">
      <c r="A16" s="9"/>
      <c r="B16" s="9"/>
      <c r="C16" s="9"/>
      <c r="D16" s="9" t="s">
        <v>24</v>
      </c>
      <c r="E16" s="9"/>
      <c r="F16" s="9"/>
      <c r="G16" s="9"/>
      <c r="H16" s="10">
        <f>SUM(H4:H15)</f>
        <v>339191.88999999996</v>
      </c>
      <c r="I16" s="9"/>
      <c r="J16" s="9"/>
      <c r="K16" s="9"/>
      <c r="L16" s="9"/>
    </row>
    <row r="17" spans="1:12" ht="35.1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35.1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BAE7-4A99-42F1-85D7-3938676E9C0D}">
  <sheetPr>
    <pageSetUpPr fitToPage="1"/>
  </sheetPr>
  <dimension ref="A1:E30"/>
  <sheetViews>
    <sheetView workbookViewId="0">
      <pane ySplit="3" topLeftCell="A4" activePane="bottomLeft" state="frozen"/>
      <selection pane="bottomLeft" activeCell="E33" sqref="E33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2.28515625" style="5" bestFit="1" customWidth="1"/>
    <col min="4" max="4" width="18.7109375" style="5" bestFit="1" customWidth="1"/>
    <col min="5" max="5" width="39.5703125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45819</v>
      </c>
      <c r="E1" s="6" t="s">
        <v>2</v>
      </c>
    </row>
    <row r="2" spans="1:5" x14ac:dyDescent="0.25">
      <c r="A2" s="14" t="s">
        <v>0</v>
      </c>
      <c r="B2" s="15"/>
      <c r="C2" s="15"/>
      <c r="D2" s="16" t="s">
        <v>93</v>
      </c>
      <c r="E2" s="15"/>
    </row>
    <row r="3" spans="1:5" x14ac:dyDescent="0.25">
      <c r="A3" s="6" t="s">
        <v>87</v>
      </c>
      <c r="B3" s="6" t="s">
        <v>85</v>
      </c>
      <c r="C3" s="6" t="s">
        <v>84</v>
      </c>
      <c r="D3" s="6" t="s">
        <v>83</v>
      </c>
      <c r="E3" s="6" t="s">
        <v>4</v>
      </c>
    </row>
    <row r="4" spans="1:5" x14ac:dyDescent="0.25">
      <c r="A4" s="6" t="s">
        <v>52</v>
      </c>
      <c r="B4" s="6" t="s">
        <v>38</v>
      </c>
      <c r="C4" s="6" t="s">
        <v>51</v>
      </c>
      <c r="D4" s="6"/>
      <c r="E4" s="6" t="s">
        <v>17</v>
      </c>
    </row>
    <row r="5" spans="1:5" x14ac:dyDescent="0.25">
      <c r="A5" s="6" t="s">
        <v>44</v>
      </c>
      <c r="B5" s="6" t="s">
        <v>38</v>
      </c>
      <c r="C5" s="6" t="s">
        <v>43</v>
      </c>
      <c r="D5" s="6"/>
      <c r="E5" s="6" t="s">
        <v>17</v>
      </c>
    </row>
    <row r="6" spans="1:5" x14ac:dyDescent="0.25">
      <c r="A6" s="6" t="s">
        <v>40</v>
      </c>
      <c r="B6" s="6" t="s">
        <v>38</v>
      </c>
      <c r="C6" s="6" t="s">
        <v>37</v>
      </c>
      <c r="D6" s="6"/>
      <c r="E6" s="6" t="s">
        <v>17</v>
      </c>
    </row>
    <row r="7" spans="1:5" x14ac:dyDescent="0.25">
      <c r="A7" s="9"/>
      <c r="B7" s="9"/>
      <c r="C7" s="9" t="s">
        <v>92</v>
      </c>
      <c r="D7" s="9"/>
      <c r="E7" s="9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91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90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89</v>
      </c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2025-06-11T18:20:19Z</cp:lastPrinted>
  <dcterms:created xsi:type="dcterms:W3CDTF">2025-06-11T18:09:24Z</dcterms:created>
  <dcterms:modified xsi:type="dcterms:W3CDTF">2025-06-11T18:42:41Z</dcterms:modified>
</cp:coreProperties>
</file>