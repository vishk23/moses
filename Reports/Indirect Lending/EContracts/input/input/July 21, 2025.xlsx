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98E4D8D7-DB13-470C-AA62-2115991522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0" i="1"/>
  <c r="F17" i="1"/>
  <c r="F12" i="1"/>
  <c r="F7" i="1"/>
  <c r="H26" i="2"/>
  <c r="H40" i="1"/>
  <c r="E40" i="1"/>
  <c r="D40" i="1"/>
  <c r="C40" i="1"/>
</calcChain>
</file>

<file path=xl/sharedStrings.xml><?xml version="1.0" encoding="utf-8"?>
<sst xmlns="http://schemas.openxmlformats.org/spreadsheetml/2006/main" count="275" uniqueCount="145">
  <si>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</si>
  <si>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</si>
  <si>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</si>
  <si>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</si>
  <si>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</si>
  <si>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</si>
  <si>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</si>
  <si>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</si>
  <si>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</si>
  <si>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</si>
  <si>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</si>
  <si>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Marlene Braganca</t>
  </si>
  <si>
    <t>Coastal Volkswagon</t>
  </si>
  <si>
    <t>Rachel Gorham</t>
  </si>
  <si>
    <t>Neli Oliveira</t>
  </si>
  <si>
    <t>Colonial South Chevrolet</t>
  </si>
  <si>
    <t>Grieco Toyota</t>
  </si>
  <si>
    <t>Hiller Co Inc</t>
  </si>
  <si>
    <t>Mathieu Ford Sales, Inc</t>
  </si>
  <si>
    <t>Metro Honda</t>
  </si>
  <si>
    <t>Patriot Auto Group Inc d/b/a</t>
  </si>
  <si>
    <t>Planet Subaru</t>
  </si>
  <si>
    <t>RAH FALL RIVER VW, LLC</t>
  </si>
  <si>
    <t>S&amp;E Auto Services and Sales Inc</t>
  </si>
  <si>
    <t>Salvadore Chevrolet</t>
  </si>
  <si>
    <t>Salvadore Chrysler</t>
  </si>
  <si>
    <t>T F Murphy Enterprises Inc</t>
  </si>
  <si>
    <t>Wareham Ford</t>
  </si>
  <si>
    <t># 22</t>
  </si>
  <si>
    <t>SICKLES</t>
  </si>
  <si>
    <t>willman@bigelownurseries.com</t>
  </si>
  <si>
    <t>WILLMAN, JEFFREY</t>
  </si>
  <si>
    <t>E Contract</t>
  </si>
  <si>
    <t>Route One</t>
  </si>
  <si>
    <t>151204551e</t>
  </si>
  <si>
    <t>SWANSON</t>
  </si>
  <si>
    <t>CARLMOORE8@COMCAST.NET</t>
  </si>
  <si>
    <t>MOORE, CHARLES</t>
  </si>
  <si>
    <t>DealerTrack</t>
  </si>
  <si>
    <t>151204543e</t>
  </si>
  <si>
    <t>ENGIE</t>
  </si>
  <si>
    <t>JEFFREYSWENSON87@YAHOO.COM</t>
  </si>
  <si>
    <t>SWENSEN, JEFFREY</t>
  </si>
  <si>
    <t>151204535e</t>
  </si>
  <si>
    <t>Ford</t>
  </si>
  <si>
    <t>timfis@gmail.com</t>
  </si>
  <si>
    <t>Fischer, Timothy</t>
  </si>
  <si>
    <t>151204527e</t>
  </si>
  <si>
    <t>MITRI</t>
  </si>
  <si>
    <t>ROBICHAUD</t>
  </si>
  <si>
    <t>RONDINELLI, FRANK</t>
  </si>
  <si>
    <t>151204519e</t>
  </si>
  <si>
    <t>ROSS</t>
  </si>
  <si>
    <t>STATHAM</t>
  </si>
  <si>
    <t>STEPHEN.MACDONALD91@GMAIL.COM</t>
  </si>
  <si>
    <t>MACDONALD, STEPHEN</t>
  </si>
  <si>
    <t>MACDONALD, JESSICA</t>
  </si>
  <si>
    <t>151204501e</t>
  </si>
  <si>
    <t>REGAN</t>
  </si>
  <si>
    <t>JENNYKELLEY79@GMAIL.COM</t>
  </si>
  <si>
    <t>KELLEY, JENNIFER</t>
  </si>
  <si>
    <t>151204460e</t>
  </si>
  <si>
    <t>LOZO</t>
  </si>
  <si>
    <t>suzannerichard@comcast.net</t>
  </si>
  <si>
    <t>RICHARD, SUZANNE</t>
  </si>
  <si>
    <t>151204452e</t>
  </si>
  <si>
    <t>MULLEN</t>
  </si>
  <si>
    <t>HAMMOND, ROBERT</t>
  </si>
  <si>
    <t>151204436e</t>
  </si>
  <si>
    <t>Heller</t>
  </si>
  <si>
    <t>Camarata</t>
  </si>
  <si>
    <t>kathrynvicino@gmail.com</t>
  </si>
  <si>
    <t>stephenvicino@gmail.com</t>
  </si>
  <si>
    <t>Vicino, Kathryn</t>
  </si>
  <si>
    <t>Vicino, Stephen</t>
  </si>
  <si>
    <t>151204428e</t>
  </si>
  <si>
    <t>Murphy</t>
  </si>
  <si>
    <t>Niederer</t>
  </si>
  <si>
    <t>MARSH, JILL</t>
  </si>
  <si>
    <t>MARSH, DARREN</t>
  </si>
  <si>
    <t>Paper</t>
  </si>
  <si>
    <t>151204402</t>
  </si>
  <si>
    <t>LOURDES</t>
  </si>
  <si>
    <t>WETA4716@GMAIL.COM</t>
  </si>
  <si>
    <t>TAVAREZ, WENDY</t>
  </si>
  <si>
    <t>151204395e</t>
  </si>
  <si>
    <t>CAMPBELL</t>
  </si>
  <si>
    <t>TWKEO@YAHOO.COM</t>
  </si>
  <si>
    <t>O'DOWD, CAROLINE</t>
  </si>
  <si>
    <t>151204387e</t>
  </si>
  <si>
    <t>Hainey</t>
  </si>
  <si>
    <t>MASTERSON, KELLY</t>
  </si>
  <si>
    <t>151204379e</t>
  </si>
  <si>
    <t>Iamazzi</t>
  </si>
  <si>
    <t>azrkm@comcast.net</t>
  </si>
  <si>
    <t>MARSHALSEA, MARILYN</t>
  </si>
  <si>
    <t>151204337e</t>
  </si>
  <si>
    <t>CORRIGAN</t>
  </si>
  <si>
    <t>FERREIRA</t>
  </si>
  <si>
    <t>STEPHEN_FORASTE@YAHOO.COM</t>
  </si>
  <si>
    <t>FORASTE, STEPHEN</t>
  </si>
  <si>
    <t>DUFFY, ALYSSA</t>
  </si>
  <si>
    <t>151204329e</t>
  </si>
  <si>
    <t>Secord</t>
  </si>
  <si>
    <t>sweetmare1@yahoo.com</t>
  </si>
  <si>
    <t>Lyons, Marilyn</t>
  </si>
  <si>
    <t>151204311e</t>
  </si>
  <si>
    <t>MARTINEZ</t>
  </si>
  <si>
    <t>ERICKRAMOS328@GMAIL.COM</t>
  </si>
  <si>
    <t>RAMOS MENDOZA, ERICK</t>
  </si>
  <si>
    <t>151204262e</t>
  </si>
  <si>
    <t>FARIAS</t>
  </si>
  <si>
    <t>KATHLENEF@GMAIL.COM</t>
  </si>
  <si>
    <t>SYDE, KATHLENE</t>
  </si>
  <si>
    <t>151204246e</t>
  </si>
  <si>
    <t>Sherman</t>
  </si>
  <si>
    <t>cmanchester1@yahoo.com</t>
  </si>
  <si>
    <t>MANCHESTER, CARRIE</t>
  </si>
  <si>
    <t>151204212e</t>
  </si>
  <si>
    <t>Wall</t>
  </si>
  <si>
    <t>KRISTIAN_WEST@HOTMAIL.COM</t>
  </si>
  <si>
    <t>WEST, KRISTIAN</t>
  </si>
  <si>
    <t>151204197e</t>
  </si>
  <si>
    <t>PEREIRA</t>
  </si>
  <si>
    <t>H.GABRIEL87@HOTMAIL.COM</t>
  </si>
  <si>
    <t>DEJESUS, HUGO</t>
  </si>
  <si>
    <t>151204163e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</si>
  <si>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</si>
  <si>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</si>
  <si>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</si>
  <si>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</si>
  <si>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</si>
  <si>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</si>
  <si>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</si>
  <si>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</si>
  <si>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</si>
  <si>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</si>
  <si>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</si>
  <si>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</t>
  </si>
  <si>
    <t>Received By__________________________________________________________________</t>
  </si>
  <si>
    <t>Delivered BY__________________________________________________________________</t>
  </si>
  <si>
    <t># 1</t>
  </si>
  <si>
    <t>Funding Worksheet - Signoff Version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</si>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</sst>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7C0FF694-AFA7-42B9-AE7E-8264CB350440}"/>
  </cellStyles>
  <dxfs count="25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4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4A97D99A-62D2-454B-B2A0-D86AF36B44BE}" name="Column1" dataDxfId="0"/>
    <tableColumn id="8" xr3:uid="{67A4B3A8-E14E-4799-BFE5-ACD4F8F49532}" name="Column2" dataDxfId="1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9F130-6888-4C19-87A4-F58DFA538325}" name="Table_13" displayName="Table_13" ref="A3:L26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15B2C8-6476-42F9-AD20-A9290E530BC9}" name="Table_14" displayName="Table_14" ref="A3:E5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workbookViewId="0">
      <pane ySplit="3" topLeftCell="A19" activePane="bottomLeft" state="frozen"/>
      <selection pane="bottomLeft" activeCell="E39" sqref="E39"/>
    </sheetView>
  </sheetViews>
  <sheetFormatPr defaultRowHeight="15" x14ac:dyDescent="0.25"/>
  <cols>
    <col min="1" max="1" width="30.7109375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45859</v>
      </c>
      <c r="E1" t="s">
        <v>2</v>
      </c>
      <c r="H1" s="4">
        <v>45859.999988425923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143</v>
      </c>
      <c r="G3" t="s">
        <v>144</v>
      </c>
      <c r="H3" t="s">
        <v>9</v>
      </c>
    </row>
    <row r="4" spans="1:8" x14ac:dyDescent="0.25">
      <c r="A4" t="s">
        <v>10</v>
      </c>
      <c r="B4" t="s">
        <v>11</v>
      </c>
      <c r="C4" s="2">
        <v>750</v>
      </c>
      <c r="D4" s="2">
        <v>0</v>
      </c>
      <c r="E4" s="2">
        <v>28048.06</v>
      </c>
      <c r="F4" s="2"/>
      <c r="G4" s="2"/>
      <c r="H4" s="2">
        <v>28123.06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950</v>
      </c>
      <c r="D6" s="2">
        <v>0</v>
      </c>
      <c r="E6" s="2">
        <v>35649</v>
      </c>
      <c r="F6" s="2"/>
      <c r="G6" s="2"/>
      <c r="H6" s="2">
        <v>35724</v>
      </c>
    </row>
    <row r="7" spans="1:8" x14ac:dyDescent="0.25">
      <c r="A7" t="s">
        <v>12</v>
      </c>
      <c r="B7" t="s">
        <v>14</v>
      </c>
      <c r="C7" s="2">
        <v>500</v>
      </c>
      <c r="D7" s="2">
        <v>0</v>
      </c>
      <c r="E7" s="2">
        <v>15076.13</v>
      </c>
      <c r="F7" s="2">
        <f>SUM(E6:E7)</f>
        <v>50725.13</v>
      </c>
      <c r="G7" s="2"/>
      <c r="H7" s="2">
        <v>15151.13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15</v>
      </c>
      <c r="B9" t="s">
        <v>13</v>
      </c>
      <c r="C9" s="2">
        <v>650</v>
      </c>
      <c r="D9" s="2">
        <v>0</v>
      </c>
      <c r="E9" s="2">
        <v>24815.65</v>
      </c>
      <c r="F9" s="2"/>
      <c r="G9" s="2"/>
      <c r="H9" s="2">
        <v>24890.65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11</v>
      </c>
      <c r="C11" s="2">
        <v>950</v>
      </c>
      <c r="D11" s="2">
        <v>0</v>
      </c>
      <c r="E11" s="2">
        <v>35543.94</v>
      </c>
      <c r="F11" s="2"/>
      <c r="G11" s="2"/>
      <c r="H11" s="2">
        <v>35618.94</v>
      </c>
    </row>
    <row r="12" spans="1:8" x14ac:dyDescent="0.25">
      <c r="A12" t="s">
        <v>16</v>
      </c>
      <c r="B12" t="s">
        <v>13</v>
      </c>
      <c r="C12" s="2">
        <v>850</v>
      </c>
      <c r="D12" s="2">
        <v>0</v>
      </c>
      <c r="E12" s="2">
        <v>32881.629999999997</v>
      </c>
      <c r="F12" s="2">
        <f>SUM(E11:E12)</f>
        <v>68425.570000000007</v>
      </c>
      <c r="G12" s="2"/>
      <c r="H12" s="2">
        <v>32956.629999999997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14</v>
      </c>
      <c r="C14" s="2">
        <v>1050</v>
      </c>
      <c r="D14" s="2">
        <v>0</v>
      </c>
      <c r="E14" s="2">
        <v>42303.39</v>
      </c>
      <c r="F14" s="2"/>
      <c r="G14" s="2"/>
      <c r="H14" s="2">
        <v>42378.39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11</v>
      </c>
      <c r="C16" s="2">
        <v>750</v>
      </c>
      <c r="D16" s="2">
        <v>0</v>
      </c>
      <c r="E16" s="2">
        <v>26874</v>
      </c>
      <c r="F16" s="2"/>
      <c r="G16" s="2"/>
      <c r="H16" s="2">
        <v>26949</v>
      </c>
    </row>
    <row r="17" spans="1:8" x14ac:dyDescent="0.25">
      <c r="A17" t="s">
        <v>18</v>
      </c>
      <c r="B17" t="s">
        <v>13</v>
      </c>
      <c r="C17" s="2">
        <v>300</v>
      </c>
      <c r="D17" s="2">
        <v>0</v>
      </c>
      <c r="E17" s="2">
        <v>14089.75</v>
      </c>
      <c r="F17" s="2">
        <f>SUM(E16:E17)</f>
        <v>40963.75</v>
      </c>
      <c r="G17" s="2"/>
      <c r="H17" s="2">
        <v>14164.75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500</v>
      </c>
      <c r="D19" s="2">
        <v>0</v>
      </c>
      <c r="E19" s="2">
        <v>16458.900000000001</v>
      </c>
      <c r="F19" s="2"/>
      <c r="G19" s="2"/>
      <c r="H19" s="2">
        <v>16533.900000000001</v>
      </c>
    </row>
    <row r="20" spans="1:8" x14ac:dyDescent="0.25">
      <c r="A20" t="s">
        <v>19</v>
      </c>
      <c r="B20" t="s">
        <v>14</v>
      </c>
      <c r="C20" s="2">
        <v>750</v>
      </c>
      <c r="D20" s="2">
        <v>0</v>
      </c>
      <c r="E20" s="2">
        <v>27226.05</v>
      </c>
      <c r="F20" s="2">
        <f>SUM(E19:E20)</f>
        <v>43684.95</v>
      </c>
      <c r="G20" s="2"/>
      <c r="H20" s="2">
        <v>27301.05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11</v>
      </c>
      <c r="C22" s="2">
        <v>500</v>
      </c>
      <c r="D22" s="2">
        <v>0</v>
      </c>
      <c r="E22" s="2">
        <v>18348.63</v>
      </c>
      <c r="F22" s="2"/>
      <c r="G22" s="2"/>
      <c r="H22" s="2">
        <v>18423.63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14</v>
      </c>
      <c r="C24" s="2">
        <v>650</v>
      </c>
      <c r="D24" s="2">
        <v>0</v>
      </c>
      <c r="E24" s="2">
        <v>23031.18</v>
      </c>
      <c r="F24" s="2"/>
      <c r="G24" s="2"/>
      <c r="H24" s="2">
        <v>23106.18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11</v>
      </c>
      <c r="C26" s="2">
        <v>750</v>
      </c>
      <c r="D26" s="2">
        <v>0</v>
      </c>
      <c r="E26" s="2">
        <v>27583.62</v>
      </c>
      <c r="F26" s="2"/>
      <c r="G26" s="2"/>
      <c r="H26" s="2">
        <v>27658.62</v>
      </c>
    </row>
    <row r="27" spans="1:8" x14ac:dyDescent="0.25">
      <c r="A27" t="s">
        <v>22</v>
      </c>
      <c r="B27" t="s">
        <v>11</v>
      </c>
      <c r="C27" s="2">
        <v>750</v>
      </c>
      <c r="D27" s="2">
        <v>0</v>
      </c>
      <c r="E27" s="2">
        <v>29055.19</v>
      </c>
      <c r="F27" s="2"/>
      <c r="G27" s="2"/>
      <c r="H27" s="2">
        <v>29130.19</v>
      </c>
    </row>
    <row r="28" spans="1:8" x14ac:dyDescent="0.25">
      <c r="A28" t="s">
        <v>22</v>
      </c>
      <c r="B28" t="s">
        <v>13</v>
      </c>
      <c r="C28" s="2">
        <v>1500</v>
      </c>
      <c r="D28" s="2">
        <v>0</v>
      </c>
      <c r="E28" s="2">
        <v>74097.06</v>
      </c>
      <c r="F28" s="2"/>
      <c r="G28" s="2"/>
      <c r="H28" s="2">
        <v>74172.06</v>
      </c>
    </row>
    <row r="29" spans="1:8" x14ac:dyDescent="0.25">
      <c r="A29" t="s">
        <v>22</v>
      </c>
      <c r="B29" t="s">
        <v>14</v>
      </c>
      <c r="C29" s="2">
        <v>1350</v>
      </c>
      <c r="D29" s="2">
        <v>0</v>
      </c>
      <c r="E29" s="2">
        <v>51180.19</v>
      </c>
      <c r="F29" s="2">
        <f>SUM(E26:E29)</f>
        <v>181916.06</v>
      </c>
      <c r="G29" s="2"/>
      <c r="H29" s="2">
        <v>51255.19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23</v>
      </c>
      <c r="B31" t="s">
        <v>11</v>
      </c>
      <c r="C31" s="2">
        <v>750</v>
      </c>
      <c r="D31" s="2">
        <v>0</v>
      </c>
      <c r="E31" s="2">
        <v>27579.94</v>
      </c>
      <c r="F31" s="2"/>
      <c r="G31" s="2"/>
      <c r="H31" s="2">
        <v>27654.94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24</v>
      </c>
      <c r="B33" t="s">
        <v>14</v>
      </c>
      <c r="C33" s="2">
        <v>650</v>
      </c>
      <c r="D33" s="2">
        <v>0</v>
      </c>
      <c r="E33" s="2">
        <v>22173.31</v>
      </c>
      <c r="F33" s="2"/>
      <c r="G33" s="2"/>
      <c r="H33" s="2">
        <v>22248.31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25</v>
      </c>
      <c r="B35" t="s">
        <v>14</v>
      </c>
      <c r="C35" s="2">
        <v>950</v>
      </c>
      <c r="D35" s="2">
        <v>0</v>
      </c>
      <c r="E35" s="2">
        <v>37041.89</v>
      </c>
      <c r="F35" s="2"/>
      <c r="G35" s="2"/>
      <c r="H35" s="2">
        <v>37116.89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26</v>
      </c>
      <c r="B37" t="s">
        <v>13</v>
      </c>
      <c r="C37" s="2">
        <v>850</v>
      </c>
      <c r="D37" s="2">
        <v>0</v>
      </c>
      <c r="E37" s="2">
        <v>30840.63</v>
      </c>
      <c r="F37" s="2"/>
      <c r="G37" s="2"/>
      <c r="H37" s="2">
        <v>30915.63</v>
      </c>
    </row>
    <row r="38" spans="1:8" x14ac:dyDescent="0.25">
      <c r="C38" s="2"/>
      <c r="D38" s="2"/>
      <c r="E38" s="2"/>
      <c r="F38" s="2"/>
      <c r="G38" s="2"/>
      <c r="H38" s="2"/>
    </row>
    <row r="39" spans="1:8" x14ac:dyDescent="0.25">
      <c r="A39" t="s">
        <v>27</v>
      </c>
      <c r="B39" t="s">
        <v>14</v>
      </c>
      <c r="C39" s="2">
        <v>650</v>
      </c>
      <c r="D39" s="2">
        <v>0</v>
      </c>
      <c r="E39" s="2">
        <v>24750.5</v>
      </c>
      <c r="F39" s="2"/>
      <c r="G39" s="2"/>
      <c r="H39" s="2">
        <v>24825.5</v>
      </c>
    </row>
    <row r="40" spans="1:8" x14ac:dyDescent="0.25">
      <c r="A40" s="1"/>
      <c r="B40" s="1"/>
      <c r="C40" s="3">
        <f>SUM(C4:C39)</f>
        <v>17350</v>
      </c>
      <c r="D40" s="3">
        <f>SUM(D4:D39)</f>
        <v>0</v>
      </c>
      <c r="E40" s="3">
        <f>SUM(E4:E39)</f>
        <v>664648.64</v>
      </c>
      <c r="F40" s="3"/>
      <c r="G40" s="3"/>
      <c r="H40" s="3">
        <f>SUM(H4:H39)</f>
        <v>666298.64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644D-0FE7-48F0-9FFA-B491759D977A}">
  <sheetPr>
    <pageSetUpPr fitToPage="1"/>
  </sheetPr>
  <dimension ref="A1:M29"/>
  <sheetViews>
    <sheetView workbookViewId="0">
      <pane ySplit="3" topLeftCell="A4" activePane="bottomLeft" state="frozen"/>
      <selection pane="bottomLeft" activeCell="I13" sqref="I13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.42578125" style="8" bestFit="1" customWidth="1"/>
    <col min="5" max="5" width="22.7109375" style="8" bestFit="1" customWidth="1"/>
    <col min="6" max="6" width="30.7109375" style="8" bestFit="1" customWidth="1"/>
    <col min="7" max="7" width="17.7109375" style="8" bestFit="1" customWidth="1"/>
    <col min="8" max="8" width="17.140625" style="8" bestFit="1" customWidth="1"/>
    <col min="9" max="10" width="37" style="8" bestFit="1" customWidth="1"/>
    <col min="11" max="11" width="13.140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45859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137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136</v>
      </c>
      <c r="B3" s="9" t="s">
        <v>135</v>
      </c>
      <c r="C3" s="9" t="s">
        <v>134</v>
      </c>
      <c r="D3" s="9" t="s">
        <v>133</v>
      </c>
      <c r="E3" s="9" t="s">
        <v>132</v>
      </c>
      <c r="F3" s="9" t="s">
        <v>4</v>
      </c>
      <c r="G3" s="9" t="s">
        <v>5</v>
      </c>
      <c r="H3" s="9" t="s">
        <v>131</v>
      </c>
      <c r="I3" s="9" t="s">
        <v>130</v>
      </c>
      <c r="J3" s="9" t="s">
        <v>129</v>
      </c>
      <c r="K3" s="9" t="s">
        <v>128</v>
      </c>
      <c r="L3" s="9" t="s">
        <v>127</v>
      </c>
      <c r="M3" s="9"/>
    </row>
    <row r="4" spans="1:13" ht="35.1" customHeight="1" x14ac:dyDescent="0.25">
      <c r="A4" s="9" t="s">
        <v>126</v>
      </c>
      <c r="B4" s="9" t="s">
        <v>38</v>
      </c>
      <c r="C4" s="9" t="s">
        <v>32</v>
      </c>
      <c r="D4" s="9" t="s">
        <v>125</v>
      </c>
      <c r="E4" s="9"/>
      <c r="F4" s="9" t="s">
        <v>22</v>
      </c>
      <c r="G4" s="9" t="s">
        <v>13</v>
      </c>
      <c r="H4" s="14">
        <v>74172.06</v>
      </c>
      <c r="I4" s="9" t="s">
        <v>124</v>
      </c>
      <c r="J4" s="9"/>
      <c r="K4" s="9" t="s">
        <v>123</v>
      </c>
      <c r="L4" s="9"/>
      <c r="M4" s="9"/>
    </row>
    <row r="5" spans="1:13" ht="35.1" customHeight="1" x14ac:dyDescent="0.25">
      <c r="A5" s="9" t="s">
        <v>122</v>
      </c>
      <c r="B5" s="9" t="s">
        <v>38</v>
      </c>
      <c r="C5" s="9" t="s">
        <v>32</v>
      </c>
      <c r="D5" s="9" t="s">
        <v>121</v>
      </c>
      <c r="E5" s="9"/>
      <c r="F5" s="9" t="s">
        <v>22</v>
      </c>
      <c r="G5" s="9" t="s">
        <v>11</v>
      </c>
      <c r="H5" s="14">
        <v>27658.62</v>
      </c>
      <c r="I5" s="9" t="s">
        <v>120</v>
      </c>
      <c r="J5" s="9"/>
      <c r="K5" s="9" t="s">
        <v>119</v>
      </c>
      <c r="L5" s="9"/>
      <c r="M5" s="9"/>
    </row>
    <row r="6" spans="1:13" ht="35.1" customHeight="1" x14ac:dyDescent="0.25">
      <c r="A6" s="9" t="s">
        <v>118</v>
      </c>
      <c r="B6" s="9" t="s">
        <v>33</v>
      </c>
      <c r="C6" s="9" t="s">
        <v>32</v>
      </c>
      <c r="D6" s="9" t="s">
        <v>117</v>
      </c>
      <c r="E6" s="9"/>
      <c r="F6" s="9" t="s">
        <v>10</v>
      </c>
      <c r="G6" s="9" t="s">
        <v>11</v>
      </c>
      <c r="H6" s="14">
        <v>28123.06</v>
      </c>
      <c r="I6" s="9" t="s">
        <v>116</v>
      </c>
      <c r="J6" s="9"/>
      <c r="K6" s="9" t="s">
        <v>115</v>
      </c>
      <c r="L6" s="9"/>
      <c r="M6" s="9"/>
    </row>
    <row r="7" spans="1:13" ht="35.1" customHeight="1" x14ac:dyDescent="0.25">
      <c r="A7" s="9" t="s">
        <v>114</v>
      </c>
      <c r="B7" s="9" t="s">
        <v>38</v>
      </c>
      <c r="C7" s="9" t="s">
        <v>32</v>
      </c>
      <c r="D7" s="9" t="s">
        <v>113</v>
      </c>
      <c r="E7" s="9"/>
      <c r="F7" s="9" t="s">
        <v>22</v>
      </c>
      <c r="G7" s="9" t="s">
        <v>11</v>
      </c>
      <c r="H7" s="14">
        <v>29130.19</v>
      </c>
      <c r="I7" s="9" t="s">
        <v>112</v>
      </c>
      <c r="J7" s="9"/>
      <c r="K7" s="9" t="s">
        <v>111</v>
      </c>
      <c r="L7" s="9"/>
      <c r="M7" s="9"/>
    </row>
    <row r="8" spans="1:13" ht="35.1" customHeight="1" x14ac:dyDescent="0.25">
      <c r="A8" s="9" t="s">
        <v>110</v>
      </c>
      <c r="B8" s="9" t="s">
        <v>33</v>
      </c>
      <c r="C8" s="9" t="s">
        <v>32</v>
      </c>
      <c r="D8" s="9" t="s">
        <v>109</v>
      </c>
      <c r="E8" s="9"/>
      <c r="F8" s="9" t="s">
        <v>16</v>
      </c>
      <c r="G8" s="9" t="s">
        <v>11</v>
      </c>
      <c r="H8" s="14">
        <v>35618.94</v>
      </c>
      <c r="I8" s="9" t="s">
        <v>108</v>
      </c>
      <c r="J8" s="9"/>
      <c r="K8" s="9" t="s">
        <v>107</v>
      </c>
      <c r="L8" s="9"/>
      <c r="M8" s="9"/>
    </row>
    <row r="9" spans="1:13" ht="35.1" customHeight="1" x14ac:dyDescent="0.25">
      <c r="A9" s="9" t="s">
        <v>106</v>
      </c>
      <c r="B9" s="9" t="s">
        <v>33</v>
      </c>
      <c r="C9" s="9" t="s">
        <v>32</v>
      </c>
      <c r="D9" s="9" t="s">
        <v>105</v>
      </c>
      <c r="E9" s="9"/>
      <c r="F9" s="9" t="s">
        <v>18</v>
      </c>
      <c r="G9" s="9" t="s">
        <v>11</v>
      </c>
      <c r="H9" s="14">
        <v>26949</v>
      </c>
      <c r="I9" s="9" t="s">
        <v>104</v>
      </c>
      <c r="J9" s="9"/>
      <c r="K9" s="9" t="s">
        <v>103</v>
      </c>
      <c r="L9" s="9"/>
      <c r="M9" s="9"/>
    </row>
    <row r="10" spans="1:13" ht="35.1" customHeight="1" x14ac:dyDescent="0.25">
      <c r="A10" s="9" t="s">
        <v>102</v>
      </c>
      <c r="B10" s="9" t="s">
        <v>38</v>
      </c>
      <c r="C10" s="9" t="s">
        <v>32</v>
      </c>
      <c r="D10" s="9" t="s">
        <v>101</v>
      </c>
      <c r="E10" s="9" t="s">
        <v>100</v>
      </c>
      <c r="F10" s="9" t="s">
        <v>22</v>
      </c>
      <c r="G10" s="9" t="s">
        <v>14</v>
      </c>
      <c r="H10" s="14">
        <v>51255.19</v>
      </c>
      <c r="I10" s="9" t="s">
        <v>99</v>
      </c>
      <c r="J10" s="9"/>
      <c r="K10" s="9" t="s">
        <v>98</v>
      </c>
      <c r="L10" s="9" t="s">
        <v>97</v>
      </c>
      <c r="M10" s="9"/>
    </row>
    <row r="11" spans="1:13" ht="35.1" customHeight="1" x14ac:dyDescent="0.25">
      <c r="A11" s="9" t="s">
        <v>96</v>
      </c>
      <c r="B11" s="9" t="s">
        <v>33</v>
      </c>
      <c r="C11" s="9" t="s">
        <v>32</v>
      </c>
      <c r="D11" s="9" t="s">
        <v>95</v>
      </c>
      <c r="E11" s="9"/>
      <c r="F11" s="9" t="s">
        <v>20</v>
      </c>
      <c r="G11" s="9" t="s">
        <v>11</v>
      </c>
      <c r="H11" s="14">
        <v>18423.63</v>
      </c>
      <c r="I11" s="9" t="s">
        <v>94</v>
      </c>
      <c r="J11" s="9"/>
      <c r="K11" s="9" t="s">
        <v>93</v>
      </c>
      <c r="L11" s="9"/>
      <c r="M11" s="9"/>
    </row>
    <row r="12" spans="1:13" ht="35.1" customHeight="1" x14ac:dyDescent="0.25">
      <c r="A12" s="9" t="s">
        <v>92</v>
      </c>
      <c r="B12" s="9" t="s">
        <v>38</v>
      </c>
      <c r="C12" s="9" t="s">
        <v>32</v>
      </c>
      <c r="D12" s="9" t="s">
        <v>91</v>
      </c>
      <c r="E12" s="9"/>
      <c r="F12" s="9" t="s">
        <v>19</v>
      </c>
      <c r="G12" s="9" t="s">
        <v>11</v>
      </c>
      <c r="H12" s="14">
        <v>16533.900000000001</v>
      </c>
      <c r="I12" s="9"/>
      <c r="J12" s="9"/>
      <c r="K12" s="9" t="s">
        <v>90</v>
      </c>
      <c r="L12" s="9"/>
      <c r="M12" s="9"/>
    </row>
    <row r="13" spans="1:13" ht="35.1" customHeight="1" x14ac:dyDescent="0.25">
      <c r="A13" s="9" t="s">
        <v>89</v>
      </c>
      <c r="B13" s="9" t="s">
        <v>38</v>
      </c>
      <c r="C13" s="9" t="s">
        <v>32</v>
      </c>
      <c r="D13" s="9" t="s">
        <v>88</v>
      </c>
      <c r="E13" s="9"/>
      <c r="F13" s="9" t="s">
        <v>12</v>
      </c>
      <c r="G13" s="9" t="s">
        <v>13</v>
      </c>
      <c r="H13" s="14">
        <v>35724</v>
      </c>
      <c r="I13" s="9" t="s">
        <v>87</v>
      </c>
      <c r="J13" s="9"/>
      <c r="K13" s="9" t="s">
        <v>86</v>
      </c>
      <c r="L13" s="9"/>
      <c r="M13" s="9"/>
    </row>
    <row r="14" spans="1:13" ht="35.1" customHeight="1" x14ac:dyDescent="0.25">
      <c r="A14" s="9" t="s">
        <v>85</v>
      </c>
      <c r="B14" s="9" t="s">
        <v>33</v>
      </c>
      <c r="C14" s="9" t="s">
        <v>32</v>
      </c>
      <c r="D14" s="9" t="s">
        <v>84</v>
      </c>
      <c r="E14" s="9"/>
      <c r="F14" s="9" t="s">
        <v>16</v>
      </c>
      <c r="G14" s="9" t="s">
        <v>13</v>
      </c>
      <c r="H14" s="14">
        <v>32956.629999999997</v>
      </c>
      <c r="I14" s="9" t="s">
        <v>83</v>
      </c>
      <c r="J14" s="9"/>
      <c r="K14" s="9" t="s">
        <v>82</v>
      </c>
      <c r="L14" s="9"/>
      <c r="M14" s="9"/>
    </row>
    <row r="15" spans="1:13" ht="35.1" customHeight="1" x14ac:dyDescent="0.25">
      <c r="A15" s="9" t="s">
        <v>81</v>
      </c>
      <c r="B15" s="9" t="s">
        <v>38</v>
      </c>
      <c r="C15" s="9" t="s">
        <v>80</v>
      </c>
      <c r="D15" s="9" t="s">
        <v>79</v>
      </c>
      <c r="E15" s="9" t="s">
        <v>78</v>
      </c>
      <c r="F15" s="9" t="s">
        <v>23</v>
      </c>
      <c r="G15" s="9" t="s">
        <v>11</v>
      </c>
      <c r="H15" s="14">
        <v>27654.94</v>
      </c>
      <c r="I15" s="9"/>
      <c r="J15" s="9"/>
      <c r="K15" s="9" t="s">
        <v>77</v>
      </c>
      <c r="L15" s="9" t="s">
        <v>76</v>
      </c>
      <c r="M15" s="9"/>
    </row>
    <row r="16" spans="1:13" ht="35.1" customHeight="1" x14ac:dyDescent="0.25">
      <c r="A16" s="9" t="s">
        <v>75</v>
      </c>
      <c r="B16" s="9" t="s">
        <v>33</v>
      </c>
      <c r="C16" s="9" t="s">
        <v>32</v>
      </c>
      <c r="D16" s="9" t="s">
        <v>74</v>
      </c>
      <c r="E16" s="9" t="s">
        <v>73</v>
      </c>
      <c r="F16" s="9" t="s">
        <v>17</v>
      </c>
      <c r="G16" s="9" t="s">
        <v>14</v>
      </c>
      <c r="H16" s="14">
        <v>42378.39</v>
      </c>
      <c r="I16" s="9" t="s">
        <v>72</v>
      </c>
      <c r="J16" s="9" t="s">
        <v>71</v>
      </c>
      <c r="K16" s="9" t="s">
        <v>70</v>
      </c>
      <c r="L16" s="9" t="s">
        <v>69</v>
      </c>
      <c r="M16" s="9"/>
    </row>
    <row r="17" spans="1:13" ht="35.1" customHeight="1" x14ac:dyDescent="0.25">
      <c r="A17" s="9" t="s">
        <v>68</v>
      </c>
      <c r="B17" s="9" t="s">
        <v>38</v>
      </c>
      <c r="C17" s="9" t="s">
        <v>32</v>
      </c>
      <c r="D17" s="9" t="s">
        <v>67</v>
      </c>
      <c r="E17" s="9"/>
      <c r="F17" s="9" t="s">
        <v>19</v>
      </c>
      <c r="G17" s="9" t="s">
        <v>14</v>
      </c>
      <c r="H17" s="14">
        <v>27301.05</v>
      </c>
      <c r="I17" s="9"/>
      <c r="J17" s="9"/>
      <c r="K17" s="9" t="s">
        <v>66</v>
      </c>
      <c r="L17" s="9"/>
      <c r="M17" s="9"/>
    </row>
    <row r="18" spans="1:13" ht="35.1" customHeight="1" x14ac:dyDescent="0.25">
      <c r="A18" s="9" t="s">
        <v>65</v>
      </c>
      <c r="B18" s="9" t="s">
        <v>33</v>
      </c>
      <c r="C18" s="9" t="s">
        <v>32</v>
      </c>
      <c r="D18" s="9" t="s">
        <v>64</v>
      </c>
      <c r="E18" s="9"/>
      <c r="F18" s="9" t="s">
        <v>15</v>
      </c>
      <c r="G18" s="9" t="s">
        <v>13</v>
      </c>
      <c r="H18" s="14">
        <v>24890.65</v>
      </c>
      <c r="I18" s="9" t="s">
        <v>63</v>
      </c>
      <c r="J18" s="9"/>
      <c r="K18" s="9" t="s">
        <v>62</v>
      </c>
      <c r="L18" s="9"/>
      <c r="M18" s="9"/>
    </row>
    <row r="19" spans="1:13" ht="35.1" customHeight="1" x14ac:dyDescent="0.25">
      <c r="A19" s="9" t="s">
        <v>61</v>
      </c>
      <c r="B19" s="9" t="s">
        <v>38</v>
      </c>
      <c r="C19" s="9" t="s">
        <v>32</v>
      </c>
      <c r="D19" s="9" t="s">
        <v>60</v>
      </c>
      <c r="E19" s="9"/>
      <c r="F19" s="9" t="s">
        <v>21</v>
      </c>
      <c r="G19" s="9" t="s">
        <v>14</v>
      </c>
      <c r="H19" s="14">
        <v>23106.18</v>
      </c>
      <c r="I19" s="9" t="s">
        <v>59</v>
      </c>
      <c r="J19" s="9"/>
      <c r="K19" s="9" t="s">
        <v>58</v>
      </c>
      <c r="L19" s="9"/>
      <c r="M19" s="9"/>
    </row>
    <row r="20" spans="1:13" ht="35.1" customHeight="1" x14ac:dyDescent="0.25">
      <c r="A20" s="9" t="s">
        <v>57</v>
      </c>
      <c r="B20" s="9" t="s">
        <v>33</v>
      </c>
      <c r="C20" s="9" t="s">
        <v>32</v>
      </c>
      <c r="D20" s="9" t="s">
        <v>56</v>
      </c>
      <c r="E20" s="9" t="s">
        <v>55</v>
      </c>
      <c r="F20" s="9" t="s">
        <v>26</v>
      </c>
      <c r="G20" s="9" t="s">
        <v>13</v>
      </c>
      <c r="H20" s="14">
        <v>30915.63</v>
      </c>
      <c r="I20" s="9" t="s">
        <v>54</v>
      </c>
      <c r="J20" s="9" t="s">
        <v>54</v>
      </c>
      <c r="K20" s="9" t="s">
        <v>53</v>
      </c>
      <c r="L20" s="9" t="s">
        <v>52</v>
      </c>
      <c r="M20" s="9"/>
    </row>
    <row r="21" spans="1:13" ht="35.1" customHeight="1" x14ac:dyDescent="0.25">
      <c r="A21" s="9" t="s">
        <v>51</v>
      </c>
      <c r="B21" s="9" t="s">
        <v>33</v>
      </c>
      <c r="C21" s="9" t="s">
        <v>32</v>
      </c>
      <c r="D21" s="9" t="s">
        <v>50</v>
      </c>
      <c r="E21" s="9" t="s">
        <v>50</v>
      </c>
      <c r="F21" s="9" t="s">
        <v>18</v>
      </c>
      <c r="G21" s="9" t="s">
        <v>13</v>
      </c>
      <c r="H21" s="14">
        <v>14164.75</v>
      </c>
      <c r="I21" s="9"/>
      <c r="J21" s="9"/>
      <c r="K21" s="9" t="s">
        <v>49</v>
      </c>
      <c r="L21" s="9" t="s">
        <v>48</v>
      </c>
      <c r="M21" s="9"/>
    </row>
    <row r="22" spans="1:13" ht="35.1" customHeight="1" x14ac:dyDescent="0.25">
      <c r="A22" s="9" t="s">
        <v>47</v>
      </c>
      <c r="B22" s="9" t="s">
        <v>33</v>
      </c>
      <c r="C22" s="9" t="s">
        <v>32</v>
      </c>
      <c r="D22" s="9" t="s">
        <v>46</v>
      </c>
      <c r="E22" s="9"/>
      <c r="F22" s="9" t="s">
        <v>24</v>
      </c>
      <c r="G22" s="9" t="s">
        <v>14</v>
      </c>
      <c r="H22" s="14">
        <v>22248.31</v>
      </c>
      <c r="I22" s="9" t="s">
        <v>45</v>
      </c>
      <c r="J22" s="9"/>
      <c r="K22" s="9" t="s">
        <v>44</v>
      </c>
      <c r="L22" s="9"/>
      <c r="M22" s="9"/>
    </row>
    <row r="23" spans="1:13" ht="35.1" customHeight="1" x14ac:dyDescent="0.25">
      <c r="A23" s="9" t="s">
        <v>43</v>
      </c>
      <c r="B23" s="9" t="s">
        <v>33</v>
      </c>
      <c r="C23" s="9" t="s">
        <v>32</v>
      </c>
      <c r="D23" s="9" t="s">
        <v>42</v>
      </c>
      <c r="E23" s="9"/>
      <c r="F23" s="9" t="s">
        <v>27</v>
      </c>
      <c r="G23" s="9" t="s">
        <v>14</v>
      </c>
      <c r="H23" s="14">
        <v>24825.5</v>
      </c>
      <c r="I23" s="9" t="s">
        <v>41</v>
      </c>
      <c r="J23" s="9"/>
      <c r="K23" s="9" t="s">
        <v>40</v>
      </c>
      <c r="L23" s="9"/>
      <c r="M23" s="9"/>
    </row>
    <row r="24" spans="1:13" ht="35.1" customHeight="1" x14ac:dyDescent="0.25">
      <c r="A24" s="9" t="s">
        <v>39</v>
      </c>
      <c r="B24" s="9" t="s">
        <v>38</v>
      </c>
      <c r="C24" s="9" t="s">
        <v>32</v>
      </c>
      <c r="D24" s="9" t="s">
        <v>37</v>
      </c>
      <c r="E24" s="9"/>
      <c r="F24" s="9" t="s">
        <v>12</v>
      </c>
      <c r="G24" s="9" t="s">
        <v>14</v>
      </c>
      <c r="H24" s="14">
        <v>15151.13</v>
      </c>
      <c r="I24" s="9" t="s">
        <v>36</v>
      </c>
      <c r="J24" s="9"/>
      <c r="K24" s="9" t="s">
        <v>35</v>
      </c>
      <c r="L24" s="9"/>
      <c r="M24" s="9"/>
    </row>
    <row r="25" spans="1:13" ht="35.1" customHeight="1" x14ac:dyDescent="0.25">
      <c r="A25" s="9" t="s">
        <v>34</v>
      </c>
      <c r="B25" s="9" t="s">
        <v>33</v>
      </c>
      <c r="C25" s="9" t="s">
        <v>32</v>
      </c>
      <c r="D25" s="9" t="s">
        <v>31</v>
      </c>
      <c r="E25" s="9"/>
      <c r="F25" s="9" t="s">
        <v>25</v>
      </c>
      <c r="G25" s="9" t="s">
        <v>14</v>
      </c>
      <c r="H25" s="14">
        <v>37116.89</v>
      </c>
      <c r="I25" s="9" t="s">
        <v>30</v>
      </c>
      <c r="J25" s="9"/>
      <c r="K25" s="9" t="s">
        <v>29</v>
      </c>
      <c r="L25" s="9"/>
      <c r="M25" s="9"/>
    </row>
    <row r="26" spans="1:13" ht="35.1" customHeight="1" x14ac:dyDescent="0.25">
      <c r="A26" s="15"/>
      <c r="B26" s="15"/>
      <c r="C26" s="15"/>
      <c r="D26" s="15" t="s">
        <v>28</v>
      </c>
      <c r="E26" s="15"/>
      <c r="F26" s="15"/>
      <c r="G26" s="15"/>
      <c r="H26" s="16">
        <f>SUM(H4:H25)</f>
        <v>666298.64000000013</v>
      </c>
      <c r="I26" s="15"/>
      <c r="J26" s="15"/>
      <c r="K26" s="15"/>
      <c r="L26" s="15"/>
      <c r="M26" s="9"/>
    </row>
    <row r="27" spans="1:13" ht="35.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5.1" customHeight="1" x14ac:dyDescent="0.25"/>
    <row r="29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E9B1-AF4B-43E4-942C-1992EFF4855C}">
  <sheetPr>
    <pageSetUpPr fitToPage="1"/>
  </sheetPr>
  <dimension ref="A1:E18"/>
  <sheetViews>
    <sheetView workbookViewId="0">
      <pane ySplit="3" topLeftCell="A4" activePane="bottomLeft" state="frozen"/>
      <selection pane="bottomLeft" activeCell="E18" sqref="A1:E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4.42578125" style="8" bestFit="1" customWidth="1"/>
    <col min="4" max="4" width="22.7109375" style="8" bestFit="1" customWidth="1"/>
    <col min="5" max="5" width="30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45859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142</v>
      </c>
      <c r="E2" s="12"/>
    </row>
    <row r="3" spans="1:5" x14ac:dyDescent="0.25">
      <c r="A3" s="9" t="s">
        <v>136</v>
      </c>
      <c r="B3" s="9" t="s">
        <v>134</v>
      </c>
      <c r="C3" s="9" t="s">
        <v>133</v>
      </c>
      <c r="D3" s="9" t="s">
        <v>132</v>
      </c>
      <c r="E3" s="9" t="s">
        <v>4</v>
      </c>
    </row>
    <row r="4" spans="1:5" x14ac:dyDescent="0.25">
      <c r="A4" s="9" t="s">
        <v>81</v>
      </c>
      <c r="B4" s="9" t="s">
        <v>80</v>
      </c>
      <c r="C4" s="9" t="s">
        <v>79</v>
      </c>
      <c r="D4" s="9" t="s">
        <v>78</v>
      </c>
      <c r="E4" s="9" t="s">
        <v>23</v>
      </c>
    </row>
    <row r="5" spans="1:5" x14ac:dyDescent="0.25">
      <c r="A5" s="15"/>
      <c r="B5" s="15"/>
      <c r="C5" s="15" t="s">
        <v>141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140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139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138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</sheetData>
  <mergeCells count="2">
    <mergeCell ref="A2:C2"/>
    <mergeCell ref="D2:E2"/>
  </mergeCells>
  <pageMargins left="0.7" right="0.7" top="0.75" bottom="0.75" header="0.3" footer="0.3"/>
  <pageSetup scale="8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2025-07-21T18:07:37Z</cp:lastPrinted>
  <dcterms:created xsi:type="dcterms:W3CDTF">2025-07-21T17:57:34Z</dcterms:created>
  <dcterms:modified xsi:type="dcterms:W3CDTF">2025-07-21T18:21:12Z</dcterms:modified>
</cp:coreProperties>
</file>