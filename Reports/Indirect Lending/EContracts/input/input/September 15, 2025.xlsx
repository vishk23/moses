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91935AC4-32CA-40E2-9E5B-7910B98CFDA2}" xr6:coauthVersionLast="47" xr6:coauthVersionMax="47" xr10:uidLastSave="{00000000-0000-0000-0000-000000000000}"/>
  <bookViews>
    <workbookView xWindow="-570" yWindow="690" windowWidth="29040" windowHeight="1560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F8" i="1"/>
  <c r="F15" i="1"/>
  <c r="F22" i="1"/>
  <c r="H29" i="1"/>
  <c r="E29" i="1"/>
  <c r="D29" i="1"/>
  <c r="C29" i="1"/>
</calcChain>
</file>

<file path=xl/sharedStrings.xml><?xml version="1.0" encoding="utf-8"?>
<sst xmlns="http://schemas.openxmlformats.org/spreadsheetml/2006/main" count="199" uniqueCount="107">
  <si>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</si>
  <si>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</si>
  <si>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</si>
  <si>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</si>
  <si>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</si>
  <si>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</si>
  <si>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</si>
  <si>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</si>
  <si>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</si>
  <si>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</si>
  <si>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</si>
  <si>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</si>
  <si>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Alden Mazda</t>
  </si>
  <si>
    <t>Marlene Braganca</t>
  </si>
  <si>
    <t>Rachel Gorham</t>
  </si>
  <si>
    <t>Atlantic Subaru</t>
  </si>
  <si>
    <t>Battles Nissan, LLC</t>
  </si>
  <si>
    <t>Coastal Volkswagon</t>
  </si>
  <si>
    <t>Grieco Toyota</t>
  </si>
  <si>
    <t>Hiller Co Inc</t>
  </si>
  <si>
    <t>Mathieu Ford Sales, Inc</t>
  </si>
  <si>
    <t>R3V Motors, Inc</t>
  </si>
  <si>
    <t>Robertson's GMC Truck, Inc</t>
  </si>
  <si>
    <t>Viti Mercedes</t>
  </si>
  <si>
    <t>Column1</t>
  </si>
  <si>
    <t>Column2</t>
  </si>
  <si>
    <t># 15</t>
  </si>
  <si>
    <t>LANDRY</t>
  </si>
  <si>
    <t>PONTBRIAND</t>
  </si>
  <si>
    <t>MAXFIELD, TAMMY</t>
  </si>
  <si>
    <t>Maxfield, Dennis</t>
  </si>
  <si>
    <t>E Contract</t>
  </si>
  <si>
    <t>Route One</t>
  </si>
  <si>
    <t>151224872e</t>
  </si>
  <si>
    <t>SOARES</t>
  </si>
  <si>
    <t>mikereis488@gmail.com</t>
  </si>
  <si>
    <t>Reis, Michael</t>
  </si>
  <si>
    <t>Paper</t>
  </si>
  <si>
    <t>151224864</t>
  </si>
  <si>
    <t>Park</t>
  </si>
  <si>
    <t>LAURAMAXINEBOSSE@GMAIL.COM</t>
  </si>
  <si>
    <t>BOSSE, LAURA</t>
  </si>
  <si>
    <t>DealerTrack</t>
  </si>
  <si>
    <t>151224856e</t>
  </si>
  <si>
    <t>PAUL, KOREY</t>
  </si>
  <si>
    <t>151224806e</t>
  </si>
  <si>
    <t>CROWELL</t>
  </si>
  <si>
    <t>RICK_THORNTON@HOTMAIL.COM</t>
  </si>
  <si>
    <t>THORNTON, RICHARD</t>
  </si>
  <si>
    <t>151224781e</t>
  </si>
  <si>
    <t>BOGDANOVA</t>
  </si>
  <si>
    <t>gpekarcik@gmail.com</t>
  </si>
  <si>
    <t>Pekarcik, Gergana</t>
  </si>
  <si>
    <t>151224773e</t>
  </si>
  <si>
    <t>Siantzel</t>
  </si>
  <si>
    <t>charlottekgodfrey@gmail.com</t>
  </si>
  <si>
    <t>Godfrey, Charlotte</t>
  </si>
  <si>
    <t>151224765e</t>
  </si>
  <si>
    <t>PALIES</t>
  </si>
  <si>
    <t>JLBUB@ICLOUD.COM</t>
  </si>
  <si>
    <t>BUB, FRANCIS</t>
  </si>
  <si>
    <t>151224757e</t>
  </si>
  <si>
    <t>RUSSO</t>
  </si>
  <si>
    <t>PEREZ</t>
  </si>
  <si>
    <t>JOVALLC@OUTLOOK.COM</t>
  </si>
  <si>
    <t>DELGIUDICE, RICHARD</t>
  </si>
  <si>
    <t>DELGIUDICE, ARMANI</t>
  </si>
  <si>
    <t>151224731e</t>
  </si>
  <si>
    <t>PLANT</t>
  </si>
  <si>
    <t>jlaprise481@comcast.net</t>
  </si>
  <si>
    <t>Laprise, Jean</t>
  </si>
  <si>
    <t>151224723e</t>
  </si>
  <si>
    <t>CLARKE</t>
  </si>
  <si>
    <t>CCMAYNARD24@YAHOO.COM</t>
  </si>
  <si>
    <t>MAYNARD, CHRISTOPHER</t>
  </si>
  <si>
    <t>Foschi</t>
  </si>
  <si>
    <t>SANDSBS425@GMAIL.COM</t>
  </si>
  <si>
    <t>SANDS, BRETT</t>
  </si>
  <si>
    <t>151224682e</t>
  </si>
  <si>
    <t>MELO</t>
  </si>
  <si>
    <t>SOUSA, JOSE</t>
  </si>
  <si>
    <t>151224658</t>
  </si>
  <si>
    <t>OSullivan</t>
  </si>
  <si>
    <t>PJISSULLY13@GMAIL.COM</t>
  </si>
  <si>
    <t>OSULLIVAN, PATRICK</t>
  </si>
  <si>
    <t>151224616e</t>
  </si>
  <si>
    <t>Pothier</t>
  </si>
  <si>
    <t>CABO827@COMCAST.NET</t>
  </si>
  <si>
    <t>BLANCHETTE, CAROLYN</t>
  </si>
  <si>
    <t>151224591e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</si>
  <si>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</si>
  <si>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</si>
  <si>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</si>
  <si>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</si>
  <si>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</si>
  <si>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</si>
  <si>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</si>
  <si>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</si>
  <si>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</si>
  <si>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</si>
  <si>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</si>
  <si>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151224707</t>
  </si>
  <si>
    <t>Funding Worksheet - Signoff Version</t>
  </si>
  <si>
    <t># 2</t>
  </si>
  <si>
    <t>Delivered BY_____________________________________________________________________________</t>
  </si>
  <si>
    <t>Received BY_____________________________________________________________________________</t>
  </si>
  <si>
    <t>Date Signed________________________________________________________________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</si>
</sst>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 vertical="center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1F90C4B-00B8-4D62-B414-1C1C2941398F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B19895C-A142-4EAC-B9D2-94CFDBF03BB4}" name="Column1" dataDxfId="23"/>
    <tableColumn id="8" xr3:uid="{109B81CD-BA89-47EE-9D6B-211B186C79D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A1A68-8318-48FA-95E1-91502F4EE43A}" name="Table_13" displayName="Table_13" ref="A3:L19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73F50C-93E9-4935-BA5B-9D8E6BA4EB5C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workbookViewId="0">
      <pane ySplit="3" topLeftCell="A4" activePane="bottomLeft" state="frozen"/>
      <selection pane="bottomLeft" activeCell="F9" sqref="F9"/>
    </sheetView>
  </sheetViews>
  <sheetFormatPr defaultRowHeight="15" x14ac:dyDescent="0.25"/>
  <cols>
    <col min="1" max="1" width="26.28515625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45915</v>
      </c>
      <c r="E1" t="s">
        <v>2</v>
      </c>
      <c r="H1" s="4">
        <v>45915.999988425923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850</v>
      </c>
      <c r="D4" s="2">
        <v>0</v>
      </c>
      <c r="E4" s="2">
        <v>30486.44</v>
      </c>
      <c r="F4" s="2"/>
      <c r="G4" s="2"/>
      <c r="H4" s="2">
        <v>30561.439999999999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650</v>
      </c>
      <c r="D6" s="2">
        <v>0</v>
      </c>
      <c r="E6" s="2">
        <v>23053.31</v>
      </c>
      <c r="F6" s="2"/>
      <c r="G6" s="2"/>
      <c r="H6" s="2">
        <v>23128.31</v>
      </c>
    </row>
    <row r="7" spans="1:8" x14ac:dyDescent="0.25">
      <c r="A7" t="s">
        <v>12</v>
      </c>
      <c r="B7" t="s">
        <v>14</v>
      </c>
      <c r="C7" s="2">
        <v>300</v>
      </c>
      <c r="D7" s="2">
        <v>0</v>
      </c>
      <c r="E7" s="2">
        <v>12923.81</v>
      </c>
      <c r="F7" s="2"/>
      <c r="G7" s="2"/>
      <c r="H7" s="2">
        <v>12998.81</v>
      </c>
    </row>
    <row r="8" spans="1:8" x14ac:dyDescent="0.25">
      <c r="A8" t="s">
        <v>12</v>
      </c>
      <c r="B8" t="s">
        <v>11</v>
      </c>
      <c r="C8" s="2">
        <v>850</v>
      </c>
      <c r="D8" s="2">
        <v>0</v>
      </c>
      <c r="E8" s="2">
        <v>34302.199999999997</v>
      </c>
      <c r="F8" s="2">
        <f>SUM(E6:E8)</f>
        <v>70279.320000000007</v>
      </c>
      <c r="G8" s="2"/>
      <c r="H8" s="2">
        <v>34377.199999999997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1350</v>
      </c>
      <c r="D10" s="2">
        <v>0</v>
      </c>
      <c r="E10" s="2">
        <v>69678.559999999998</v>
      </c>
      <c r="F10" s="2"/>
      <c r="G10" s="2"/>
      <c r="H10" s="2">
        <v>69753.56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13</v>
      </c>
      <c r="C12" s="2">
        <v>150</v>
      </c>
      <c r="D12" s="2">
        <v>0</v>
      </c>
      <c r="E12" s="2">
        <v>9812.1299999999992</v>
      </c>
      <c r="F12" s="2"/>
      <c r="G12" s="2"/>
      <c r="H12" s="2">
        <v>9887.1299999999992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13</v>
      </c>
      <c r="C14" s="2">
        <v>650</v>
      </c>
      <c r="D14" s="2">
        <v>0</v>
      </c>
      <c r="E14" s="2">
        <v>21554.44</v>
      </c>
      <c r="F14" s="2"/>
      <c r="G14" s="2"/>
      <c r="H14" s="2">
        <v>21629.439999999999</v>
      </c>
    </row>
    <row r="15" spans="1:8" x14ac:dyDescent="0.25">
      <c r="A15" t="s">
        <v>17</v>
      </c>
      <c r="B15" t="s">
        <v>11</v>
      </c>
      <c r="C15" s="2">
        <v>750</v>
      </c>
      <c r="D15" s="2">
        <v>0</v>
      </c>
      <c r="E15" s="2">
        <v>27681.13</v>
      </c>
      <c r="F15" s="2">
        <f>SUM(E14:E15)</f>
        <v>49235.57</v>
      </c>
      <c r="G15" s="2"/>
      <c r="H15" s="2">
        <v>27756.13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1050</v>
      </c>
      <c r="D17" s="2">
        <v>0</v>
      </c>
      <c r="E17" s="2">
        <v>43619.06</v>
      </c>
      <c r="F17" s="2"/>
      <c r="G17" s="2"/>
      <c r="H17" s="2">
        <v>43694.06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650</v>
      </c>
      <c r="D19" s="2">
        <v>0</v>
      </c>
      <c r="E19" s="2">
        <v>21343.18</v>
      </c>
      <c r="F19" s="2"/>
      <c r="G19" s="2"/>
      <c r="H19" s="2">
        <v>21418.18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500</v>
      </c>
      <c r="D21" s="2">
        <v>0</v>
      </c>
      <c r="E21" s="2">
        <v>18707.88</v>
      </c>
      <c r="F21" s="2"/>
      <c r="G21" s="2"/>
      <c r="H21" s="2">
        <v>18782.88</v>
      </c>
    </row>
    <row r="22" spans="1:8" x14ac:dyDescent="0.25">
      <c r="A22" t="s">
        <v>20</v>
      </c>
      <c r="B22" t="s">
        <v>11</v>
      </c>
      <c r="C22" s="2">
        <v>750</v>
      </c>
      <c r="D22" s="2">
        <v>0</v>
      </c>
      <c r="E22" s="2">
        <v>27356.63</v>
      </c>
      <c r="F22" s="2">
        <f>SUM(E21:E22)</f>
        <v>46064.51</v>
      </c>
      <c r="G22" s="2"/>
      <c r="H22" s="2">
        <v>27431.63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21</v>
      </c>
      <c r="B24" t="s">
        <v>13</v>
      </c>
      <c r="C24" s="2">
        <v>650</v>
      </c>
      <c r="D24" s="2">
        <v>0</v>
      </c>
      <c r="E24" s="2">
        <v>24564.31</v>
      </c>
      <c r="F24" s="2"/>
      <c r="G24" s="2"/>
      <c r="H24" s="2">
        <v>24639.31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22</v>
      </c>
      <c r="B26" t="s">
        <v>11</v>
      </c>
      <c r="C26" s="2">
        <v>650</v>
      </c>
      <c r="D26" s="2">
        <v>0</v>
      </c>
      <c r="E26" s="2">
        <v>22715.94</v>
      </c>
      <c r="F26" s="2"/>
      <c r="G26" s="2"/>
      <c r="H26" s="2">
        <v>22790.94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23</v>
      </c>
      <c r="B28" t="s">
        <v>11</v>
      </c>
      <c r="C28" s="2">
        <v>1500</v>
      </c>
      <c r="D28" s="2">
        <v>0</v>
      </c>
      <c r="E28" s="2">
        <v>89074.4</v>
      </c>
      <c r="F28" s="2"/>
      <c r="G28" s="2"/>
      <c r="H28" s="2">
        <v>89149.4</v>
      </c>
    </row>
    <row r="29" spans="1:8" x14ac:dyDescent="0.25">
      <c r="A29" s="1"/>
      <c r="B29" s="1"/>
      <c r="C29" s="3">
        <f>SUM(C4:C28)</f>
        <v>11300</v>
      </c>
      <c r="D29" s="3">
        <f>SUM(D4:D28)</f>
        <v>0</v>
      </c>
      <c r="E29" s="3">
        <f>SUM(E4:E28)</f>
        <v>476873.42000000004</v>
      </c>
      <c r="F29" s="3"/>
      <c r="G29" s="3"/>
      <c r="H29" s="3">
        <f>SUM(H4:H28)</f>
        <v>477998.42000000004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4AF4-3B89-4759-A4E3-3E94D19667E9}">
  <sheetPr>
    <pageSetUpPr fitToPage="1"/>
  </sheetPr>
  <dimension ref="A1:L32"/>
  <sheetViews>
    <sheetView tabSelected="1" workbookViewId="0">
      <pane ySplit="3" topLeftCell="A9" activePane="bottomLeft" state="frozen"/>
      <selection pane="bottomLeft" activeCell="A4" sqref="A4:A18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.5703125" style="8" bestFit="1" customWidth="1"/>
    <col min="5" max="5" width="21.85546875" style="8" bestFit="1" customWidth="1"/>
    <col min="6" max="6" width="26.28515625" style="8" bestFit="1" customWidth="1"/>
    <col min="7" max="7" width="17.7109375" style="8" bestFit="1" customWidth="1"/>
    <col min="8" max="8" width="17.140625" style="8" bestFit="1" customWidth="1"/>
    <col min="9" max="9" width="33.140625" style="8" bestFit="1" customWidth="1"/>
    <col min="10" max="10" width="18.42578125" style="8" bestFit="1" customWidth="1"/>
    <col min="11" max="11" width="19.8554687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45915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100</v>
      </c>
      <c r="H2" s="12"/>
      <c r="I2" s="12"/>
      <c r="J2" s="12"/>
      <c r="K2" s="12"/>
      <c r="L2" s="12"/>
    </row>
    <row r="3" spans="1:12" ht="35.1" customHeight="1" x14ac:dyDescent="0.25">
      <c r="A3" s="9" t="s">
        <v>99</v>
      </c>
      <c r="B3" s="9" t="s">
        <v>98</v>
      </c>
      <c r="C3" s="9" t="s">
        <v>97</v>
      </c>
      <c r="D3" s="9" t="s">
        <v>96</v>
      </c>
      <c r="E3" s="9" t="s">
        <v>95</v>
      </c>
      <c r="F3" s="9" t="s">
        <v>4</v>
      </c>
      <c r="G3" s="9" t="s">
        <v>5</v>
      </c>
      <c r="H3" s="9" t="s">
        <v>94</v>
      </c>
      <c r="I3" s="9" t="s">
        <v>93</v>
      </c>
      <c r="J3" s="9" t="s">
        <v>92</v>
      </c>
      <c r="K3" s="9" t="s">
        <v>91</v>
      </c>
      <c r="L3" s="9" t="s">
        <v>90</v>
      </c>
    </row>
    <row r="4" spans="1:12" ht="35.1" customHeight="1" x14ac:dyDescent="0.25">
      <c r="A4" s="9" t="s">
        <v>89</v>
      </c>
      <c r="B4" s="9" t="s">
        <v>32</v>
      </c>
      <c r="C4" s="9" t="s">
        <v>31</v>
      </c>
      <c r="D4" s="9" t="s">
        <v>88</v>
      </c>
      <c r="E4" s="9"/>
      <c r="F4" s="9" t="s">
        <v>12</v>
      </c>
      <c r="G4" s="9" t="s">
        <v>13</v>
      </c>
      <c r="H4" s="14">
        <v>23128.31</v>
      </c>
      <c r="I4" s="9" t="s">
        <v>87</v>
      </c>
      <c r="J4" s="9"/>
      <c r="K4" s="9" t="s">
        <v>86</v>
      </c>
      <c r="L4" s="9"/>
    </row>
    <row r="5" spans="1:12" ht="35.1" customHeight="1" x14ac:dyDescent="0.25">
      <c r="A5" s="9" t="s">
        <v>85</v>
      </c>
      <c r="B5" s="9" t="s">
        <v>42</v>
      </c>
      <c r="C5" s="9" t="s">
        <v>31</v>
      </c>
      <c r="D5" s="9" t="s">
        <v>84</v>
      </c>
      <c r="E5" s="9"/>
      <c r="F5" s="9" t="s">
        <v>21</v>
      </c>
      <c r="G5" s="9" t="s">
        <v>13</v>
      </c>
      <c r="H5" s="14">
        <v>24639.31</v>
      </c>
      <c r="I5" s="9" t="s">
        <v>83</v>
      </c>
      <c r="J5" s="9"/>
      <c r="K5" s="9" t="s">
        <v>82</v>
      </c>
      <c r="L5" s="9"/>
    </row>
    <row r="6" spans="1:12" ht="35.1" customHeight="1" x14ac:dyDescent="0.25">
      <c r="A6" s="9" t="s">
        <v>81</v>
      </c>
      <c r="B6" s="9" t="s">
        <v>32</v>
      </c>
      <c r="C6" s="9" t="s">
        <v>31</v>
      </c>
      <c r="D6" s="9" t="s">
        <v>80</v>
      </c>
      <c r="E6" s="9"/>
      <c r="F6" s="9" t="s">
        <v>12</v>
      </c>
      <c r="G6" s="9" t="s">
        <v>14</v>
      </c>
      <c r="H6" s="14">
        <v>12998.81</v>
      </c>
      <c r="I6" s="9"/>
      <c r="J6" s="9"/>
      <c r="K6" s="9" t="s">
        <v>79</v>
      </c>
      <c r="L6" s="9"/>
    </row>
    <row r="7" spans="1:12" ht="35.1" customHeight="1" x14ac:dyDescent="0.25">
      <c r="A7" s="9" t="s">
        <v>78</v>
      </c>
      <c r="B7" s="9" t="s">
        <v>42</v>
      </c>
      <c r="C7" s="9" t="s">
        <v>31</v>
      </c>
      <c r="D7" s="9" t="s">
        <v>77</v>
      </c>
      <c r="E7" s="9"/>
      <c r="F7" s="9" t="s">
        <v>16</v>
      </c>
      <c r="G7" s="9" t="s">
        <v>13</v>
      </c>
      <c r="H7" s="14">
        <v>9887.1299999999992</v>
      </c>
      <c r="I7" s="9" t="s">
        <v>76</v>
      </c>
      <c r="J7" s="9"/>
      <c r="K7" s="9" t="s">
        <v>75</v>
      </c>
      <c r="L7" s="9"/>
    </row>
    <row r="8" spans="1:12" ht="35.1" customHeight="1" x14ac:dyDescent="0.25">
      <c r="A8" s="15">
        <v>151224707</v>
      </c>
      <c r="B8" s="9" t="s">
        <v>42</v>
      </c>
      <c r="C8" s="9" t="s">
        <v>37</v>
      </c>
      <c r="D8" s="9" t="s">
        <v>74</v>
      </c>
      <c r="E8" s="9"/>
      <c r="F8" s="9" t="s">
        <v>22</v>
      </c>
      <c r="G8" s="9" t="s">
        <v>11</v>
      </c>
      <c r="H8" s="14">
        <v>22790.94</v>
      </c>
      <c r="I8" s="9" t="s">
        <v>73</v>
      </c>
      <c r="J8" s="9"/>
      <c r="K8" s="9" t="s">
        <v>72</v>
      </c>
      <c r="L8" s="9"/>
    </row>
    <row r="9" spans="1:12" ht="35.1" customHeight="1" x14ac:dyDescent="0.25">
      <c r="A9" s="9" t="s">
        <v>71</v>
      </c>
      <c r="B9" s="9" t="s">
        <v>32</v>
      </c>
      <c r="C9" s="9" t="s">
        <v>31</v>
      </c>
      <c r="D9" s="9" t="s">
        <v>70</v>
      </c>
      <c r="E9" s="9"/>
      <c r="F9" s="9" t="s">
        <v>20</v>
      </c>
      <c r="G9" s="9" t="s">
        <v>11</v>
      </c>
      <c r="H9" s="14">
        <v>27431.63</v>
      </c>
      <c r="I9" s="9" t="s">
        <v>69</v>
      </c>
      <c r="J9" s="9"/>
      <c r="K9" s="9" t="s">
        <v>68</v>
      </c>
      <c r="L9" s="9"/>
    </row>
    <row r="10" spans="1:12" ht="35.1" customHeight="1" x14ac:dyDescent="0.25">
      <c r="A10" s="9" t="s">
        <v>67</v>
      </c>
      <c r="B10" s="9" t="s">
        <v>42</v>
      </c>
      <c r="C10" s="9" t="s">
        <v>31</v>
      </c>
      <c r="D10" s="9" t="s">
        <v>66</v>
      </c>
      <c r="E10" s="9" t="s">
        <v>65</v>
      </c>
      <c r="F10" s="9" t="s">
        <v>23</v>
      </c>
      <c r="G10" s="9" t="s">
        <v>11</v>
      </c>
      <c r="H10" s="14">
        <v>89149.4</v>
      </c>
      <c r="I10" s="9" t="s">
        <v>64</v>
      </c>
      <c r="J10" s="9"/>
      <c r="K10" s="9" t="s">
        <v>63</v>
      </c>
      <c r="L10" s="9" t="s">
        <v>62</v>
      </c>
    </row>
    <row r="11" spans="1:12" ht="35.1" customHeight="1" x14ac:dyDescent="0.25">
      <c r="A11" s="9" t="s">
        <v>61</v>
      </c>
      <c r="B11" s="9" t="s">
        <v>42</v>
      </c>
      <c r="C11" s="9" t="s">
        <v>31</v>
      </c>
      <c r="D11" s="9" t="s">
        <v>60</v>
      </c>
      <c r="E11" s="9"/>
      <c r="F11" s="9" t="s">
        <v>15</v>
      </c>
      <c r="G11" s="9" t="s">
        <v>11</v>
      </c>
      <c r="H11" s="14">
        <v>69753.56</v>
      </c>
      <c r="I11" s="9" t="s">
        <v>59</v>
      </c>
      <c r="J11" s="9"/>
      <c r="K11" s="9" t="s">
        <v>58</v>
      </c>
      <c r="L11" s="9"/>
    </row>
    <row r="12" spans="1:12" ht="35.1" customHeight="1" x14ac:dyDescent="0.25">
      <c r="A12" s="9" t="s">
        <v>57</v>
      </c>
      <c r="B12" s="9" t="s">
        <v>32</v>
      </c>
      <c r="C12" s="9" t="s">
        <v>31</v>
      </c>
      <c r="D12" s="9" t="s">
        <v>56</v>
      </c>
      <c r="E12" s="9"/>
      <c r="F12" s="9" t="s">
        <v>19</v>
      </c>
      <c r="G12" s="9" t="s">
        <v>11</v>
      </c>
      <c r="H12" s="14">
        <v>21418.18</v>
      </c>
      <c r="I12" s="9" t="s">
        <v>55</v>
      </c>
      <c r="J12" s="9"/>
      <c r="K12" s="9" t="s">
        <v>54</v>
      </c>
      <c r="L12" s="9"/>
    </row>
    <row r="13" spans="1:12" ht="35.1" customHeight="1" x14ac:dyDescent="0.25">
      <c r="A13" s="9" t="s">
        <v>53</v>
      </c>
      <c r="B13" s="9" t="s">
        <v>32</v>
      </c>
      <c r="C13" s="9" t="s">
        <v>31</v>
      </c>
      <c r="D13" s="9" t="s">
        <v>52</v>
      </c>
      <c r="E13" s="9"/>
      <c r="F13" s="9" t="s">
        <v>12</v>
      </c>
      <c r="G13" s="9" t="s">
        <v>11</v>
      </c>
      <c r="H13" s="14">
        <v>34377.199999999997</v>
      </c>
      <c r="I13" s="9" t="s">
        <v>51</v>
      </c>
      <c r="J13" s="9"/>
      <c r="K13" s="9" t="s">
        <v>50</v>
      </c>
      <c r="L13" s="9"/>
    </row>
    <row r="14" spans="1:12" ht="35.1" customHeight="1" x14ac:dyDescent="0.25">
      <c r="A14" s="9" t="s">
        <v>49</v>
      </c>
      <c r="B14" s="9" t="s">
        <v>42</v>
      </c>
      <c r="C14" s="9" t="s">
        <v>31</v>
      </c>
      <c r="D14" s="9" t="s">
        <v>48</v>
      </c>
      <c r="E14" s="9"/>
      <c r="F14" s="9" t="s">
        <v>17</v>
      </c>
      <c r="G14" s="9" t="s">
        <v>11</v>
      </c>
      <c r="H14" s="14">
        <v>27756.13</v>
      </c>
      <c r="I14" s="9" t="s">
        <v>47</v>
      </c>
      <c r="J14" s="9"/>
      <c r="K14" s="9" t="s">
        <v>46</v>
      </c>
      <c r="L14" s="9"/>
    </row>
    <row r="15" spans="1:12" ht="35.1" customHeight="1" x14ac:dyDescent="0.25">
      <c r="A15" s="9" t="s">
        <v>45</v>
      </c>
      <c r="B15" s="9" t="s">
        <v>32</v>
      </c>
      <c r="C15" s="9" t="s">
        <v>31</v>
      </c>
      <c r="D15" s="9" t="s">
        <v>44</v>
      </c>
      <c r="E15" s="9"/>
      <c r="F15" s="9" t="s">
        <v>18</v>
      </c>
      <c r="G15" s="9" t="s">
        <v>11</v>
      </c>
      <c r="H15" s="14">
        <v>43694.06</v>
      </c>
      <c r="I15" s="9"/>
      <c r="J15" s="9"/>
      <c r="K15" s="9"/>
      <c r="L15" s="9"/>
    </row>
    <row r="16" spans="1:12" ht="35.1" customHeight="1" x14ac:dyDescent="0.25">
      <c r="A16" s="9" t="s">
        <v>43</v>
      </c>
      <c r="B16" s="9" t="s">
        <v>42</v>
      </c>
      <c r="C16" s="9" t="s">
        <v>31</v>
      </c>
      <c r="D16" s="9" t="s">
        <v>41</v>
      </c>
      <c r="E16" s="9"/>
      <c r="F16" s="9" t="s">
        <v>17</v>
      </c>
      <c r="G16" s="9" t="s">
        <v>13</v>
      </c>
      <c r="H16" s="14">
        <v>21629.439999999999</v>
      </c>
      <c r="I16" s="9" t="s">
        <v>40</v>
      </c>
      <c r="J16" s="9"/>
      <c r="K16" s="9" t="s">
        <v>39</v>
      </c>
      <c r="L16" s="9"/>
    </row>
    <row r="17" spans="1:12" ht="35.1" customHeight="1" x14ac:dyDescent="0.25">
      <c r="A17" s="9" t="s">
        <v>38</v>
      </c>
      <c r="B17" s="9" t="s">
        <v>32</v>
      </c>
      <c r="C17" s="9" t="s">
        <v>37</v>
      </c>
      <c r="D17" s="9" t="s">
        <v>36</v>
      </c>
      <c r="E17" s="9"/>
      <c r="F17" s="9" t="s">
        <v>10</v>
      </c>
      <c r="G17" s="9" t="s">
        <v>11</v>
      </c>
      <c r="H17" s="14">
        <v>30561.439999999999</v>
      </c>
      <c r="I17" s="9" t="s">
        <v>35</v>
      </c>
      <c r="J17" s="9"/>
      <c r="K17" s="9" t="s">
        <v>34</v>
      </c>
      <c r="L17" s="9"/>
    </row>
    <row r="18" spans="1:12" ht="35.1" customHeight="1" x14ac:dyDescent="0.25">
      <c r="A18" s="9" t="s">
        <v>33</v>
      </c>
      <c r="B18" s="9" t="s">
        <v>32</v>
      </c>
      <c r="C18" s="9" t="s">
        <v>31</v>
      </c>
      <c r="D18" s="9" t="s">
        <v>30</v>
      </c>
      <c r="E18" s="9" t="s">
        <v>29</v>
      </c>
      <c r="F18" s="9" t="s">
        <v>20</v>
      </c>
      <c r="G18" s="9" t="s">
        <v>11</v>
      </c>
      <c r="H18" s="14">
        <v>18782.88</v>
      </c>
      <c r="I18" s="9"/>
      <c r="J18" s="9"/>
      <c r="K18" s="9" t="s">
        <v>28</v>
      </c>
      <c r="L18" s="9" t="s">
        <v>27</v>
      </c>
    </row>
    <row r="19" spans="1:12" ht="35.1" customHeight="1" x14ac:dyDescent="0.25">
      <c r="A19" s="16"/>
      <c r="B19" s="16"/>
      <c r="C19" s="16"/>
      <c r="D19" s="16" t="s">
        <v>26</v>
      </c>
      <c r="E19" s="16"/>
      <c r="F19" s="16"/>
      <c r="G19" s="16"/>
      <c r="H19" s="17">
        <f>SUM(H4:H18)</f>
        <v>477998.42</v>
      </c>
      <c r="I19" s="16"/>
      <c r="J19" s="16"/>
      <c r="K19" s="16"/>
      <c r="L19" s="16"/>
    </row>
    <row r="20" spans="1:12" ht="35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4141-3411-40D9-8160-CC9A017D28EC}">
  <sheetPr>
    <pageSetUpPr fitToPage="1"/>
  </sheetPr>
  <dimension ref="A1:E25"/>
  <sheetViews>
    <sheetView workbookViewId="0">
      <pane ySplit="3" topLeftCell="A4" activePane="bottomLeft" state="frozen"/>
      <selection pane="bottomLeft" activeCell="D36" sqref="D35:D3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.5703125" style="8" bestFit="1" customWidth="1"/>
    <col min="4" max="4" width="21.85546875" style="8" bestFit="1" customWidth="1"/>
    <col min="5" max="5" width="26.285156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45915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102</v>
      </c>
      <c r="E2" s="12"/>
    </row>
    <row r="3" spans="1:5" x14ac:dyDescent="0.25">
      <c r="A3" s="9" t="s">
        <v>99</v>
      </c>
      <c r="B3" s="9" t="s">
        <v>97</v>
      </c>
      <c r="C3" s="9" t="s">
        <v>96</v>
      </c>
      <c r="D3" s="9" t="s">
        <v>95</v>
      </c>
      <c r="E3" s="9" t="s">
        <v>4</v>
      </c>
    </row>
    <row r="4" spans="1:5" x14ac:dyDescent="0.25">
      <c r="A4" s="9" t="s">
        <v>101</v>
      </c>
      <c r="B4" s="9" t="s">
        <v>37</v>
      </c>
      <c r="C4" s="9" t="s">
        <v>74</v>
      </c>
      <c r="D4" s="9"/>
      <c r="E4" s="9" t="s">
        <v>22</v>
      </c>
    </row>
    <row r="5" spans="1:5" x14ac:dyDescent="0.25">
      <c r="A5" s="9" t="s">
        <v>38</v>
      </c>
      <c r="B5" s="9" t="s">
        <v>37</v>
      </c>
      <c r="C5" s="9" t="s">
        <v>36</v>
      </c>
      <c r="D5" s="9"/>
      <c r="E5" s="9" t="s">
        <v>10</v>
      </c>
    </row>
    <row r="6" spans="1:5" x14ac:dyDescent="0.25">
      <c r="A6" s="16"/>
      <c r="B6" s="16"/>
      <c r="C6" s="16" t="s">
        <v>103</v>
      </c>
      <c r="D6" s="16"/>
      <c r="E6" s="16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 t="s">
        <v>104</v>
      </c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105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106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2025-09-15T18:45:19Z</cp:lastPrinted>
  <dcterms:created xsi:type="dcterms:W3CDTF">2025-09-15T18:33:15Z</dcterms:created>
  <dcterms:modified xsi:type="dcterms:W3CDTF">2025-09-15T18:48:21Z</dcterms:modified>
</cp:coreProperties>
</file>